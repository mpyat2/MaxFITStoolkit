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charts/style2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trlProps/ctrlProp1.xml" ContentType="application/vnd.ms-excel.controlproperties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backupFile="1" codeName="ThisWorkbook"/>
  <bookViews>
    <workbookView xWindow="240" yWindow="12" windowWidth="18516" windowHeight="10260" tabRatio="804" activeTab="1"/>
  </bookViews>
  <sheets>
    <sheet name="Student" sheetId="1" r:id="rId1"/>
    <sheet name="Photometry20180123" sheetId="2" r:id="rId2"/>
  </sheets>
  <calcPr calcId="125725"/>
</workbook>
</file>

<file path=xl/calcChain.xml><?xml version="1.0" encoding="utf-8"?>
<calcChain xmlns="http://schemas.openxmlformats.org/spreadsheetml/2006/main">
  <c r="U23" i="2"/>
  <c r="A129" l="1"/>
  <c r="B129"/>
  <c r="A130"/>
  <c r="B130"/>
  <c r="A131"/>
  <c r="B131"/>
  <c r="A132"/>
  <c r="B132"/>
  <c r="A133"/>
  <c r="B133"/>
  <c r="A134"/>
  <c r="B134"/>
  <c r="A135"/>
  <c r="B135"/>
  <c r="A136"/>
  <c r="B136"/>
  <c r="A137"/>
  <c r="B137"/>
  <c r="A138"/>
  <c r="B138"/>
  <c r="A139"/>
  <c r="B139"/>
  <c r="A140"/>
  <c r="B140"/>
  <c r="A141"/>
  <c r="B141"/>
  <c r="A142"/>
  <c r="B142"/>
  <c r="A143"/>
  <c r="B143"/>
  <c r="A144"/>
  <c r="B144"/>
  <c r="A145"/>
  <c r="B145"/>
  <c r="A146"/>
  <c r="B146"/>
  <c r="A147"/>
  <c r="B147"/>
  <c r="A148"/>
  <c r="B148"/>
  <c r="A149"/>
  <c r="B149"/>
  <c r="A150"/>
  <c r="B150"/>
  <c r="A151"/>
  <c r="B151"/>
  <c r="A152"/>
  <c r="B152"/>
  <c r="A153"/>
  <c r="B153"/>
  <c r="A154"/>
  <c r="B154"/>
  <c r="A155"/>
  <c r="B155"/>
  <c r="A156"/>
  <c r="B156"/>
  <c r="A157"/>
  <c r="B157"/>
  <c r="A158"/>
  <c r="B158"/>
  <c r="A159"/>
  <c r="B159"/>
  <c r="A160"/>
  <c r="B160"/>
  <c r="A161"/>
  <c r="B161"/>
  <c r="A162"/>
  <c r="B162"/>
  <c r="A163"/>
  <c r="B163"/>
  <c r="A164"/>
  <c r="B164"/>
  <c r="A165"/>
  <c r="B165"/>
  <c r="A166"/>
  <c r="B166"/>
  <c r="A167"/>
  <c r="B167"/>
  <c r="A168"/>
  <c r="B168"/>
  <c r="A169"/>
  <c r="B169"/>
  <c r="A170"/>
  <c r="B170"/>
  <c r="A171"/>
  <c r="B171"/>
  <c r="A172"/>
  <c r="B172"/>
  <c r="A173"/>
  <c r="B173"/>
  <c r="A174"/>
  <c r="B174"/>
  <c r="A175"/>
  <c r="B175"/>
  <c r="A176"/>
  <c r="B176"/>
  <c r="A177"/>
  <c r="B177"/>
  <c r="A178"/>
  <c r="B178"/>
  <c r="A179"/>
  <c r="B179"/>
  <c r="A180"/>
  <c r="B180"/>
  <c r="A181"/>
  <c r="B181"/>
  <c r="A182"/>
  <c r="B182"/>
  <c r="A183"/>
  <c r="B183"/>
  <c r="A184"/>
  <c r="B184"/>
  <c r="A185"/>
  <c r="B185"/>
  <c r="A186"/>
  <c r="B186"/>
  <c r="A187"/>
  <c r="B187"/>
  <c r="A188"/>
  <c r="B188"/>
  <c r="A189"/>
  <c r="B189"/>
  <c r="A190"/>
  <c r="B190"/>
  <c r="A191"/>
  <c r="B191"/>
  <c r="A192"/>
  <c r="B192"/>
  <c r="A193"/>
  <c r="B193"/>
  <c r="A194"/>
  <c r="B194"/>
  <c r="A195"/>
  <c r="B195"/>
  <c r="A196"/>
  <c r="B196"/>
  <c r="A197"/>
  <c r="B197"/>
  <c r="A198"/>
  <c r="B198"/>
  <c r="A199"/>
  <c r="B199"/>
  <c r="A200"/>
  <c r="B200"/>
  <c r="A201"/>
  <c r="B201"/>
  <c r="A202"/>
  <c r="B202"/>
  <c r="A203"/>
  <c r="B203"/>
  <c r="A204"/>
  <c r="B204"/>
  <c r="A205"/>
  <c r="B205"/>
  <c r="A206"/>
  <c r="B206"/>
  <c r="A207"/>
  <c r="B207"/>
  <c r="A208"/>
  <c r="B208"/>
  <c r="A209"/>
  <c r="B209"/>
  <c r="A210"/>
  <c r="B210"/>
  <c r="A211"/>
  <c r="B211"/>
  <c r="A212"/>
  <c r="B212"/>
  <c r="A213"/>
  <c r="B213"/>
  <c r="A214"/>
  <c r="B214"/>
  <c r="A215"/>
  <c r="B215"/>
  <c r="A216"/>
  <c r="B216"/>
  <c r="A217"/>
  <c r="B217"/>
  <c r="A218"/>
  <c r="B218"/>
  <c r="A219"/>
  <c r="B219"/>
  <c r="A220"/>
  <c r="B220"/>
  <c r="A221"/>
  <c r="B221"/>
  <c r="A222"/>
  <c r="B222"/>
  <c r="A223"/>
  <c r="B223"/>
  <c r="A224"/>
  <c r="B224"/>
  <c r="A225"/>
  <c r="B225"/>
  <c r="A226"/>
  <c r="B226"/>
  <c r="A227"/>
  <c r="B227"/>
  <c r="A228"/>
  <c r="B228"/>
  <c r="A229"/>
  <c r="B229"/>
  <c r="A230"/>
  <c r="B230"/>
  <c r="A231"/>
  <c r="B231"/>
  <c r="A232"/>
  <c r="B232"/>
  <c r="A233"/>
  <c r="B233"/>
  <c r="A234"/>
  <c r="B234"/>
  <c r="A235"/>
  <c r="B235"/>
  <c r="A236"/>
  <c r="B236"/>
  <c r="A237"/>
  <c r="B237"/>
  <c r="A238"/>
  <c r="B238"/>
  <c r="A239"/>
  <c r="B239"/>
  <c r="A240"/>
  <c r="B240"/>
  <c r="A241"/>
  <c r="B241"/>
  <c r="A242"/>
  <c r="B242"/>
  <c r="A243"/>
  <c r="B243"/>
  <c r="A244"/>
  <c r="B244"/>
  <c r="A245"/>
  <c r="B245"/>
  <c r="A246"/>
  <c r="B246"/>
  <c r="A247"/>
  <c r="B247"/>
  <c r="A248"/>
  <c r="B248"/>
  <c r="A249"/>
  <c r="B249"/>
  <c r="A250"/>
  <c r="B250"/>
  <c r="A251"/>
  <c r="B251"/>
  <c r="A252"/>
  <c r="B252"/>
  <c r="A253"/>
  <c r="B253"/>
  <c r="A254"/>
  <c r="B254"/>
  <c r="A255"/>
  <c r="B255"/>
  <c r="A256"/>
  <c r="B256"/>
  <c r="A257"/>
  <c r="B257"/>
  <c r="A258"/>
  <c r="B258"/>
  <c r="A259"/>
  <c r="B259"/>
  <c r="A260"/>
  <c r="B260"/>
  <c r="A261"/>
  <c r="B261"/>
  <c r="A262"/>
  <c r="B262"/>
  <c r="A263"/>
  <c r="B263"/>
  <c r="A264"/>
  <c r="B264"/>
  <c r="A265"/>
  <c r="B265"/>
  <c r="A266"/>
  <c r="B266"/>
  <c r="A267"/>
  <c r="B267"/>
  <c r="A268"/>
  <c r="B268"/>
  <c r="A269"/>
  <c r="B269"/>
  <c r="A270"/>
  <c r="B270"/>
  <c r="A271"/>
  <c r="B271"/>
  <c r="A272"/>
  <c r="B272"/>
  <c r="A273"/>
  <c r="B273"/>
  <c r="A274"/>
  <c r="B274"/>
  <c r="A275"/>
  <c r="B275"/>
  <c r="A276"/>
  <c r="B276"/>
  <c r="A277"/>
  <c r="B277"/>
  <c r="A278"/>
  <c r="B278"/>
  <c r="A279"/>
  <c r="B279"/>
  <c r="A280"/>
  <c r="B280"/>
  <c r="A281"/>
  <c r="B281"/>
  <c r="A282"/>
  <c r="B282"/>
  <c r="A283"/>
  <c r="B283"/>
  <c r="A284"/>
  <c r="B284"/>
  <c r="A285"/>
  <c r="B285"/>
  <c r="A286"/>
  <c r="B286"/>
  <c r="A287"/>
  <c r="B287"/>
  <c r="A288"/>
  <c r="B288"/>
  <c r="A289"/>
  <c r="B289"/>
  <c r="A290"/>
  <c r="B290"/>
  <c r="A291"/>
  <c r="B291"/>
  <c r="A292"/>
  <c r="B292"/>
  <c r="A293"/>
  <c r="B293"/>
  <c r="A294"/>
  <c r="B294"/>
  <c r="A295"/>
  <c r="B295"/>
  <c r="A296"/>
  <c r="B296"/>
  <c r="A297"/>
  <c r="B297"/>
  <c r="A298"/>
  <c r="B298"/>
  <c r="A299"/>
  <c r="B299"/>
  <c r="A300"/>
  <c r="B300"/>
  <c r="A301"/>
  <c r="B301"/>
  <c r="A302"/>
  <c r="B302"/>
  <c r="A303"/>
  <c r="B303"/>
  <c r="A304"/>
  <c r="B304"/>
  <c r="A305"/>
  <c r="B305"/>
  <c r="A306"/>
  <c r="B306"/>
  <c r="A307"/>
  <c r="B307"/>
  <c r="A308"/>
  <c r="B308"/>
  <c r="A309"/>
  <c r="B309"/>
  <c r="A310"/>
  <c r="B310"/>
  <c r="A311"/>
  <c r="B311"/>
  <c r="A312"/>
  <c r="B312"/>
  <c r="A313"/>
  <c r="B313"/>
  <c r="A314"/>
  <c r="B314"/>
  <c r="A315"/>
  <c r="B315"/>
  <c r="A316"/>
  <c r="B316"/>
  <c r="A317"/>
  <c r="B317"/>
  <c r="A318"/>
  <c r="B318"/>
  <c r="A319"/>
  <c r="B319"/>
  <c r="A320"/>
  <c r="B320"/>
  <c r="A321"/>
  <c r="B321"/>
  <c r="A322"/>
  <c r="B322"/>
  <c r="A323"/>
  <c r="B323"/>
  <c r="A324"/>
  <c r="B324"/>
  <c r="A325"/>
  <c r="B325"/>
  <c r="A326"/>
  <c r="B326"/>
  <c r="A327"/>
  <c r="B327"/>
  <c r="A328"/>
  <c r="B328"/>
  <c r="A329"/>
  <c r="B329"/>
  <c r="A330"/>
  <c r="B330"/>
  <c r="A331"/>
  <c r="B331"/>
  <c r="A332"/>
  <c r="B332"/>
  <c r="A333"/>
  <c r="B333"/>
  <c r="A334"/>
  <c r="B334"/>
  <c r="A335"/>
  <c r="B335"/>
  <c r="A336"/>
  <c r="B336"/>
  <c r="A337"/>
  <c r="B337"/>
  <c r="A338"/>
  <c r="B338"/>
  <c r="A339"/>
  <c r="B339"/>
  <c r="A340"/>
  <c r="B340"/>
  <c r="A341"/>
  <c r="B341"/>
  <c r="A342"/>
  <c r="B342"/>
  <c r="A343"/>
  <c r="B343"/>
  <c r="A344"/>
  <c r="B344"/>
  <c r="A345"/>
  <c r="B345"/>
  <c r="A346"/>
  <c r="B346"/>
  <c r="A347"/>
  <c r="B347"/>
  <c r="A348"/>
  <c r="B348"/>
  <c r="A349"/>
  <c r="B349"/>
  <c r="A350"/>
  <c r="B350"/>
  <c r="A351"/>
  <c r="B351"/>
  <c r="A352"/>
  <c r="B352"/>
  <c r="A353"/>
  <c r="B353"/>
  <c r="A354"/>
  <c r="B354"/>
  <c r="A355"/>
  <c r="B355"/>
  <c r="A356"/>
  <c r="B356"/>
  <c r="A357"/>
  <c r="B357"/>
  <c r="A358"/>
  <c r="B358"/>
  <c r="A359"/>
  <c r="B359"/>
  <c r="A360"/>
  <c r="B360"/>
  <c r="A361"/>
  <c r="B361"/>
  <c r="A362"/>
  <c r="B362"/>
  <c r="A363"/>
  <c r="B363"/>
  <c r="A364"/>
  <c r="B364"/>
  <c r="A365"/>
  <c r="B365"/>
  <c r="A366"/>
  <c r="B366"/>
  <c r="A367"/>
  <c r="B367"/>
  <c r="A368"/>
  <c r="B368"/>
  <c r="A369"/>
  <c r="B369"/>
  <c r="A370"/>
  <c r="B370"/>
  <c r="A371"/>
  <c r="B371"/>
  <c r="A372"/>
  <c r="B372"/>
  <c r="A373"/>
  <c r="B373"/>
  <c r="A374"/>
  <c r="B374"/>
  <c r="A375"/>
  <c r="B375"/>
  <c r="A376"/>
  <c r="B376"/>
  <c r="A377"/>
  <c r="B377"/>
  <c r="A378"/>
  <c r="B378"/>
  <c r="A379"/>
  <c r="B379"/>
  <c r="A380"/>
  <c r="B380"/>
  <c r="A381"/>
  <c r="B381"/>
  <c r="A382"/>
  <c r="B382"/>
  <c r="A383"/>
  <c r="B383"/>
  <c r="A384"/>
  <c r="B384"/>
  <c r="A385"/>
  <c r="B385"/>
  <c r="A386"/>
  <c r="B386"/>
  <c r="A387"/>
  <c r="B387"/>
  <c r="A388"/>
  <c r="B388"/>
  <c r="A389"/>
  <c r="B389"/>
  <c r="A390"/>
  <c r="B390"/>
  <c r="A391"/>
  <c r="B391"/>
  <c r="A392"/>
  <c r="B392"/>
  <c r="A393"/>
  <c r="B393"/>
  <c r="A394"/>
  <c r="B394"/>
  <c r="A395"/>
  <c r="B395"/>
  <c r="A396"/>
  <c r="B396"/>
  <c r="A397"/>
  <c r="B397"/>
  <c r="A398"/>
  <c r="B398"/>
  <c r="A399"/>
  <c r="B399"/>
  <c r="A400"/>
  <c r="B400"/>
  <c r="A401"/>
  <c r="B401"/>
  <c r="A402"/>
  <c r="B402"/>
  <c r="A403"/>
  <c r="B403"/>
  <c r="A404"/>
  <c r="B404"/>
  <c r="A405"/>
  <c r="B405"/>
  <c r="A406"/>
  <c r="B406"/>
  <c r="A407"/>
  <c r="B407"/>
  <c r="A408"/>
  <c r="B408"/>
  <c r="A409"/>
  <c r="B409"/>
  <c r="A410"/>
  <c r="B410"/>
  <c r="A411"/>
  <c r="B411"/>
  <c r="A412"/>
  <c r="B412"/>
  <c r="A413"/>
  <c r="B413"/>
  <c r="A414"/>
  <c r="B414"/>
  <c r="A415"/>
  <c r="B415"/>
  <c r="A416"/>
  <c r="B416"/>
  <c r="A417"/>
  <c r="B417"/>
  <c r="A418"/>
  <c r="B418"/>
  <c r="A419"/>
  <c r="B419"/>
  <c r="A420"/>
  <c r="B420"/>
  <c r="A421"/>
  <c r="B421"/>
  <c r="A422"/>
  <c r="B422"/>
  <c r="A423"/>
  <c r="B423"/>
  <c r="A424"/>
  <c r="B424"/>
  <c r="A425"/>
  <c r="B425"/>
  <c r="A426"/>
  <c r="B426"/>
  <c r="A427"/>
  <c r="B427"/>
  <c r="A428"/>
  <c r="B428"/>
  <c r="A429"/>
  <c r="B429"/>
  <c r="A430"/>
  <c r="B430"/>
  <c r="A431"/>
  <c r="B431"/>
  <c r="A432"/>
  <c r="B432"/>
  <c r="A433"/>
  <c r="B433"/>
  <c r="A434"/>
  <c r="B434"/>
  <c r="A435"/>
  <c r="B435"/>
  <c r="A436"/>
  <c r="B436"/>
  <c r="A437"/>
  <c r="B437"/>
  <c r="A438"/>
  <c r="B438"/>
  <c r="A439"/>
  <c r="B439"/>
  <c r="A440"/>
  <c r="B440"/>
  <c r="A441"/>
  <c r="B441"/>
  <c r="A442"/>
  <c r="B442"/>
  <c r="A443"/>
  <c r="B443"/>
  <c r="A444"/>
  <c r="B444"/>
  <c r="A445"/>
  <c r="B445"/>
  <c r="A446"/>
  <c r="B446"/>
  <c r="A447"/>
  <c r="B447"/>
  <c r="A448"/>
  <c r="B448"/>
  <c r="A449"/>
  <c r="B449"/>
  <c r="A450"/>
  <c r="B450"/>
  <c r="A451"/>
  <c r="B451"/>
  <c r="A452"/>
  <c r="B452"/>
  <c r="A453"/>
  <c r="B453"/>
  <c r="A454"/>
  <c r="B454"/>
  <c r="A455"/>
  <c r="B455"/>
  <c r="A456"/>
  <c r="B456"/>
  <c r="A457"/>
  <c r="B457"/>
  <c r="A458"/>
  <c r="B458"/>
  <c r="A459"/>
  <c r="B459"/>
  <c r="A460"/>
  <c r="B460"/>
  <c r="A461"/>
  <c r="B461"/>
  <c r="A462"/>
  <c r="B462"/>
  <c r="A463"/>
  <c r="B463"/>
  <c r="A464"/>
  <c r="B464"/>
  <c r="A465"/>
  <c r="B465"/>
  <c r="A466"/>
  <c r="B466"/>
  <c r="A467"/>
  <c r="B467"/>
  <c r="A468"/>
  <c r="B468"/>
  <c r="A469"/>
  <c r="B469"/>
  <c r="A470"/>
  <c r="B470"/>
  <c r="A471"/>
  <c r="B471"/>
  <c r="A472"/>
  <c r="B472"/>
  <c r="A473"/>
  <c r="B473"/>
  <c r="A474"/>
  <c r="B474"/>
  <c r="A475"/>
  <c r="B475"/>
  <c r="A476"/>
  <c r="B476"/>
  <c r="A477"/>
  <c r="B477"/>
  <c r="A478"/>
  <c r="B478"/>
  <c r="A479"/>
  <c r="B479"/>
  <c r="A480"/>
  <c r="B480"/>
  <c r="A481"/>
  <c r="B481"/>
  <c r="A482"/>
  <c r="B482"/>
  <c r="A483"/>
  <c r="B483"/>
  <c r="A484"/>
  <c r="B484"/>
  <c r="A485"/>
  <c r="B485"/>
  <c r="A486"/>
  <c r="B486"/>
  <c r="A487"/>
  <c r="B487"/>
  <c r="A488"/>
  <c r="B488"/>
  <c r="A489"/>
  <c r="B489"/>
  <c r="A490"/>
  <c r="B490"/>
  <c r="A491"/>
  <c r="B491"/>
  <c r="A492"/>
  <c r="B492"/>
  <c r="A493"/>
  <c r="B493"/>
  <c r="A494"/>
  <c r="B494"/>
  <c r="A495"/>
  <c r="B495"/>
  <c r="A496"/>
  <c r="B496"/>
  <c r="A497"/>
  <c r="B497"/>
  <c r="A498"/>
  <c r="B498"/>
  <c r="A499"/>
  <c r="B499"/>
  <c r="A500"/>
  <c r="B500"/>
  <c r="A501"/>
  <c r="B501"/>
  <c r="A502"/>
  <c r="B502"/>
  <c r="A503"/>
  <c r="B503"/>
  <c r="A504"/>
  <c r="B504"/>
  <c r="A505"/>
  <c r="B505"/>
  <c r="A506"/>
  <c r="B506"/>
  <c r="A507"/>
  <c r="B507"/>
  <c r="A508"/>
  <c r="B508"/>
  <c r="A509"/>
  <c r="B509"/>
  <c r="A510"/>
  <c r="B510"/>
  <c r="A511"/>
  <c r="B511"/>
  <c r="A512"/>
  <c r="B512"/>
  <c r="A513"/>
  <c r="B513"/>
  <c r="A514"/>
  <c r="B514"/>
  <c r="A515"/>
  <c r="B515"/>
  <c r="A516"/>
  <c r="B516"/>
  <c r="A517"/>
  <c r="B517"/>
  <c r="A518"/>
  <c r="B518"/>
  <c r="A519"/>
  <c r="B519"/>
  <c r="A520"/>
  <c r="B520"/>
  <c r="A521"/>
  <c r="B521"/>
  <c r="A522"/>
  <c r="B522"/>
  <c r="A523"/>
  <c r="B523"/>
  <c r="A524"/>
  <c r="B524"/>
  <c r="A525"/>
  <c r="B525"/>
  <c r="A526"/>
  <c r="B526"/>
  <c r="A527"/>
  <c r="B527"/>
  <c r="A528"/>
  <c r="B528"/>
  <c r="A529"/>
  <c r="B529"/>
  <c r="A530"/>
  <c r="B530"/>
  <c r="A531"/>
  <c r="B531"/>
  <c r="A532"/>
  <c r="B532"/>
  <c r="A533"/>
  <c r="B533"/>
  <c r="A534"/>
  <c r="B534"/>
  <c r="A535"/>
  <c r="B535"/>
  <c r="A536"/>
  <c r="B536"/>
  <c r="A537"/>
  <c r="B537"/>
  <c r="A538"/>
  <c r="B538"/>
  <c r="A539"/>
  <c r="B539"/>
  <c r="A540"/>
  <c r="B540"/>
  <c r="A541"/>
  <c r="B541"/>
  <c r="A542"/>
  <c r="B542"/>
  <c r="A543"/>
  <c r="B543"/>
  <c r="A544"/>
  <c r="B544"/>
  <c r="A545"/>
  <c r="B545"/>
  <c r="A546"/>
  <c r="B546"/>
  <c r="A547"/>
  <c r="B547"/>
  <c r="A548"/>
  <c r="B548"/>
  <c r="A549"/>
  <c r="B549"/>
  <c r="A550"/>
  <c r="B550"/>
  <c r="A551"/>
  <c r="B551"/>
  <c r="A552"/>
  <c r="B552"/>
  <c r="A553"/>
  <c r="B553"/>
  <c r="A554"/>
  <c r="B554"/>
  <c r="A555"/>
  <c r="B555"/>
  <c r="A556"/>
  <c r="B556"/>
  <c r="A557"/>
  <c r="B557"/>
  <c r="A558"/>
  <c r="B558"/>
  <c r="A559"/>
  <c r="B559"/>
  <c r="A560"/>
  <c r="B560"/>
  <c r="A561"/>
  <c r="B561"/>
  <c r="A562"/>
  <c r="B562"/>
  <c r="A563"/>
  <c r="B563"/>
  <c r="A564"/>
  <c r="B564"/>
  <c r="A565"/>
  <c r="B565"/>
  <c r="A566"/>
  <c r="B566"/>
  <c r="A567"/>
  <c r="B567"/>
  <c r="A568"/>
  <c r="B568"/>
  <c r="A569"/>
  <c r="B569"/>
  <c r="A570"/>
  <c r="B570"/>
  <c r="A571"/>
  <c r="B571"/>
  <c r="A572"/>
  <c r="B572"/>
  <c r="A573"/>
  <c r="B573"/>
  <c r="A574"/>
  <c r="B574"/>
  <c r="A575"/>
  <c r="B575"/>
  <c r="A576"/>
  <c r="B576"/>
  <c r="A577"/>
  <c r="B577"/>
  <c r="A578"/>
  <c r="B578"/>
  <c r="A579"/>
  <c r="B579"/>
  <c r="A580"/>
  <c r="B580"/>
  <c r="A581"/>
  <c r="B581"/>
  <c r="A582"/>
  <c r="B582"/>
  <c r="A583"/>
  <c r="B583"/>
  <c r="A584"/>
  <c r="B584"/>
  <c r="A585"/>
  <c r="B585"/>
  <c r="A586"/>
  <c r="B586"/>
  <c r="A587"/>
  <c r="B587"/>
  <c r="A588"/>
  <c r="B588"/>
  <c r="A589"/>
  <c r="B589"/>
  <c r="A590"/>
  <c r="B590"/>
  <c r="A591"/>
  <c r="B591"/>
  <c r="A592"/>
  <c r="B592"/>
  <c r="A593"/>
  <c r="B593"/>
  <c r="A594"/>
  <c r="B594"/>
  <c r="A595"/>
  <c r="B595"/>
  <c r="A596"/>
  <c r="B596"/>
  <c r="A597"/>
  <c r="B597"/>
  <c r="A598"/>
  <c r="B598"/>
  <c r="A599"/>
  <c r="B599"/>
  <c r="A600"/>
  <c r="B600"/>
  <c r="A601"/>
  <c r="B601"/>
  <c r="A602"/>
  <c r="B602"/>
  <c r="A603"/>
  <c r="B603"/>
  <c r="A604"/>
  <c r="B604"/>
  <c r="A605"/>
  <c r="B605"/>
  <c r="A606"/>
  <c r="B606"/>
  <c r="A607"/>
  <c r="B607"/>
  <c r="A608"/>
  <c r="B608"/>
  <c r="A609"/>
  <c r="B609"/>
  <c r="A610"/>
  <c r="B610"/>
  <c r="A611"/>
  <c r="B611"/>
  <c r="A612"/>
  <c r="B612"/>
  <c r="A613"/>
  <c r="B613"/>
  <c r="A614"/>
  <c r="B614"/>
  <c r="A615"/>
  <c r="B615"/>
  <c r="A616"/>
  <c r="B616"/>
  <c r="A617"/>
  <c r="B617"/>
  <c r="A618"/>
  <c r="B618"/>
  <c r="A619"/>
  <c r="B619"/>
  <c r="A620"/>
  <c r="B620"/>
  <c r="A621"/>
  <c r="B621"/>
  <c r="A622"/>
  <c r="B622"/>
  <c r="A623"/>
  <c r="B623"/>
  <c r="A624"/>
  <c r="B624"/>
  <c r="A625"/>
  <c r="B625"/>
  <c r="A626"/>
  <c r="B626"/>
  <c r="A627"/>
  <c r="B627"/>
  <c r="A628"/>
  <c r="B628"/>
  <c r="A629"/>
  <c r="B629"/>
  <c r="A630"/>
  <c r="B630"/>
  <c r="A631"/>
  <c r="B631"/>
  <c r="U127"/>
  <c r="X127"/>
  <c r="Y127"/>
  <c r="Z127"/>
  <c r="AA127"/>
  <c r="AB127"/>
  <c r="AC127"/>
  <c r="AD127"/>
  <c r="AE127"/>
  <c r="AF127"/>
  <c r="AH127"/>
  <c r="AI127"/>
  <c r="AJ127"/>
  <c r="AK127"/>
  <c r="AL127"/>
  <c r="AM127"/>
  <c r="AN127"/>
  <c r="AO127"/>
  <c r="AP127"/>
  <c r="U128"/>
  <c r="X128"/>
  <c r="Y128"/>
  <c r="Z128"/>
  <c r="AA128"/>
  <c r="AB128"/>
  <c r="AC128"/>
  <c r="AD128"/>
  <c r="AE128"/>
  <c r="AF128"/>
  <c r="AH128"/>
  <c r="AI128"/>
  <c r="AJ128"/>
  <c r="AK128"/>
  <c r="AL128"/>
  <c r="AM128"/>
  <c r="AN128"/>
  <c r="AO128"/>
  <c r="AP128"/>
  <c r="U129"/>
  <c r="X129"/>
  <c r="Y129"/>
  <c r="Z129"/>
  <c r="AA129"/>
  <c r="AB129"/>
  <c r="AC129"/>
  <c r="AD129"/>
  <c r="AE129"/>
  <c r="AF129"/>
  <c r="AH129"/>
  <c r="AI129"/>
  <c r="AJ129"/>
  <c r="AK129"/>
  <c r="AL129"/>
  <c r="AM129"/>
  <c r="AN129"/>
  <c r="AO129"/>
  <c r="AP129"/>
  <c r="U130"/>
  <c r="X130"/>
  <c r="Y130"/>
  <c r="Z130"/>
  <c r="AA130"/>
  <c r="AB130"/>
  <c r="AC130"/>
  <c r="AD130"/>
  <c r="AE130"/>
  <c r="AF130"/>
  <c r="AH130"/>
  <c r="AI130"/>
  <c r="AJ130"/>
  <c r="AK130"/>
  <c r="AL130"/>
  <c r="AM130"/>
  <c r="AN130"/>
  <c r="AO130"/>
  <c r="AP130"/>
  <c r="U131"/>
  <c r="X131"/>
  <c r="Y131"/>
  <c r="Z131"/>
  <c r="AA131"/>
  <c r="AB131"/>
  <c r="AC131"/>
  <c r="AD131"/>
  <c r="AE131"/>
  <c r="AF131"/>
  <c r="AH131"/>
  <c r="AI131"/>
  <c r="AJ131"/>
  <c r="AK131"/>
  <c r="AL131"/>
  <c r="AM131"/>
  <c r="AN131"/>
  <c r="AO131"/>
  <c r="AP131"/>
  <c r="U132"/>
  <c r="X132"/>
  <c r="Y132"/>
  <c r="Z132"/>
  <c r="AA132"/>
  <c r="AB132"/>
  <c r="AC132"/>
  <c r="AD132"/>
  <c r="AE132"/>
  <c r="AF132"/>
  <c r="AH132"/>
  <c r="AI132"/>
  <c r="AJ132"/>
  <c r="AK132"/>
  <c r="AL132"/>
  <c r="AM132"/>
  <c r="AN132"/>
  <c r="AO132"/>
  <c r="AP132"/>
  <c r="U133"/>
  <c r="X133"/>
  <c r="Y133"/>
  <c r="Z133"/>
  <c r="AA133"/>
  <c r="AB133"/>
  <c r="AC133"/>
  <c r="AD133"/>
  <c r="AE133"/>
  <c r="AF133"/>
  <c r="AH133"/>
  <c r="AI133"/>
  <c r="AJ133"/>
  <c r="AK133"/>
  <c r="AL133"/>
  <c r="AM133"/>
  <c r="AN133"/>
  <c r="AO133"/>
  <c r="AP133"/>
  <c r="U134"/>
  <c r="X134"/>
  <c r="Y134"/>
  <c r="Z134"/>
  <c r="AA134"/>
  <c r="AB134"/>
  <c r="AC134"/>
  <c r="AD134"/>
  <c r="AE134"/>
  <c r="AF134"/>
  <c r="AH134"/>
  <c r="AI134"/>
  <c r="AJ134"/>
  <c r="AK134"/>
  <c r="AL134"/>
  <c r="AM134"/>
  <c r="AN134"/>
  <c r="AO134"/>
  <c r="AP134"/>
  <c r="U135"/>
  <c r="X135"/>
  <c r="Y135"/>
  <c r="Z135"/>
  <c r="AA135"/>
  <c r="AB135"/>
  <c r="AC135"/>
  <c r="AD135"/>
  <c r="AE135"/>
  <c r="AF135"/>
  <c r="AH135"/>
  <c r="AI135"/>
  <c r="AJ135"/>
  <c r="AK135"/>
  <c r="AL135"/>
  <c r="AM135"/>
  <c r="AN135"/>
  <c r="AO135"/>
  <c r="AP135"/>
  <c r="U136"/>
  <c r="X136"/>
  <c r="Y136"/>
  <c r="Z136"/>
  <c r="AA136"/>
  <c r="AB136"/>
  <c r="AC136"/>
  <c r="AD136"/>
  <c r="AE136"/>
  <c r="AF136"/>
  <c r="AH136"/>
  <c r="AI136"/>
  <c r="AJ136"/>
  <c r="AK136"/>
  <c r="AL136"/>
  <c r="AM136"/>
  <c r="AN136"/>
  <c r="AO136"/>
  <c r="AP136"/>
  <c r="U137"/>
  <c r="X137"/>
  <c r="Y137"/>
  <c r="Z137"/>
  <c r="AA137"/>
  <c r="AB137"/>
  <c r="AC137"/>
  <c r="AD137"/>
  <c r="AE137"/>
  <c r="AF137"/>
  <c r="AH137"/>
  <c r="AI137"/>
  <c r="AJ137"/>
  <c r="AK137"/>
  <c r="AL137"/>
  <c r="AM137"/>
  <c r="AN137"/>
  <c r="AO137"/>
  <c r="AP137"/>
  <c r="U138"/>
  <c r="X138"/>
  <c r="Y138"/>
  <c r="Z138"/>
  <c r="AA138"/>
  <c r="AB138"/>
  <c r="AC138"/>
  <c r="AD138"/>
  <c r="AE138"/>
  <c r="AF138"/>
  <c r="AH138"/>
  <c r="AI138"/>
  <c r="AJ138"/>
  <c r="AK138"/>
  <c r="AL138"/>
  <c r="AM138"/>
  <c r="AN138"/>
  <c r="AO138"/>
  <c r="AP138"/>
  <c r="U139"/>
  <c r="X139"/>
  <c r="Y139"/>
  <c r="Z139"/>
  <c r="AA139"/>
  <c r="AB139"/>
  <c r="AC139"/>
  <c r="AD139"/>
  <c r="AE139"/>
  <c r="AF139"/>
  <c r="AH139"/>
  <c r="AI139"/>
  <c r="AJ139"/>
  <c r="AK139"/>
  <c r="AL139"/>
  <c r="AM139"/>
  <c r="AN139"/>
  <c r="AO139"/>
  <c r="AP139"/>
  <c r="U140"/>
  <c r="X140"/>
  <c r="Y140"/>
  <c r="Z140"/>
  <c r="AA140"/>
  <c r="AB140"/>
  <c r="AC140"/>
  <c r="AD140"/>
  <c r="AE140"/>
  <c r="AF140"/>
  <c r="AH140"/>
  <c r="AI140"/>
  <c r="AJ140"/>
  <c r="AK140"/>
  <c r="AL140"/>
  <c r="AM140"/>
  <c r="AN140"/>
  <c r="AO140"/>
  <c r="AP140"/>
  <c r="U141"/>
  <c r="X141"/>
  <c r="Y141"/>
  <c r="Z141"/>
  <c r="AA141"/>
  <c r="AB141"/>
  <c r="AC141"/>
  <c r="AD141"/>
  <c r="AE141"/>
  <c r="AF141"/>
  <c r="AH141"/>
  <c r="AI141"/>
  <c r="AJ141"/>
  <c r="AK141"/>
  <c r="AL141"/>
  <c r="AM141"/>
  <c r="AN141"/>
  <c r="AO141"/>
  <c r="AP141"/>
  <c r="U142"/>
  <c r="X142"/>
  <c r="Y142"/>
  <c r="Z142"/>
  <c r="AA142"/>
  <c r="AB142"/>
  <c r="AC142"/>
  <c r="AD142"/>
  <c r="AE142"/>
  <c r="AF142"/>
  <c r="AH142"/>
  <c r="AI142"/>
  <c r="AJ142"/>
  <c r="AK142"/>
  <c r="AL142"/>
  <c r="AM142"/>
  <c r="AN142"/>
  <c r="AO142"/>
  <c r="AP142"/>
  <c r="U143"/>
  <c r="X143"/>
  <c r="Y143"/>
  <c r="Z143"/>
  <c r="AA143"/>
  <c r="AB143"/>
  <c r="AC143"/>
  <c r="AD143"/>
  <c r="AE143"/>
  <c r="AF143"/>
  <c r="AH143"/>
  <c r="AI143"/>
  <c r="AJ143"/>
  <c r="AK143"/>
  <c r="AL143"/>
  <c r="AM143"/>
  <c r="AN143"/>
  <c r="AO143"/>
  <c r="AP143"/>
  <c r="U144"/>
  <c r="X144"/>
  <c r="Y144"/>
  <c r="Z144"/>
  <c r="AA144"/>
  <c r="AB144"/>
  <c r="AC144"/>
  <c r="AD144"/>
  <c r="AE144"/>
  <c r="AF144"/>
  <c r="AH144"/>
  <c r="AI144"/>
  <c r="AJ144"/>
  <c r="AK144"/>
  <c r="AL144"/>
  <c r="AM144"/>
  <c r="AN144"/>
  <c r="AO144"/>
  <c r="AP144"/>
  <c r="U145"/>
  <c r="X145"/>
  <c r="Y145"/>
  <c r="Z145"/>
  <c r="AA145"/>
  <c r="AB145"/>
  <c r="AC145"/>
  <c r="AD145"/>
  <c r="AE145"/>
  <c r="AF145"/>
  <c r="AH145"/>
  <c r="AI145"/>
  <c r="AJ145"/>
  <c r="AK145"/>
  <c r="AL145"/>
  <c r="AM145"/>
  <c r="AN145"/>
  <c r="AO145"/>
  <c r="AP145"/>
  <c r="U146"/>
  <c r="X146"/>
  <c r="Y146"/>
  <c r="Z146"/>
  <c r="AA146"/>
  <c r="AB146"/>
  <c r="AC146"/>
  <c r="AD146"/>
  <c r="AE146"/>
  <c r="AF146"/>
  <c r="AH146"/>
  <c r="AI146"/>
  <c r="AJ146"/>
  <c r="AK146"/>
  <c r="AL146"/>
  <c r="AM146"/>
  <c r="AN146"/>
  <c r="AO146"/>
  <c r="AP146"/>
  <c r="U147"/>
  <c r="X147"/>
  <c r="Y147"/>
  <c r="Z147"/>
  <c r="AA147"/>
  <c r="AB147"/>
  <c r="AC147"/>
  <c r="AD147"/>
  <c r="AE147"/>
  <c r="AF147"/>
  <c r="AH147"/>
  <c r="AI147"/>
  <c r="AJ147"/>
  <c r="AK147"/>
  <c r="AL147"/>
  <c r="AM147"/>
  <c r="AN147"/>
  <c r="AO147"/>
  <c r="AP147"/>
  <c r="U148"/>
  <c r="X148"/>
  <c r="Y148"/>
  <c r="Z148"/>
  <c r="AA148"/>
  <c r="AB148"/>
  <c r="AC148"/>
  <c r="AD148"/>
  <c r="AE148"/>
  <c r="AF148"/>
  <c r="AH148"/>
  <c r="AI148"/>
  <c r="AJ148"/>
  <c r="AK148"/>
  <c r="AL148"/>
  <c r="AM148"/>
  <c r="AN148"/>
  <c r="AO148"/>
  <c r="AP148"/>
  <c r="U149"/>
  <c r="X149"/>
  <c r="Y149"/>
  <c r="Z149"/>
  <c r="AA149"/>
  <c r="AB149"/>
  <c r="AC149"/>
  <c r="AD149"/>
  <c r="AE149"/>
  <c r="AF149"/>
  <c r="AH149"/>
  <c r="AI149"/>
  <c r="AJ149"/>
  <c r="AK149"/>
  <c r="AL149"/>
  <c r="AM149"/>
  <c r="AN149"/>
  <c r="AO149"/>
  <c r="AP149"/>
  <c r="U150"/>
  <c r="X150"/>
  <c r="Y150"/>
  <c r="Z150"/>
  <c r="AA150"/>
  <c r="AB150"/>
  <c r="AC150"/>
  <c r="AD150"/>
  <c r="AE150"/>
  <c r="AF150"/>
  <c r="AH150"/>
  <c r="AI150"/>
  <c r="AJ150"/>
  <c r="AK150"/>
  <c r="AL150"/>
  <c r="AM150"/>
  <c r="AN150"/>
  <c r="AO150"/>
  <c r="AP150"/>
  <c r="U151"/>
  <c r="X151"/>
  <c r="Y151"/>
  <c r="Z151"/>
  <c r="AA151"/>
  <c r="AB151"/>
  <c r="AC151"/>
  <c r="AD151"/>
  <c r="AE151"/>
  <c r="AF151"/>
  <c r="AH151"/>
  <c r="AI151"/>
  <c r="AJ151"/>
  <c r="AK151"/>
  <c r="AL151"/>
  <c r="AM151"/>
  <c r="AN151"/>
  <c r="AO151"/>
  <c r="AP151"/>
  <c r="U152"/>
  <c r="X152"/>
  <c r="Y152"/>
  <c r="Z152"/>
  <c r="AA152"/>
  <c r="AB152"/>
  <c r="AC152"/>
  <c r="AD152"/>
  <c r="AE152"/>
  <c r="AF152"/>
  <c r="AH152"/>
  <c r="AI152"/>
  <c r="AJ152"/>
  <c r="AK152"/>
  <c r="AL152"/>
  <c r="AM152"/>
  <c r="AN152"/>
  <c r="AO152"/>
  <c r="AP152"/>
  <c r="U153"/>
  <c r="X153"/>
  <c r="Y153"/>
  <c r="Z153"/>
  <c r="AA153"/>
  <c r="AB153"/>
  <c r="AC153"/>
  <c r="AD153"/>
  <c r="AE153"/>
  <c r="AF153"/>
  <c r="AH153"/>
  <c r="AI153"/>
  <c r="AJ153"/>
  <c r="AK153"/>
  <c r="AL153"/>
  <c r="AM153"/>
  <c r="AN153"/>
  <c r="AO153"/>
  <c r="AP153"/>
  <c r="U154"/>
  <c r="X154"/>
  <c r="Y154"/>
  <c r="Z154"/>
  <c r="AA154"/>
  <c r="AB154"/>
  <c r="AC154"/>
  <c r="AD154"/>
  <c r="AE154"/>
  <c r="AF154"/>
  <c r="AH154"/>
  <c r="AI154"/>
  <c r="AJ154"/>
  <c r="AK154"/>
  <c r="AL154"/>
  <c r="AM154"/>
  <c r="AN154"/>
  <c r="AO154"/>
  <c r="AP154"/>
  <c r="U155"/>
  <c r="X155"/>
  <c r="Y155"/>
  <c r="Z155"/>
  <c r="AA155"/>
  <c r="AB155"/>
  <c r="AC155"/>
  <c r="AD155"/>
  <c r="AE155"/>
  <c r="AF155"/>
  <c r="AH155"/>
  <c r="AI155"/>
  <c r="AJ155"/>
  <c r="AK155"/>
  <c r="AL155"/>
  <c r="AM155"/>
  <c r="AN155"/>
  <c r="AO155"/>
  <c r="AP155"/>
  <c r="U156"/>
  <c r="X156"/>
  <c r="Y156"/>
  <c r="Z156"/>
  <c r="AA156"/>
  <c r="AB156"/>
  <c r="AC156"/>
  <c r="AD156"/>
  <c r="AE156"/>
  <c r="AF156"/>
  <c r="AH156"/>
  <c r="AI156"/>
  <c r="AJ156"/>
  <c r="AK156"/>
  <c r="AL156"/>
  <c r="AM156"/>
  <c r="AN156"/>
  <c r="AO156"/>
  <c r="AP156"/>
  <c r="U157"/>
  <c r="X157"/>
  <c r="Y157"/>
  <c r="Z157"/>
  <c r="AA157"/>
  <c r="AB157"/>
  <c r="AC157"/>
  <c r="AD157"/>
  <c r="AE157"/>
  <c r="AF157"/>
  <c r="AH157"/>
  <c r="AI157"/>
  <c r="AJ157"/>
  <c r="AK157"/>
  <c r="AL157"/>
  <c r="AM157"/>
  <c r="AN157"/>
  <c r="AO157"/>
  <c r="AP157"/>
  <c r="U158"/>
  <c r="X158"/>
  <c r="Y158"/>
  <c r="Z158"/>
  <c r="AA158"/>
  <c r="AB158"/>
  <c r="AC158"/>
  <c r="AD158"/>
  <c r="AE158"/>
  <c r="AF158"/>
  <c r="AH158"/>
  <c r="AI158"/>
  <c r="AJ158"/>
  <c r="AK158"/>
  <c r="AL158"/>
  <c r="AM158"/>
  <c r="AN158"/>
  <c r="AO158"/>
  <c r="AP158"/>
  <c r="U159"/>
  <c r="X159"/>
  <c r="Y159"/>
  <c r="Z159"/>
  <c r="AA159"/>
  <c r="AB159"/>
  <c r="AC159"/>
  <c r="AD159"/>
  <c r="AE159"/>
  <c r="AF159"/>
  <c r="AH159"/>
  <c r="AI159"/>
  <c r="AJ159"/>
  <c r="AK159"/>
  <c r="AL159"/>
  <c r="AM159"/>
  <c r="AN159"/>
  <c r="AO159"/>
  <c r="AP159"/>
  <c r="U160"/>
  <c r="X160"/>
  <c r="Y160"/>
  <c r="Z160"/>
  <c r="AA160"/>
  <c r="AB160"/>
  <c r="AC160"/>
  <c r="AD160"/>
  <c r="AE160"/>
  <c r="AF160"/>
  <c r="AH160"/>
  <c r="AI160"/>
  <c r="AJ160"/>
  <c r="AK160"/>
  <c r="AL160"/>
  <c r="AM160"/>
  <c r="AN160"/>
  <c r="AO160"/>
  <c r="AP160"/>
  <c r="U161"/>
  <c r="X161"/>
  <c r="Y161"/>
  <c r="Z161"/>
  <c r="AA161"/>
  <c r="AB161"/>
  <c r="AC161"/>
  <c r="AD161"/>
  <c r="AE161"/>
  <c r="AF161"/>
  <c r="AH161"/>
  <c r="AI161"/>
  <c r="AJ161"/>
  <c r="AK161"/>
  <c r="AL161"/>
  <c r="AM161"/>
  <c r="AN161"/>
  <c r="AO161"/>
  <c r="AP161"/>
  <c r="U162"/>
  <c r="X162"/>
  <c r="Y162"/>
  <c r="Z162"/>
  <c r="AA162"/>
  <c r="AB162"/>
  <c r="AC162"/>
  <c r="AD162"/>
  <c r="AE162"/>
  <c r="AF162"/>
  <c r="AH162"/>
  <c r="AI162"/>
  <c r="AJ162"/>
  <c r="AK162"/>
  <c r="AL162"/>
  <c r="AM162"/>
  <c r="AN162"/>
  <c r="AO162"/>
  <c r="AP162"/>
  <c r="U163"/>
  <c r="X163"/>
  <c r="Y163"/>
  <c r="Z163"/>
  <c r="AA163"/>
  <c r="AB163"/>
  <c r="AC163"/>
  <c r="AD163"/>
  <c r="AE163"/>
  <c r="AF163"/>
  <c r="AH163"/>
  <c r="AI163"/>
  <c r="AJ163"/>
  <c r="AK163"/>
  <c r="AL163"/>
  <c r="AM163"/>
  <c r="AN163"/>
  <c r="AO163"/>
  <c r="AP163"/>
  <c r="U164"/>
  <c r="X164"/>
  <c r="Y164"/>
  <c r="Z164"/>
  <c r="AA164"/>
  <c r="AB164"/>
  <c r="AC164"/>
  <c r="AD164"/>
  <c r="AE164"/>
  <c r="AF164"/>
  <c r="AH164"/>
  <c r="AI164"/>
  <c r="AJ164"/>
  <c r="AK164"/>
  <c r="AL164"/>
  <c r="AM164"/>
  <c r="AN164"/>
  <c r="AO164"/>
  <c r="AP164"/>
  <c r="U165"/>
  <c r="X165"/>
  <c r="Y165"/>
  <c r="Z165"/>
  <c r="AA165"/>
  <c r="AB165"/>
  <c r="AC165"/>
  <c r="AD165"/>
  <c r="AE165"/>
  <c r="AF165"/>
  <c r="AH165"/>
  <c r="AI165"/>
  <c r="AJ165"/>
  <c r="AK165"/>
  <c r="AL165"/>
  <c r="AM165"/>
  <c r="AN165"/>
  <c r="AO165"/>
  <c r="AP165"/>
  <c r="U166"/>
  <c r="X166"/>
  <c r="Y166"/>
  <c r="Z166"/>
  <c r="AA166"/>
  <c r="AB166"/>
  <c r="AC166"/>
  <c r="AD166"/>
  <c r="AE166"/>
  <c r="AF166"/>
  <c r="AH166"/>
  <c r="AI166"/>
  <c r="AJ166"/>
  <c r="AK166"/>
  <c r="AL166"/>
  <c r="AM166"/>
  <c r="AN166"/>
  <c r="AO166"/>
  <c r="AP166"/>
  <c r="U167"/>
  <c r="X167"/>
  <c r="Y167"/>
  <c r="Z167"/>
  <c r="AA167"/>
  <c r="AB167"/>
  <c r="AC167"/>
  <c r="AD167"/>
  <c r="AE167"/>
  <c r="AF167"/>
  <c r="AH167"/>
  <c r="AI167"/>
  <c r="AJ167"/>
  <c r="AK167"/>
  <c r="AL167"/>
  <c r="AM167"/>
  <c r="AN167"/>
  <c r="AO167"/>
  <c r="AP167"/>
  <c r="U168"/>
  <c r="X168"/>
  <c r="Y168"/>
  <c r="Z168"/>
  <c r="AA168"/>
  <c r="AB168"/>
  <c r="AC168"/>
  <c r="AD168"/>
  <c r="AE168"/>
  <c r="AF168"/>
  <c r="AH168"/>
  <c r="AI168"/>
  <c r="AJ168"/>
  <c r="AK168"/>
  <c r="AL168"/>
  <c r="AM168"/>
  <c r="AN168"/>
  <c r="AO168"/>
  <c r="AP168"/>
  <c r="U169"/>
  <c r="X169"/>
  <c r="Y169"/>
  <c r="Z169"/>
  <c r="AA169"/>
  <c r="AB169"/>
  <c r="AC169"/>
  <c r="AD169"/>
  <c r="AE169"/>
  <c r="AF169"/>
  <c r="AH169"/>
  <c r="AI169"/>
  <c r="AJ169"/>
  <c r="AK169"/>
  <c r="AL169"/>
  <c r="AM169"/>
  <c r="AN169"/>
  <c r="AO169"/>
  <c r="AP169"/>
  <c r="U170"/>
  <c r="X170"/>
  <c r="Y170"/>
  <c r="Z170"/>
  <c r="AA170"/>
  <c r="AB170"/>
  <c r="AC170"/>
  <c r="AD170"/>
  <c r="AE170"/>
  <c r="AF170"/>
  <c r="AH170"/>
  <c r="AI170"/>
  <c r="AJ170"/>
  <c r="AK170"/>
  <c r="AL170"/>
  <c r="AM170"/>
  <c r="AN170"/>
  <c r="AO170"/>
  <c r="AP170"/>
  <c r="U171"/>
  <c r="X171"/>
  <c r="Y171"/>
  <c r="Z171"/>
  <c r="AA171"/>
  <c r="AB171"/>
  <c r="AC171"/>
  <c r="AD171"/>
  <c r="AE171"/>
  <c r="AF171"/>
  <c r="AH171"/>
  <c r="AI171"/>
  <c r="AJ171"/>
  <c r="AK171"/>
  <c r="AL171"/>
  <c r="AM171"/>
  <c r="AN171"/>
  <c r="AO171"/>
  <c r="AP171"/>
  <c r="U172"/>
  <c r="X172"/>
  <c r="Y172"/>
  <c r="Z172"/>
  <c r="AA172"/>
  <c r="AB172"/>
  <c r="AC172"/>
  <c r="AD172"/>
  <c r="AE172"/>
  <c r="AF172"/>
  <c r="AH172"/>
  <c r="AI172"/>
  <c r="AJ172"/>
  <c r="AK172"/>
  <c r="AL172"/>
  <c r="AM172"/>
  <c r="AN172"/>
  <c r="AO172"/>
  <c r="AP172"/>
  <c r="U173"/>
  <c r="X173"/>
  <c r="Y173"/>
  <c r="Z173"/>
  <c r="AA173"/>
  <c r="AB173"/>
  <c r="AC173"/>
  <c r="AD173"/>
  <c r="AE173"/>
  <c r="AF173"/>
  <c r="AH173"/>
  <c r="AI173"/>
  <c r="AJ173"/>
  <c r="AK173"/>
  <c r="AL173"/>
  <c r="AM173"/>
  <c r="AN173"/>
  <c r="AO173"/>
  <c r="AP173"/>
  <c r="U174"/>
  <c r="X174"/>
  <c r="Y174"/>
  <c r="Z174"/>
  <c r="AA174"/>
  <c r="AB174"/>
  <c r="AC174"/>
  <c r="AD174"/>
  <c r="AE174"/>
  <c r="AF174"/>
  <c r="AH174"/>
  <c r="AI174"/>
  <c r="AJ174"/>
  <c r="AK174"/>
  <c r="AL174"/>
  <c r="AM174"/>
  <c r="AN174"/>
  <c r="AO174"/>
  <c r="AP174"/>
  <c r="U175"/>
  <c r="X175"/>
  <c r="Y175"/>
  <c r="Z175"/>
  <c r="AA175"/>
  <c r="AB175"/>
  <c r="AC175"/>
  <c r="AD175"/>
  <c r="AE175"/>
  <c r="AF175"/>
  <c r="AH175"/>
  <c r="AI175"/>
  <c r="AJ175"/>
  <c r="AK175"/>
  <c r="AL175"/>
  <c r="AM175"/>
  <c r="AN175"/>
  <c r="AO175"/>
  <c r="AP175"/>
  <c r="U176"/>
  <c r="X176"/>
  <c r="Y176"/>
  <c r="Z176"/>
  <c r="AA176"/>
  <c r="AB176"/>
  <c r="AC176"/>
  <c r="AD176"/>
  <c r="AE176"/>
  <c r="AF176"/>
  <c r="AH176"/>
  <c r="AI176"/>
  <c r="AJ176"/>
  <c r="AK176"/>
  <c r="AL176"/>
  <c r="AM176"/>
  <c r="AN176"/>
  <c r="AO176"/>
  <c r="AP176"/>
  <c r="U177"/>
  <c r="X177"/>
  <c r="Y177"/>
  <c r="Z177"/>
  <c r="AA177"/>
  <c r="AB177"/>
  <c r="AC177"/>
  <c r="AD177"/>
  <c r="AE177"/>
  <c r="AF177"/>
  <c r="AH177"/>
  <c r="AI177"/>
  <c r="AJ177"/>
  <c r="AK177"/>
  <c r="AL177"/>
  <c r="AM177"/>
  <c r="AN177"/>
  <c r="AO177"/>
  <c r="AP177"/>
  <c r="U178"/>
  <c r="X178"/>
  <c r="Y178"/>
  <c r="Z178"/>
  <c r="AA178"/>
  <c r="AB178"/>
  <c r="AC178"/>
  <c r="AD178"/>
  <c r="AE178"/>
  <c r="AF178"/>
  <c r="AH178"/>
  <c r="AI178"/>
  <c r="AJ178"/>
  <c r="AK178"/>
  <c r="AL178"/>
  <c r="AM178"/>
  <c r="AN178"/>
  <c r="AO178"/>
  <c r="AP178"/>
  <c r="U179"/>
  <c r="X179"/>
  <c r="Y179"/>
  <c r="Z179"/>
  <c r="AA179"/>
  <c r="AB179"/>
  <c r="AC179"/>
  <c r="AD179"/>
  <c r="AE179"/>
  <c r="AF179"/>
  <c r="AH179"/>
  <c r="AI179"/>
  <c r="AJ179"/>
  <c r="AK179"/>
  <c r="AL179"/>
  <c r="AM179"/>
  <c r="AN179"/>
  <c r="AO179"/>
  <c r="AP179"/>
  <c r="U180"/>
  <c r="X180"/>
  <c r="Y180"/>
  <c r="Z180"/>
  <c r="AA180"/>
  <c r="AB180"/>
  <c r="AC180"/>
  <c r="AD180"/>
  <c r="AE180"/>
  <c r="AF180"/>
  <c r="AH180"/>
  <c r="AI180"/>
  <c r="AJ180"/>
  <c r="AK180"/>
  <c r="AL180"/>
  <c r="AM180"/>
  <c r="AN180"/>
  <c r="AO180"/>
  <c r="AP180"/>
  <c r="U181"/>
  <c r="X181"/>
  <c r="Y181"/>
  <c r="Z181"/>
  <c r="AA181"/>
  <c r="AB181"/>
  <c r="AC181"/>
  <c r="AD181"/>
  <c r="AE181"/>
  <c r="AF181"/>
  <c r="AH181"/>
  <c r="AI181"/>
  <c r="AJ181"/>
  <c r="AK181"/>
  <c r="AL181"/>
  <c r="AM181"/>
  <c r="AN181"/>
  <c r="AO181"/>
  <c r="AP181"/>
  <c r="U182"/>
  <c r="X182"/>
  <c r="Y182"/>
  <c r="Z182"/>
  <c r="AA182"/>
  <c r="AB182"/>
  <c r="AC182"/>
  <c r="AD182"/>
  <c r="AE182"/>
  <c r="AF182"/>
  <c r="AH182"/>
  <c r="AI182"/>
  <c r="AJ182"/>
  <c r="AK182"/>
  <c r="AL182"/>
  <c r="AM182"/>
  <c r="AN182"/>
  <c r="AO182"/>
  <c r="AP182"/>
  <c r="U183"/>
  <c r="X183"/>
  <c r="Y183"/>
  <c r="Z183"/>
  <c r="AA183"/>
  <c r="AB183"/>
  <c r="AC183"/>
  <c r="AD183"/>
  <c r="AE183"/>
  <c r="AF183"/>
  <c r="AH183"/>
  <c r="AI183"/>
  <c r="AJ183"/>
  <c r="AK183"/>
  <c r="AL183"/>
  <c r="AM183"/>
  <c r="AN183"/>
  <c r="AO183"/>
  <c r="AP183"/>
  <c r="U184"/>
  <c r="X184"/>
  <c r="Y184"/>
  <c r="Z184"/>
  <c r="AA184"/>
  <c r="AB184"/>
  <c r="AC184"/>
  <c r="AD184"/>
  <c r="AE184"/>
  <c r="AF184"/>
  <c r="AH184"/>
  <c r="AI184"/>
  <c r="AJ184"/>
  <c r="AK184"/>
  <c r="AL184"/>
  <c r="AM184"/>
  <c r="AN184"/>
  <c r="AO184"/>
  <c r="AP184"/>
  <c r="U185"/>
  <c r="X185"/>
  <c r="Y185"/>
  <c r="Z185"/>
  <c r="AA185"/>
  <c r="AB185"/>
  <c r="AC185"/>
  <c r="AD185"/>
  <c r="AE185"/>
  <c r="AF185"/>
  <c r="AH185"/>
  <c r="AI185"/>
  <c r="AJ185"/>
  <c r="AK185"/>
  <c r="AL185"/>
  <c r="AM185"/>
  <c r="AN185"/>
  <c r="AO185"/>
  <c r="AP185"/>
  <c r="U186"/>
  <c r="X186"/>
  <c r="Y186"/>
  <c r="Z186"/>
  <c r="AA186"/>
  <c r="AB186"/>
  <c r="AC186"/>
  <c r="AD186"/>
  <c r="AE186"/>
  <c r="AF186"/>
  <c r="AH186"/>
  <c r="AI186"/>
  <c r="AJ186"/>
  <c r="AK186"/>
  <c r="AL186"/>
  <c r="AM186"/>
  <c r="AN186"/>
  <c r="AO186"/>
  <c r="AP186"/>
  <c r="U187"/>
  <c r="X187"/>
  <c r="Y187"/>
  <c r="Z187"/>
  <c r="AA187"/>
  <c r="AB187"/>
  <c r="AC187"/>
  <c r="AD187"/>
  <c r="AE187"/>
  <c r="AF187"/>
  <c r="AH187"/>
  <c r="AI187"/>
  <c r="AJ187"/>
  <c r="AK187"/>
  <c r="AL187"/>
  <c r="AM187"/>
  <c r="AN187"/>
  <c r="AO187"/>
  <c r="AP187"/>
  <c r="U188"/>
  <c r="X188"/>
  <c r="Y188"/>
  <c r="Z188"/>
  <c r="AA188"/>
  <c r="AB188"/>
  <c r="AC188"/>
  <c r="AD188"/>
  <c r="AE188"/>
  <c r="AF188"/>
  <c r="AH188"/>
  <c r="AI188"/>
  <c r="AJ188"/>
  <c r="AK188"/>
  <c r="AL188"/>
  <c r="AM188"/>
  <c r="AN188"/>
  <c r="AO188"/>
  <c r="AP188"/>
  <c r="U189"/>
  <c r="X189"/>
  <c r="Y189"/>
  <c r="Z189"/>
  <c r="AA189"/>
  <c r="AB189"/>
  <c r="AC189"/>
  <c r="AD189"/>
  <c r="AE189"/>
  <c r="AF189"/>
  <c r="AH189"/>
  <c r="AI189"/>
  <c r="AJ189"/>
  <c r="AK189"/>
  <c r="AL189"/>
  <c r="AM189"/>
  <c r="AN189"/>
  <c r="AO189"/>
  <c r="AP189"/>
  <c r="U190"/>
  <c r="X190"/>
  <c r="Y190"/>
  <c r="Z190"/>
  <c r="AA190"/>
  <c r="AB190"/>
  <c r="AC190"/>
  <c r="AD190"/>
  <c r="AE190"/>
  <c r="AF190"/>
  <c r="AH190"/>
  <c r="AI190"/>
  <c r="AJ190"/>
  <c r="AK190"/>
  <c r="AL190"/>
  <c r="AM190"/>
  <c r="AN190"/>
  <c r="AO190"/>
  <c r="AP190"/>
  <c r="U191"/>
  <c r="X191"/>
  <c r="Y191"/>
  <c r="Z191"/>
  <c r="AA191"/>
  <c r="AB191"/>
  <c r="AC191"/>
  <c r="AD191"/>
  <c r="AE191"/>
  <c r="AF191"/>
  <c r="AH191"/>
  <c r="AI191"/>
  <c r="AJ191"/>
  <c r="AK191"/>
  <c r="AL191"/>
  <c r="AM191"/>
  <c r="AN191"/>
  <c r="AO191"/>
  <c r="AP191"/>
  <c r="U192"/>
  <c r="X192"/>
  <c r="Y192"/>
  <c r="Z192"/>
  <c r="AA192"/>
  <c r="AB192"/>
  <c r="AC192"/>
  <c r="AD192"/>
  <c r="AE192"/>
  <c r="AF192"/>
  <c r="AH192"/>
  <c r="AI192"/>
  <c r="AJ192"/>
  <c r="AK192"/>
  <c r="AL192"/>
  <c r="AM192"/>
  <c r="AN192"/>
  <c r="AO192"/>
  <c r="AP192"/>
  <c r="U193"/>
  <c r="X193"/>
  <c r="Y193"/>
  <c r="Z193"/>
  <c r="AA193"/>
  <c r="AB193"/>
  <c r="AC193"/>
  <c r="AD193"/>
  <c r="AE193"/>
  <c r="AF193"/>
  <c r="AH193"/>
  <c r="AI193"/>
  <c r="AJ193"/>
  <c r="AK193"/>
  <c r="AL193"/>
  <c r="AM193"/>
  <c r="AN193"/>
  <c r="AO193"/>
  <c r="AP193"/>
  <c r="U194"/>
  <c r="X194"/>
  <c r="Y194"/>
  <c r="Z194"/>
  <c r="AA194"/>
  <c r="AB194"/>
  <c r="AC194"/>
  <c r="AD194"/>
  <c r="AE194"/>
  <c r="AF194"/>
  <c r="AH194"/>
  <c r="AI194"/>
  <c r="AJ194"/>
  <c r="AK194"/>
  <c r="AL194"/>
  <c r="AM194"/>
  <c r="AN194"/>
  <c r="AO194"/>
  <c r="AP194"/>
  <c r="U195"/>
  <c r="X195"/>
  <c r="Y195"/>
  <c r="Z195"/>
  <c r="AA195"/>
  <c r="AB195"/>
  <c r="AC195"/>
  <c r="AD195"/>
  <c r="AE195"/>
  <c r="AF195"/>
  <c r="AH195"/>
  <c r="AI195"/>
  <c r="AJ195"/>
  <c r="AK195"/>
  <c r="AL195"/>
  <c r="AM195"/>
  <c r="AN195"/>
  <c r="AO195"/>
  <c r="AP195"/>
  <c r="U196"/>
  <c r="X196"/>
  <c r="Y196"/>
  <c r="Z196"/>
  <c r="AA196"/>
  <c r="AB196"/>
  <c r="AC196"/>
  <c r="AD196"/>
  <c r="AE196"/>
  <c r="AF196"/>
  <c r="AH196"/>
  <c r="AI196"/>
  <c r="AJ196"/>
  <c r="AK196"/>
  <c r="AL196"/>
  <c r="AM196"/>
  <c r="AN196"/>
  <c r="AO196"/>
  <c r="AP196"/>
  <c r="U197"/>
  <c r="X197"/>
  <c r="Y197"/>
  <c r="Z197"/>
  <c r="AA197"/>
  <c r="AB197"/>
  <c r="AC197"/>
  <c r="AD197"/>
  <c r="AE197"/>
  <c r="AF197"/>
  <c r="AH197"/>
  <c r="AI197"/>
  <c r="AJ197"/>
  <c r="AK197"/>
  <c r="AL197"/>
  <c r="AM197"/>
  <c r="AN197"/>
  <c r="AO197"/>
  <c r="AP197"/>
  <c r="U198"/>
  <c r="X198"/>
  <c r="Y198"/>
  <c r="Z198"/>
  <c r="AA198"/>
  <c r="AB198"/>
  <c r="AC198"/>
  <c r="AD198"/>
  <c r="AE198"/>
  <c r="AF198"/>
  <c r="AH198"/>
  <c r="AI198"/>
  <c r="AJ198"/>
  <c r="AK198"/>
  <c r="AL198"/>
  <c r="AM198"/>
  <c r="AN198"/>
  <c r="AO198"/>
  <c r="AP198"/>
  <c r="U199"/>
  <c r="X199"/>
  <c r="Y199"/>
  <c r="Z199"/>
  <c r="AA199"/>
  <c r="AB199"/>
  <c r="AC199"/>
  <c r="AD199"/>
  <c r="AE199"/>
  <c r="AF199"/>
  <c r="AH199"/>
  <c r="AI199"/>
  <c r="AJ199"/>
  <c r="AK199"/>
  <c r="AL199"/>
  <c r="AM199"/>
  <c r="AN199"/>
  <c r="AO199"/>
  <c r="AP199"/>
  <c r="U200"/>
  <c r="X200"/>
  <c r="Y200"/>
  <c r="Z200"/>
  <c r="AA200"/>
  <c r="AB200"/>
  <c r="AC200"/>
  <c r="AD200"/>
  <c r="AE200"/>
  <c r="AF200"/>
  <c r="AH200"/>
  <c r="AI200"/>
  <c r="AJ200"/>
  <c r="AK200"/>
  <c r="AL200"/>
  <c r="AM200"/>
  <c r="AN200"/>
  <c r="AO200"/>
  <c r="AP200"/>
  <c r="U201"/>
  <c r="X201"/>
  <c r="Y201"/>
  <c r="Z201"/>
  <c r="AA201"/>
  <c r="AB201"/>
  <c r="AC201"/>
  <c r="AD201"/>
  <c r="AE201"/>
  <c r="AF201"/>
  <c r="AH201"/>
  <c r="AI201"/>
  <c r="AJ201"/>
  <c r="AK201"/>
  <c r="AL201"/>
  <c r="AM201"/>
  <c r="AN201"/>
  <c r="AO201"/>
  <c r="AP201"/>
  <c r="U202"/>
  <c r="X202"/>
  <c r="Y202"/>
  <c r="Z202"/>
  <c r="AA202"/>
  <c r="AB202"/>
  <c r="AC202"/>
  <c r="AD202"/>
  <c r="AE202"/>
  <c r="AF202"/>
  <c r="AH202"/>
  <c r="AI202"/>
  <c r="AJ202"/>
  <c r="AK202"/>
  <c r="AL202"/>
  <c r="AM202"/>
  <c r="AN202"/>
  <c r="AO202"/>
  <c r="AP202"/>
  <c r="U203"/>
  <c r="X203"/>
  <c r="Y203"/>
  <c r="Z203"/>
  <c r="AA203"/>
  <c r="AB203"/>
  <c r="AC203"/>
  <c r="AD203"/>
  <c r="AE203"/>
  <c r="AF203"/>
  <c r="AH203"/>
  <c r="AI203"/>
  <c r="AJ203"/>
  <c r="AK203"/>
  <c r="AL203"/>
  <c r="AM203"/>
  <c r="AN203"/>
  <c r="AO203"/>
  <c r="AP203"/>
  <c r="U204"/>
  <c r="X204"/>
  <c r="Y204"/>
  <c r="Z204"/>
  <c r="AA204"/>
  <c r="AB204"/>
  <c r="AC204"/>
  <c r="AD204"/>
  <c r="AE204"/>
  <c r="AF204"/>
  <c r="AH204"/>
  <c r="AI204"/>
  <c r="AJ204"/>
  <c r="AK204"/>
  <c r="AL204"/>
  <c r="AM204"/>
  <c r="AN204"/>
  <c r="AO204"/>
  <c r="AP204"/>
  <c r="U205"/>
  <c r="X205"/>
  <c r="Y205"/>
  <c r="Z205"/>
  <c r="AA205"/>
  <c r="AB205"/>
  <c r="AC205"/>
  <c r="AD205"/>
  <c r="AE205"/>
  <c r="AF205"/>
  <c r="AH205"/>
  <c r="AI205"/>
  <c r="AJ205"/>
  <c r="AK205"/>
  <c r="AL205"/>
  <c r="AM205"/>
  <c r="AN205"/>
  <c r="AO205"/>
  <c r="AP205"/>
  <c r="U206"/>
  <c r="X206"/>
  <c r="Y206"/>
  <c r="Z206"/>
  <c r="AA206"/>
  <c r="AB206"/>
  <c r="AC206"/>
  <c r="AD206"/>
  <c r="AE206"/>
  <c r="AF206"/>
  <c r="AH206"/>
  <c r="AI206"/>
  <c r="AJ206"/>
  <c r="AK206"/>
  <c r="AL206"/>
  <c r="AM206"/>
  <c r="AN206"/>
  <c r="AO206"/>
  <c r="AP206"/>
  <c r="U207"/>
  <c r="X207"/>
  <c r="Y207"/>
  <c r="Z207"/>
  <c r="AA207"/>
  <c r="AB207"/>
  <c r="AC207"/>
  <c r="AD207"/>
  <c r="AE207"/>
  <c r="AF207"/>
  <c r="AH207"/>
  <c r="AI207"/>
  <c r="AJ207"/>
  <c r="AK207"/>
  <c r="AL207"/>
  <c r="AM207"/>
  <c r="AN207"/>
  <c r="AO207"/>
  <c r="AP207"/>
  <c r="U208"/>
  <c r="X208"/>
  <c r="Y208"/>
  <c r="Z208"/>
  <c r="AA208"/>
  <c r="AB208"/>
  <c r="AC208"/>
  <c r="AD208"/>
  <c r="AE208"/>
  <c r="AF208"/>
  <c r="AH208"/>
  <c r="AI208"/>
  <c r="AJ208"/>
  <c r="AK208"/>
  <c r="AL208"/>
  <c r="AM208"/>
  <c r="AN208"/>
  <c r="AO208"/>
  <c r="AP208"/>
  <c r="U209"/>
  <c r="X209"/>
  <c r="Y209"/>
  <c r="Z209"/>
  <c r="AA209"/>
  <c r="AB209"/>
  <c r="AC209"/>
  <c r="AD209"/>
  <c r="AE209"/>
  <c r="AF209"/>
  <c r="AH209"/>
  <c r="AI209"/>
  <c r="AJ209"/>
  <c r="AK209"/>
  <c r="AL209"/>
  <c r="AM209"/>
  <c r="AN209"/>
  <c r="AO209"/>
  <c r="AP209"/>
  <c r="U210"/>
  <c r="X210"/>
  <c r="Y210"/>
  <c r="Z210"/>
  <c r="AA210"/>
  <c r="AB210"/>
  <c r="AC210"/>
  <c r="AD210"/>
  <c r="AE210"/>
  <c r="AF210"/>
  <c r="AH210"/>
  <c r="AI210"/>
  <c r="AJ210"/>
  <c r="AK210"/>
  <c r="AL210"/>
  <c r="AM210"/>
  <c r="AN210"/>
  <c r="AO210"/>
  <c r="AP210"/>
  <c r="U211"/>
  <c r="X211"/>
  <c r="Y211"/>
  <c r="Z211"/>
  <c r="AA211"/>
  <c r="AB211"/>
  <c r="AC211"/>
  <c r="AD211"/>
  <c r="AE211"/>
  <c r="AF211"/>
  <c r="AH211"/>
  <c r="AI211"/>
  <c r="AJ211"/>
  <c r="AK211"/>
  <c r="AL211"/>
  <c r="AM211"/>
  <c r="AN211"/>
  <c r="AO211"/>
  <c r="AP211"/>
  <c r="U212"/>
  <c r="X212"/>
  <c r="Y212"/>
  <c r="Z212"/>
  <c r="AA212"/>
  <c r="AB212"/>
  <c r="AC212"/>
  <c r="AD212"/>
  <c r="AE212"/>
  <c r="AF212"/>
  <c r="AH212"/>
  <c r="AI212"/>
  <c r="AJ212"/>
  <c r="AK212"/>
  <c r="AL212"/>
  <c r="AM212"/>
  <c r="AN212"/>
  <c r="AO212"/>
  <c r="AP212"/>
  <c r="U213"/>
  <c r="X213"/>
  <c r="Y213"/>
  <c r="Z213"/>
  <c r="AA213"/>
  <c r="AB213"/>
  <c r="AC213"/>
  <c r="AD213"/>
  <c r="AE213"/>
  <c r="AF213"/>
  <c r="AH213"/>
  <c r="AI213"/>
  <c r="AJ213"/>
  <c r="AK213"/>
  <c r="AL213"/>
  <c r="AM213"/>
  <c r="AN213"/>
  <c r="AO213"/>
  <c r="AP213"/>
  <c r="U214"/>
  <c r="X214"/>
  <c r="Y214"/>
  <c r="Z214"/>
  <c r="AA214"/>
  <c r="AB214"/>
  <c r="AC214"/>
  <c r="AD214"/>
  <c r="AE214"/>
  <c r="AF214"/>
  <c r="AH214"/>
  <c r="AI214"/>
  <c r="AJ214"/>
  <c r="AK214"/>
  <c r="AL214"/>
  <c r="AM214"/>
  <c r="AN214"/>
  <c r="AO214"/>
  <c r="AP214"/>
  <c r="U215"/>
  <c r="X215"/>
  <c r="Y215"/>
  <c r="Z215"/>
  <c r="AA215"/>
  <c r="AB215"/>
  <c r="AC215"/>
  <c r="AD215"/>
  <c r="AE215"/>
  <c r="AF215"/>
  <c r="AH215"/>
  <c r="AI215"/>
  <c r="AJ215"/>
  <c r="AK215"/>
  <c r="AL215"/>
  <c r="AM215"/>
  <c r="AN215"/>
  <c r="AO215"/>
  <c r="AP215"/>
  <c r="U216"/>
  <c r="X216"/>
  <c r="Y216"/>
  <c r="Z216"/>
  <c r="AA216"/>
  <c r="AB216"/>
  <c r="AC216"/>
  <c r="AD216"/>
  <c r="AE216"/>
  <c r="AF216"/>
  <c r="AH216"/>
  <c r="AI216"/>
  <c r="AJ216"/>
  <c r="AK216"/>
  <c r="AL216"/>
  <c r="AM216"/>
  <c r="AN216"/>
  <c r="AO216"/>
  <c r="AP216"/>
  <c r="U217"/>
  <c r="X217"/>
  <c r="Y217"/>
  <c r="Z217"/>
  <c r="AA217"/>
  <c r="AB217"/>
  <c r="AC217"/>
  <c r="AD217"/>
  <c r="AE217"/>
  <c r="AF217"/>
  <c r="AH217"/>
  <c r="AI217"/>
  <c r="AJ217"/>
  <c r="AK217"/>
  <c r="AL217"/>
  <c r="AM217"/>
  <c r="AN217"/>
  <c r="AO217"/>
  <c r="AP217"/>
  <c r="U218"/>
  <c r="X218"/>
  <c r="Y218"/>
  <c r="Z218"/>
  <c r="AA218"/>
  <c r="AB218"/>
  <c r="AC218"/>
  <c r="AD218"/>
  <c r="AE218"/>
  <c r="AF218"/>
  <c r="AH218"/>
  <c r="AI218"/>
  <c r="AJ218"/>
  <c r="AK218"/>
  <c r="AL218"/>
  <c r="AM218"/>
  <c r="AN218"/>
  <c r="AO218"/>
  <c r="AP218"/>
  <c r="U219"/>
  <c r="X219"/>
  <c r="Y219"/>
  <c r="Z219"/>
  <c r="AA219"/>
  <c r="AB219"/>
  <c r="AC219"/>
  <c r="AD219"/>
  <c r="AE219"/>
  <c r="AF219"/>
  <c r="AH219"/>
  <c r="AI219"/>
  <c r="AJ219"/>
  <c r="AK219"/>
  <c r="AL219"/>
  <c r="AM219"/>
  <c r="AN219"/>
  <c r="AO219"/>
  <c r="AP219"/>
  <c r="U220"/>
  <c r="X220"/>
  <c r="Y220"/>
  <c r="Z220"/>
  <c r="AA220"/>
  <c r="AB220"/>
  <c r="AC220"/>
  <c r="AD220"/>
  <c r="AE220"/>
  <c r="AF220"/>
  <c r="AH220"/>
  <c r="AI220"/>
  <c r="AJ220"/>
  <c r="AK220"/>
  <c r="AL220"/>
  <c r="AM220"/>
  <c r="AN220"/>
  <c r="AO220"/>
  <c r="AP220"/>
  <c r="U221"/>
  <c r="X221"/>
  <c r="Y221"/>
  <c r="Z221"/>
  <c r="AA221"/>
  <c r="AB221"/>
  <c r="AC221"/>
  <c r="AD221"/>
  <c r="AE221"/>
  <c r="AF221"/>
  <c r="AH221"/>
  <c r="AI221"/>
  <c r="AJ221"/>
  <c r="AK221"/>
  <c r="AL221"/>
  <c r="AM221"/>
  <c r="AN221"/>
  <c r="AO221"/>
  <c r="AP221"/>
  <c r="U222"/>
  <c r="X222"/>
  <c r="Y222"/>
  <c r="Z222"/>
  <c r="AA222"/>
  <c r="AB222"/>
  <c r="AC222"/>
  <c r="AD222"/>
  <c r="AE222"/>
  <c r="AF222"/>
  <c r="AH222"/>
  <c r="AI222"/>
  <c r="AJ222"/>
  <c r="AK222"/>
  <c r="AL222"/>
  <c r="AM222"/>
  <c r="AN222"/>
  <c r="AO222"/>
  <c r="AP222"/>
  <c r="U223"/>
  <c r="X223"/>
  <c r="Y223"/>
  <c r="Z223"/>
  <c r="AA223"/>
  <c r="AB223"/>
  <c r="AC223"/>
  <c r="AD223"/>
  <c r="AE223"/>
  <c r="AF223"/>
  <c r="AH223"/>
  <c r="AI223"/>
  <c r="AJ223"/>
  <c r="AK223"/>
  <c r="AL223"/>
  <c r="AM223"/>
  <c r="AN223"/>
  <c r="AO223"/>
  <c r="AP223"/>
  <c r="U224"/>
  <c r="X224"/>
  <c r="Y224"/>
  <c r="Z224"/>
  <c r="AA224"/>
  <c r="AB224"/>
  <c r="AC224"/>
  <c r="AD224"/>
  <c r="AE224"/>
  <c r="AF224"/>
  <c r="AH224"/>
  <c r="AI224"/>
  <c r="AJ224"/>
  <c r="AK224"/>
  <c r="AL224"/>
  <c r="AM224"/>
  <c r="AN224"/>
  <c r="AO224"/>
  <c r="AP224"/>
  <c r="U225"/>
  <c r="X225"/>
  <c r="Y225"/>
  <c r="Z225"/>
  <c r="AA225"/>
  <c r="AB225"/>
  <c r="AC225"/>
  <c r="AD225"/>
  <c r="AE225"/>
  <c r="AF225"/>
  <c r="AH225"/>
  <c r="AI225"/>
  <c r="AJ225"/>
  <c r="AK225"/>
  <c r="AL225"/>
  <c r="AM225"/>
  <c r="AN225"/>
  <c r="AO225"/>
  <c r="AP225"/>
  <c r="U226"/>
  <c r="X226"/>
  <c r="Y226"/>
  <c r="Z226"/>
  <c r="AA226"/>
  <c r="AB226"/>
  <c r="AC226"/>
  <c r="AD226"/>
  <c r="AE226"/>
  <c r="AF226"/>
  <c r="AH226"/>
  <c r="AI226"/>
  <c r="AJ226"/>
  <c r="AK226"/>
  <c r="AL226"/>
  <c r="AM226"/>
  <c r="AN226"/>
  <c r="AO226"/>
  <c r="AP226"/>
  <c r="U227"/>
  <c r="X227"/>
  <c r="Y227"/>
  <c r="Z227"/>
  <c r="AA227"/>
  <c r="AB227"/>
  <c r="AC227"/>
  <c r="AD227"/>
  <c r="AE227"/>
  <c r="AF227"/>
  <c r="AH227"/>
  <c r="AI227"/>
  <c r="AJ227"/>
  <c r="AK227"/>
  <c r="AL227"/>
  <c r="AM227"/>
  <c r="AN227"/>
  <c r="AO227"/>
  <c r="AP227"/>
  <c r="U228"/>
  <c r="X228"/>
  <c r="Y228"/>
  <c r="Z228"/>
  <c r="AA228"/>
  <c r="AB228"/>
  <c r="AC228"/>
  <c r="AD228"/>
  <c r="AE228"/>
  <c r="AF228"/>
  <c r="AH228"/>
  <c r="AI228"/>
  <c r="AJ228"/>
  <c r="AK228"/>
  <c r="AL228"/>
  <c r="AM228"/>
  <c r="AN228"/>
  <c r="AO228"/>
  <c r="AP228"/>
  <c r="U229"/>
  <c r="X229"/>
  <c r="Y229"/>
  <c r="Z229"/>
  <c r="AA229"/>
  <c r="AB229"/>
  <c r="AC229"/>
  <c r="AD229"/>
  <c r="AE229"/>
  <c r="AF229"/>
  <c r="AH229"/>
  <c r="AI229"/>
  <c r="AJ229"/>
  <c r="AK229"/>
  <c r="AL229"/>
  <c r="AM229"/>
  <c r="AN229"/>
  <c r="AO229"/>
  <c r="AP229"/>
  <c r="U230"/>
  <c r="X230"/>
  <c r="Y230"/>
  <c r="Z230"/>
  <c r="AA230"/>
  <c r="AB230"/>
  <c r="AC230"/>
  <c r="AD230"/>
  <c r="AE230"/>
  <c r="AF230"/>
  <c r="AH230"/>
  <c r="AI230"/>
  <c r="AJ230"/>
  <c r="AK230"/>
  <c r="AL230"/>
  <c r="AM230"/>
  <c r="AN230"/>
  <c r="AO230"/>
  <c r="AP230"/>
  <c r="U231"/>
  <c r="X231"/>
  <c r="Y231"/>
  <c r="Z231"/>
  <c r="AA231"/>
  <c r="AB231"/>
  <c r="AC231"/>
  <c r="AD231"/>
  <c r="AE231"/>
  <c r="AF231"/>
  <c r="AH231"/>
  <c r="AI231"/>
  <c r="AJ231"/>
  <c r="AK231"/>
  <c r="AL231"/>
  <c r="AM231"/>
  <c r="AN231"/>
  <c r="AO231"/>
  <c r="AP231"/>
  <c r="U232"/>
  <c r="X232"/>
  <c r="Y232"/>
  <c r="Z232"/>
  <c r="AA232"/>
  <c r="AB232"/>
  <c r="AC232"/>
  <c r="AD232"/>
  <c r="AE232"/>
  <c r="AF232"/>
  <c r="AH232"/>
  <c r="AI232"/>
  <c r="AJ232"/>
  <c r="AK232"/>
  <c r="AL232"/>
  <c r="AM232"/>
  <c r="AN232"/>
  <c r="AO232"/>
  <c r="AP232"/>
  <c r="U233"/>
  <c r="X233"/>
  <c r="Y233"/>
  <c r="Z233"/>
  <c r="AA233"/>
  <c r="AB233"/>
  <c r="AC233"/>
  <c r="AD233"/>
  <c r="AE233"/>
  <c r="AF233"/>
  <c r="AH233"/>
  <c r="AI233"/>
  <c r="AJ233"/>
  <c r="AK233"/>
  <c r="AL233"/>
  <c r="AM233"/>
  <c r="AN233"/>
  <c r="AO233"/>
  <c r="AP233"/>
  <c r="U234"/>
  <c r="X234"/>
  <c r="Y234"/>
  <c r="Z234"/>
  <c r="AA234"/>
  <c r="AB234"/>
  <c r="AC234"/>
  <c r="AD234"/>
  <c r="AE234"/>
  <c r="AF234"/>
  <c r="AH234"/>
  <c r="AI234"/>
  <c r="AJ234"/>
  <c r="AK234"/>
  <c r="AL234"/>
  <c r="AM234"/>
  <c r="AN234"/>
  <c r="AO234"/>
  <c r="AP234"/>
  <c r="U235"/>
  <c r="X235"/>
  <c r="Y235"/>
  <c r="Z235"/>
  <c r="AA235"/>
  <c r="AB235"/>
  <c r="AC235"/>
  <c r="AD235"/>
  <c r="AE235"/>
  <c r="AF235"/>
  <c r="AH235"/>
  <c r="AI235"/>
  <c r="AJ235"/>
  <c r="AK235"/>
  <c r="AL235"/>
  <c r="AM235"/>
  <c r="AN235"/>
  <c r="AO235"/>
  <c r="AP235"/>
  <c r="U236"/>
  <c r="X236"/>
  <c r="Y236"/>
  <c r="Z236"/>
  <c r="AA236"/>
  <c r="AB236"/>
  <c r="AC236"/>
  <c r="AD236"/>
  <c r="AE236"/>
  <c r="AF236"/>
  <c r="AH236"/>
  <c r="AI236"/>
  <c r="AJ236"/>
  <c r="AK236"/>
  <c r="AL236"/>
  <c r="AM236"/>
  <c r="AN236"/>
  <c r="AO236"/>
  <c r="AP236"/>
  <c r="U237"/>
  <c r="X237"/>
  <c r="Y237"/>
  <c r="Z237"/>
  <c r="AA237"/>
  <c r="AB237"/>
  <c r="AC237"/>
  <c r="AD237"/>
  <c r="AE237"/>
  <c r="AF237"/>
  <c r="AH237"/>
  <c r="AI237"/>
  <c r="AJ237"/>
  <c r="AK237"/>
  <c r="AL237"/>
  <c r="AM237"/>
  <c r="AN237"/>
  <c r="AO237"/>
  <c r="AP237"/>
  <c r="U238"/>
  <c r="X238"/>
  <c r="Y238"/>
  <c r="Z238"/>
  <c r="AA238"/>
  <c r="AB238"/>
  <c r="AC238"/>
  <c r="AD238"/>
  <c r="AE238"/>
  <c r="AF238"/>
  <c r="AH238"/>
  <c r="AI238"/>
  <c r="AJ238"/>
  <c r="AK238"/>
  <c r="AL238"/>
  <c r="AM238"/>
  <c r="AN238"/>
  <c r="AO238"/>
  <c r="AP238"/>
  <c r="U239"/>
  <c r="X239"/>
  <c r="Y239"/>
  <c r="Z239"/>
  <c r="AA239"/>
  <c r="AB239"/>
  <c r="AC239"/>
  <c r="AD239"/>
  <c r="AE239"/>
  <c r="AF239"/>
  <c r="AH239"/>
  <c r="AI239"/>
  <c r="AJ239"/>
  <c r="AK239"/>
  <c r="AL239"/>
  <c r="AM239"/>
  <c r="AN239"/>
  <c r="AO239"/>
  <c r="AP239"/>
  <c r="U240"/>
  <c r="X240"/>
  <c r="Y240"/>
  <c r="Z240"/>
  <c r="AA240"/>
  <c r="AB240"/>
  <c r="AC240"/>
  <c r="AD240"/>
  <c r="AE240"/>
  <c r="AF240"/>
  <c r="AH240"/>
  <c r="AI240"/>
  <c r="AJ240"/>
  <c r="AK240"/>
  <c r="AL240"/>
  <c r="AM240"/>
  <c r="AN240"/>
  <c r="AO240"/>
  <c r="AP240"/>
  <c r="U241"/>
  <c r="X241"/>
  <c r="Y241"/>
  <c r="Z241"/>
  <c r="AA241"/>
  <c r="AB241"/>
  <c r="AC241"/>
  <c r="AD241"/>
  <c r="AE241"/>
  <c r="AF241"/>
  <c r="AH241"/>
  <c r="AI241"/>
  <c r="AJ241"/>
  <c r="AK241"/>
  <c r="AL241"/>
  <c r="AM241"/>
  <c r="AN241"/>
  <c r="AO241"/>
  <c r="AP241"/>
  <c r="U242"/>
  <c r="X242"/>
  <c r="Y242"/>
  <c r="Z242"/>
  <c r="AA242"/>
  <c r="AB242"/>
  <c r="AC242"/>
  <c r="AD242"/>
  <c r="AE242"/>
  <c r="AF242"/>
  <c r="AH242"/>
  <c r="AI242"/>
  <c r="AJ242"/>
  <c r="AK242"/>
  <c r="AL242"/>
  <c r="AM242"/>
  <c r="AN242"/>
  <c r="AO242"/>
  <c r="AP242"/>
  <c r="U243"/>
  <c r="X243"/>
  <c r="Y243"/>
  <c r="Z243"/>
  <c r="AA243"/>
  <c r="AB243"/>
  <c r="AC243"/>
  <c r="AD243"/>
  <c r="AE243"/>
  <c r="AF243"/>
  <c r="AH243"/>
  <c r="AI243"/>
  <c r="AJ243"/>
  <c r="AK243"/>
  <c r="AL243"/>
  <c r="AM243"/>
  <c r="AN243"/>
  <c r="AO243"/>
  <c r="AP243"/>
  <c r="U244"/>
  <c r="X244"/>
  <c r="Y244"/>
  <c r="Z244"/>
  <c r="AA244"/>
  <c r="AB244"/>
  <c r="AC244"/>
  <c r="AD244"/>
  <c r="AE244"/>
  <c r="AF244"/>
  <c r="AH244"/>
  <c r="AI244"/>
  <c r="AJ244"/>
  <c r="AK244"/>
  <c r="AL244"/>
  <c r="AM244"/>
  <c r="AN244"/>
  <c r="AO244"/>
  <c r="AP244"/>
  <c r="U245"/>
  <c r="X245"/>
  <c r="Y245"/>
  <c r="Z245"/>
  <c r="AA245"/>
  <c r="AB245"/>
  <c r="AC245"/>
  <c r="AD245"/>
  <c r="AE245"/>
  <c r="AF245"/>
  <c r="AH245"/>
  <c r="AI245"/>
  <c r="AJ245"/>
  <c r="AK245"/>
  <c r="AL245"/>
  <c r="AM245"/>
  <c r="AN245"/>
  <c r="AO245"/>
  <c r="AP245"/>
  <c r="U246"/>
  <c r="X246"/>
  <c r="Y246"/>
  <c r="Z246"/>
  <c r="AA246"/>
  <c r="AB246"/>
  <c r="AC246"/>
  <c r="AD246"/>
  <c r="AE246"/>
  <c r="AF246"/>
  <c r="AH246"/>
  <c r="AI246"/>
  <c r="AJ246"/>
  <c r="AK246"/>
  <c r="AL246"/>
  <c r="AM246"/>
  <c r="AN246"/>
  <c r="AO246"/>
  <c r="AP246"/>
  <c r="U247"/>
  <c r="X247"/>
  <c r="Y247"/>
  <c r="Z247"/>
  <c r="AA247"/>
  <c r="AB247"/>
  <c r="AC247"/>
  <c r="AD247"/>
  <c r="AE247"/>
  <c r="AF247"/>
  <c r="AH247"/>
  <c r="AI247"/>
  <c r="AJ247"/>
  <c r="AK247"/>
  <c r="AL247"/>
  <c r="AM247"/>
  <c r="AN247"/>
  <c r="AO247"/>
  <c r="AP247"/>
  <c r="U248"/>
  <c r="X248"/>
  <c r="Y248"/>
  <c r="Z248"/>
  <c r="AA248"/>
  <c r="AB248"/>
  <c r="AC248"/>
  <c r="AD248"/>
  <c r="AE248"/>
  <c r="AF248"/>
  <c r="AH248"/>
  <c r="AI248"/>
  <c r="AJ248"/>
  <c r="AK248"/>
  <c r="AL248"/>
  <c r="AM248"/>
  <c r="AN248"/>
  <c r="AO248"/>
  <c r="AP248"/>
  <c r="U249"/>
  <c r="X249"/>
  <c r="Y249"/>
  <c r="Z249"/>
  <c r="AA249"/>
  <c r="AB249"/>
  <c r="AC249"/>
  <c r="AD249"/>
  <c r="AE249"/>
  <c r="AF249"/>
  <c r="AH249"/>
  <c r="AI249"/>
  <c r="AJ249"/>
  <c r="AK249"/>
  <c r="AL249"/>
  <c r="AM249"/>
  <c r="AN249"/>
  <c r="AO249"/>
  <c r="AP249"/>
  <c r="U250"/>
  <c r="X250"/>
  <c r="Y250"/>
  <c r="Z250"/>
  <c r="AA250"/>
  <c r="AB250"/>
  <c r="AC250"/>
  <c r="AD250"/>
  <c r="AE250"/>
  <c r="AF250"/>
  <c r="AH250"/>
  <c r="AI250"/>
  <c r="AJ250"/>
  <c r="AK250"/>
  <c r="AL250"/>
  <c r="AM250"/>
  <c r="AN250"/>
  <c r="AO250"/>
  <c r="AP250"/>
  <c r="U251"/>
  <c r="X251"/>
  <c r="Y251"/>
  <c r="Z251"/>
  <c r="AA251"/>
  <c r="AB251"/>
  <c r="AC251"/>
  <c r="AD251"/>
  <c r="AE251"/>
  <c r="AF251"/>
  <c r="AH251"/>
  <c r="AI251"/>
  <c r="AJ251"/>
  <c r="AK251"/>
  <c r="AL251"/>
  <c r="AM251"/>
  <c r="AN251"/>
  <c r="AO251"/>
  <c r="AP251"/>
  <c r="U252"/>
  <c r="X252"/>
  <c r="Y252"/>
  <c r="Z252"/>
  <c r="AA252"/>
  <c r="AB252"/>
  <c r="AC252"/>
  <c r="AD252"/>
  <c r="AE252"/>
  <c r="AF252"/>
  <c r="AH252"/>
  <c r="AI252"/>
  <c r="AJ252"/>
  <c r="AK252"/>
  <c r="AL252"/>
  <c r="AM252"/>
  <c r="AN252"/>
  <c r="AO252"/>
  <c r="AP252"/>
  <c r="U253"/>
  <c r="X253"/>
  <c r="Y253"/>
  <c r="Z253"/>
  <c r="AA253"/>
  <c r="AB253"/>
  <c r="AC253"/>
  <c r="AD253"/>
  <c r="AE253"/>
  <c r="AF253"/>
  <c r="AH253"/>
  <c r="AI253"/>
  <c r="AJ253"/>
  <c r="AK253"/>
  <c r="AL253"/>
  <c r="AM253"/>
  <c r="AN253"/>
  <c r="AO253"/>
  <c r="AP253"/>
  <c r="U254"/>
  <c r="X254"/>
  <c r="Y254"/>
  <c r="Z254"/>
  <c r="AA254"/>
  <c r="AB254"/>
  <c r="AC254"/>
  <c r="AD254"/>
  <c r="AE254"/>
  <c r="AF254"/>
  <c r="AH254"/>
  <c r="AI254"/>
  <c r="AJ254"/>
  <c r="AK254"/>
  <c r="AL254"/>
  <c r="AM254"/>
  <c r="AN254"/>
  <c r="AO254"/>
  <c r="AP254"/>
  <c r="U255"/>
  <c r="X255"/>
  <c r="Y255"/>
  <c r="Z255"/>
  <c r="AA255"/>
  <c r="AB255"/>
  <c r="AC255"/>
  <c r="AD255"/>
  <c r="AE255"/>
  <c r="AF255"/>
  <c r="AH255"/>
  <c r="AI255"/>
  <c r="AJ255"/>
  <c r="AK255"/>
  <c r="AL255"/>
  <c r="AM255"/>
  <c r="AN255"/>
  <c r="AO255"/>
  <c r="AP255"/>
  <c r="U256"/>
  <c r="X256"/>
  <c r="Y256"/>
  <c r="Z256"/>
  <c r="AA256"/>
  <c r="AB256"/>
  <c r="AC256"/>
  <c r="AD256"/>
  <c r="AE256"/>
  <c r="AF256"/>
  <c r="AH256"/>
  <c r="AI256"/>
  <c r="AJ256"/>
  <c r="AK256"/>
  <c r="AL256"/>
  <c r="AM256"/>
  <c r="AN256"/>
  <c r="AO256"/>
  <c r="AP256"/>
  <c r="U257"/>
  <c r="X257"/>
  <c r="Y257"/>
  <c r="Z257"/>
  <c r="AA257"/>
  <c r="AB257"/>
  <c r="AC257"/>
  <c r="AD257"/>
  <c r="AE257"/>
  <c r="AF257"/>
  <c r="AH257"/>
  <c r="AI257"/>
  <c r="AJ257"/>
  <c r="AK257"/>
  <c r="AL257"/>
  <c r="AM257"/>
  <c r="AN257"/>
  <c r="AO257"/>
  <c r="AP257"/>
  <c r="U258"/>
  <c r="X258"/>
  <c r="Y258"/>
  <c r="Z258"/>
  <c r="AA258"/>
  <c r="AB258"/>
  <c r="AC258"/>
  <c r="AD258"/>
  <c r="AE258"/>
  <c r="AF258"/>
  <c r="AH258"/>
  <c r="AI258"/>
  <c r="AJ258"/>
  <c r="AK258"/>
  <c r="AL258"/>
  <c r="AM258"/>
  <c r="AN258"/>
  <c r="AO258"/>
  <c r="AP258"/>
  <c r="U259"/>
  <c r="X259"/>
  <c r="Y259"/>
  <c r="Z259"/>
  <c r="AA259"/>
  <c r="AB259"/>
  <c r="AC259"/>
  <c r="AD259"/>
  <c r="AE259"/>
  <c r="AF259"/>
  <c r="AH259"/>
  <c r="AI259"/>
  <c r="AJ259"/>
  <c r="AK259"/>
  <c r="AL259"/>
  <c r="AM259"/>
  <c r="AN259"/>
  <c r="AO259"/>
  <c r="AP259"/>
  <c r="U260"/>
  <c r="X260"/>
  <c r="Y260"/>
  <c r="Z260"/>
  <c r="AA260"/>
  <c r="AB260"/>
  <c r="AC260"/>
  <c r="AD260"/>
  <c r="AE260"/>
  <c r="AF260"/>
  <c r="AH260"/>
  <c r="AI260"/>
  <c r="AJ260"/>
  <c r="AK260"/>
  <c r="AL260"/>
  <c r="AM260"/>
  <c r="AN260"/>
  <c r="AO260"/>
  <c r="AP260"/>
  <c r="U261"/>
  <c r="X261"/>
  <c r="Y261"/>
  <c r="Z261"/>
  <c r="AA261"/>
  <c r="AB261"/>
  <c r="AC261"/>
  <c r="AD261"/>
  <c r="AE261"/>
  <c r="AF261"/>
  <c r="AH261"/>
  <c r="AI261"/>
  <c r="AJ261"/>
  <c r="AK261"/>
  <c r="AL261"/>
  <c r="AM261"/>
  <c r="AN261"/>
  <c r="AO261"/>
  <c r="AP261"/>
  <c r="U262"/>
  <c r="X262"/>
  <c r="Y262"/>
  <c r="Z262"/>
  <c r="AA262"/>
  <c r="AB262"/>
  <c r="AC262"/>
  <c r="AD262"/>
  <c r="AE262"/>
  <c r="AF262"/>
  <c r="AH262"/>
  <c r="AI262"/>
  <c r="AJ262"/>
  <c r="AK262"/>
  <c r="AL262"/>
  <c r="AM262"/>
  <c r="AN262"/>
  <c r="AO262"/>
  <c r="AP262"/>
  <c r="U263"/>
  <c r="X263"/>
  <c r="Y263"/>
  <c r="Z263"/>
  <c r="AA263"/>
  <c r="AB263"/>
  <c r="AC263"/>
  <c r="AD263"/>
  <c r="AE263"/>
  <c r="AF263"/>
  <c r="AH263"/>
  <c r="AI263"/>
  <c r="AJ263"/>
  <c r="AK263"/>
  <c r="AL263"/>
  <c r="AM263"/>
  <c r="AN263"/>
  <c r="AO263"/>
  <c r="AP263"/>
  <c r="U264"/>
  <c r="X264"/>
  <c r="Y264"/>
  <c r="Z264"/>
  <c r="AA264"/>
  <c r="AB264"/>
  <c r="AC264"/>
  <c r="AD264"/>
  <c r="AE264"/>
  <c r="AF264"/>
  <c r="AH264"/>
  <c r="AI264"/>
  <c r="AJ264"/>
  <c r="AK264"/>
  <c r="AL264"/>
  <c r="AM264"/>
  <c r="AN264"/>
  <c r="AO264"/>
  <c r="AP264"/>
  <c r="U265"/>
  <c r="X265"/>
  <c r="Y265"/>
  <c r="Z265"/>
  <c r="AA265"/>
  <c r="AB265"/>
  <c r="AC265"/>
  <c r="AD265"/>
  <c r="AE265"/>
  <c r="AF265"/>
  <c r="AH265"/>
  <c r="AI265"/>
  <c r="AJ265"/>
  <c r="AK265"/>
  <c r="AL265"/>
  <c r="AM265"/>
  <c r="AN265"/>
  <c r="AO265"/>
  <c r="AP265"/>
  <c r="U266"/>
  <c r="X266"/>
  <c r="Y266"/>
  <c r="Z266"/>
  <c r="AA266"/>
  <c r="AB266"/>
  <c r="AC266"/>
  <c r="AD266"/>
  <c r="AE266"/>
  <c r="AF266"/>
  <c r="AH266"/>
  <c r="AI266"/>
  <c r="AJ266"/>
  <c r="AK266"/>
  <c r="AL266"/>
  <c r="AM266"/>
  <c r="AN266"/>
  <c r="AO266"/>
  <c r="AP266"/>
  <c r="U267"/>
  <c r="X267"/>
  <c r="Y267"/>
  <c r="Z267"/>
  <c r="AA267"/>
  <c r="AB267"/>
  <c r="AC267"/>
  <c r="AD267"/>
  <c r="AE267"/>
  <c r="AF267"/>
  <c r="AH267"/>
  <c r="AI267"/>
  <c r="AJ267"/>
  <c r="AK267"/>
  <c r="AL267"/>
  <c r="AM267"/>
  <c r="AN267"/>
  <c r="AO267"/>
  <c r="AP267"/>
  <c r="U268"/>
  <c r="X268"/>
  <c r="Y268"/>
  <c r="Z268"/>
  <c r="AA268"/>
  <c r="AB268"/>
  <c r="AC268"/>
  <c r="AD268"/>
  <c r="AE268"/>
  <c r="AF268"/>
  <c r="AH268"/>
  <c r="AI268"/>
  <c r="AJ268"/>
  <c r="AK268"/>
  <c r="AL268"/>
  <c r="AM268"/>
  <c r="AN268"/>
  <c r="AO268"/>
  <c r="AP268"/>
  <c r="U269"/>
  <c r="X269"/>
  <c r="Y269"/>
  <c r="Z269"/>
  <c r="AA269"/>
  <c r="AB269"/>
  <c r="AC269"/>
  <c r="AD269"/>
  <c r="AE269"/>
  <c r="AF269"/>
  <c r="AH269"/>
  <c r="AI269"/>
  <c r="AJ269"/>
  <c r="AK269"/>
  <c r="AL269"/>
  <c r="AM269"/>
  <c r="AN269"/>
  <c r="AO269"/>
  <c r="AP269"/>
  <c r="U270"/>
  <c r="X270"/>
  <c r="Y270"/>
  <c r="Z270"/>
  <c r="AA270"/>
  <c r="AB270"/>
  <c r="AC270"/>
  <c r="AD270"/>
  <c r="AE270"/>
  <c r="AF270"/>
  <c r="AH270"/>
  <c r="AI270"/>
  <c r="AJ270"/>
  <c r="AK270"/>
  <c r="AL270"/>
  <c r="AM270"/>
  <c r="AN270"/>
  <c r="AO270"/>
  <c r="AP270"/>
  <c r="U271"/>
  <c r="X271"/>
  <c r="Y271"/>
  <c r="Z271"/>
  <c r="AA271"/>
  <c r="AB271"/>
  <c r="AC271"/>
  <c r="AD271"/>
  <c r="AE271"/>
  <c r="AF271"/>
  <c r="AH271"/>
  <c r="AI271"/>
  <c r="AJ271"/>
  <c r="AK271"/>
  <c r="AL271"/>
  <c r="AM271"/>
  <c r="AN271"/>
  <c r="AO271"/>
  <c r="AP271"/>
  <c r="U272"/>
  <c r="X272"/>
  <c r="Y272"/>
  <c r="Z272"/>
  <c r="AA272"/>
  <c r="AB272"/>
  <c r="AC272"/>
  <c r="AD272"/>
  <c r="AE272"/>
  <c r="AF272"/>
  <c r="AH272"/>
  <c r="AI272"/>
  <c r="AJ272"/>
  <c r="AK272"/>
  <c r="AL272"/>
  <c r="AM272"/>
  <c r="AN272"/>
  <c r="AO272"/>
  <c r="AP272"/>
  <c r="U273"/>
  <c r="X273"/>
  <c r="Y273"/>
  <c r="Z273"/>
  <c r="AA273"/>
  <c r="AB273"/>
  <c r="AC273"/>
  <c r="AD273"/>
  <c r="AE273"/>
  <c r="AF273"/>
  <c r="AH273"/>
  <c r="AI273"/>
  <c r="AJ273"/>
  <c r="AK273"/>
  <c r="AL273"/>
  <c r="AM273"/>
  <c r="AN273"/>
  <c r="AO273"/>
  <c r="AP273"/>
  <c r="U274"/>
  <c r="X274"/>
  <c r="Y274"/>
  <c r="Z274"/>
  <c r="AA274"/>
  <c r="AB274"/>
  <c r="AC274"/>
  <c r="AD274"/>
  <c r="AE274"/>
  <c r="AF274"/>
  <c r="AH274"/>
  <c r="AI274"/>
  <c r="AJ274"/>
  <c r="AK274"/>
  <c r="AL274"/>
  <c r="AM274"/>
  <c r="AN274"/>
  <c r="AO274"/>
  <c r="AP274"/>
  <c r="U275"/>
  <c r="X275"/>
  <c r="Y275"/>
  <c r="Z275"/>
  <c r="AA275"/>
  <c r="AB275"/>
  <c r="AC275"/>
  <c r="AD275"/>
  <c r="AE275"/>
  <c r="AF275"/>
  <c r="AH275"/>
  <c r="AI275"/>
  <c r="AJ275"/>
  <c r="AK275"/>
  <c r="AL275"/>
  <c r="AM275"/>
  <c r="AN275"/>
  <c r="AO275"/>
  <c r="AP275"/>
  <c r="U276"/>
  <c r="X276"/>
  <c r="Y276"/>
  <c r="Z276"/>
  <c r="AA276"/>
  <c r="AB276"/>
  <c r="AC276"/>
  <c r="AD276"/>
  <c r="AE276"/>
  <c r="AF276"/>
  <c r="AH276"/>
  <c r="AI276"/>
  <c r="AJ276"/>
  <c r="AK276"/>
  <c r="AL276"/>
  <c r="AM276"/>
  <c r="AN276"/>
  <c r="AO276"/>
  <c r="AP276"/>
  <c r="U277"/>
  <c r="X277"/>
  <c r="Y277"/>
  <c r="Z277"/>
  <c r="AA277"/>
  <c r="AB277"/>
  <c r="AC277"/>
  <c r="AD277"/>
  <c r="AE277"/>
  <c r="AF277"/>
  <c r="AH277"/>
  <c r="AI277"/>
  <c r="AJ277"/>
  <c r="AK277"/>
  <c r="AL277"/>
  <c r="AM277"/>
  <c r="AN277"/>
  <c r="AO277"/>
  <c r="AP277"/>
  <c r="U278"/>
  <c r="X278"/>
  <c r="Y278"/>
  <c r="Z278"/>
  <c r="AA278"/>
  <c r="AB278"/>
  <c r="AC278"/>
  <c r="AD278"/>
  <c r="AE278"/>
  <c r="AF278"/>
  <c r="AH278"/>
  <c r="AI278"/>
  <c r="AJ278"/>
  <c r="AK278"/>
  <c r="AL278"/>
  <c r="AM278"/>
  <c r="AN278"/>
  <c r="AO278"/>
  <c r="AP278"/>
  <c r="U279"/>
  <c r="X279"/>
  <c r="Y279"/>
  <c r="Z279"/>
  <c r="AA279"/>
  <c r="AB279"/>
  <c r="AC279"/>
  <c r="AD279"/>
  <c r="AE279"/>
  <c r="AF279"/>
  <c r="AH279"/>
  <c r="AI279"/>
  <c r="AJ279"/>
  <c r="AK279"/>
  <c r="AL279"/>
  <c r="AM279"/>
  <c r="AN279"/>
  <c r="AO279"/>
  <c r="AP279"/>
  <c r="U280"/>
  <c r="X280"/>
  <c r="Y280"/>
  <c r="Z280"/>
  <c r="AA280"/>
  <c r="AB280"/>
  <c r="AC280"/>
  <c r="AD280"/>
  <c r="AE280"/>
  <c r="AF280"/>
  <c r="AH280"/>
  <c r="AI280"/>
  <c r="AJ280"/>
  <c r="AK280"/>
  <c r="AL280"/>
  <c r="AM280"/>
  <c r="AN280"/>
  <c r="AO280"/>
  <c r="AP280"/>
  <c r="U281"/>
  <c r="X281"/>
  <c r="Y281"/>
  <c r="Z281"/>
  <c r="AA281"/>
  <c r="AB281"/>
  <c r="AC281"/>
  <c r="AD281"/>
  <c r="AE281"/>
  <c r="AF281"/>
  <c r="AH281"/>
  <c r="AI281"/>
  <c r="AJ281"/>
  <c r="AK281"/>
  <c r="AL281"/>
  <c r="AM281"/>
  <c r="AN281"/>
  <c r="AO281"/>
  <c r="AP281"/>
  <c r="U282"/>
  <c r="X282"/>
  <c r="Y282"/>
  <c r="Z282"/>
  <c r="AA282"/>
  <c r="AB282"/>
  <c r="AC282"/>
  <c r="AD282"/>
  <c r="AE282"/>
  <c r="AF282"/>
  <c r="AH282"/>
  <c r="AI282"/>
  <c r="AJ282"/>
  <c r="AK282"/>
  <c r="AL282"/>
  <c r="AM282"/>
  <c r="AN282"/>
  <c r="AO282"/>
  <c r="AP282"/>
  <c r="U283"/>
  <c r="X283"/>
  <c r="Y283"/>
  <c r="Z283"/>
  <c r="AA283"/>
  <c r="AB283"/>
  <c r="AC283"/>
  <c r="AD283"/>
  <c r="AE283"/>
  <c r="AF283"/>
  <c r="AH283"/>
  <c r="AI283"/>
  <c r="AJ283"/>
  <c r="AK283"/>
  <c r="AL283"/>
  <c r="AM283"/>
  <c r="AN283"/>
  <c r="AO283"/>
  <c r="AP283"/>
  <c r="U284"/>
  <c r="X284"/>
  <c r="Y284"/>
  <c r="Z284"/>
  <c r="AA284"/>
  <c r="AB284"/>
  <c r="AC284"/>
  <c r="AD284"/>
  <c r="AE284"/>
  <c r="AF284"/>
  <c r="AH284"/>
  <c r="AI284"/>
  <c r="AJ284"/>
  <c r="AK284"/>
  <c r="AL284"/>
  <c r="AM284"/>
  <c r="AN284"/>
  <c r="AO284"/>
  <c r="AP284"/>
  <c r="U285"/>
  <c r="X285"/>
  <c r="Y285"/>
  <c r="Z285"/>
  <c r="AA285"/>
  <c r="AB285"/>
  <c r="AC285"/>
  <c r="AD285"/>
  <c r="AE285"/>
  <c r="AF285"/>
  <c r="AH285"/>
  <c r="AI285"/>
  <c r="AJ285"/>
  <c r="AK285"/>
  <c r="AL285"/>
  <c r="AM285"/>
  <c r="AN285"/>
  <c r="AO285"/>
  <c r="AP285"/>
  <c r="U286"/>
  <c r="X286"/>
  <c r="Y286"/>
  <c r="Z286"/>
  <c r="AA286"/>
  <c r="AB286"/>
  <c r="AC286"/>
  <c r="AD286"/>
  <c r="AE286"/>
  <c r="AF286"/>
  <c r="AH286"/>
  <c r="AI286"/>
  <c r="AJ286"/>
  <c r="AK286"/>
  <c r="AL286"/>
  <c r="AM286"/>
  <c r="AN286"/>
  <c r="AO286"/>
  <c r="AP286"/>
  <c r="U287"/>
  <c r="X287"/>
  <c r="Y287"/>
  <c r="Z287"/>
  <c r="AA287"/>
  <c r="AB287"/>
  <c r="AC287"/>
  <c r="AD287"/>
  <c r="AE287"/>
  <c r="AF287"/>
  <c r="AH287"/>
  <c r="AI287"/>
  <c r="AJ287"/>
  <c r="AK287"/>
  <c r="AL287"/>
  <c r="AM287"/>
  <c r="AN287"/>
  <c r="AO287"/>
  <c r="AP287"/>
  <c r="U288"/>
  <c r="X288"/>
  <c r="Y288"/>
  <c r="Z288"/>
  <c r="AA288"/>
  <c r="AB288"/>
  <c r="AC288"/>
  <c r="AD288"/>
  <c r="AE288"/>
  <c r="AF288"/>
  <c r="AH288"/>
  <c r="AI288"/>
  <c r="AJ288"/>
  <c r="AK288"/>
  <c r="AL288"/>
  <c r="AM288"/>
  <c r="AN288"/>
  <c r="AO288"/>
  <c r="AP288"/>
  <c r="U289"/>
  <c r="X289"/>
  <c r="Y289"/>
  <c r="Z289"/>
  <c r="AA289"/>
  <c r="AB289"/>
  <c r="AC289"/>
  <c r="AD289"/>
  <c r="AE289"/>
  <c r="AF289"/>
  <c r="AH289"/>
  <c r="AI289"/>
  <c r="AJ289"/>
  <c r="AK289"/>
  <c r="AL289"/>
  <c r="AM289"/>
  <c r="AN289"/>
  <c r="AO289"/>
  <c r="AP289"/>
  <c r="U290"/>
  <c r="X290"/>
  <c r="Y290"/>
  <c r="Z290"/>
  <c r="AA290"/>
  <c r="AB290"/>
  <c r="AC290"/>
  <c r="AD290"/>
  <c r="AE290"/>
  <c r="AF290"/>
  <c r="AH290"/>
  <c r="AI290"/>
  <c r="AJ290"/>
  <c r="AK290"/>
  <c r="AL290"/>
  <c r="AM290"/>
  <c r="AN290"/>
  <c r="AO290"/>
  <c r="AP290"/>
  <c r="U291"/>
  <c r="X291"/>
  <c r="Y291"/>
  <c r="Z291"/>
  <c r="AA291"/>
  <c r="AB291"/>
  <c r="AC291"/>
  <c r="AD291"/>
  <c r="AE291"/>
  <c r="AF291"/>
  <c r="AH291"/>
  <c r="AI291"/>
  <c r="AJ291"/>
  <c r="AK291"/>
  <c r="AL291"/>
  <c r="AM291"/>
  <c r="AN291"/>
  <c r="AO291"/>
  <c r="AP291"/>
  <c r="U292"/>
  <c r="X292"/>
  <c r="Y292"/>
  <c r="Z292"/>
  <c r="AA292"/>
  <c r="AB292"/>
  <c r="AC292"/>
  <c r="AD292"/>
  <c r="AE292"/>
  <c r="AF292"/>
  <c r="AH292"/>
  <c r="AI292"/>
  <c r="AJ292"/>
  <c r="AK292"/>
  <c r="AL292"/>
  <c r="AM292"/>
  <c r="AN292"/>
  <c r="AO292"/>
  <c r="AP292"/>
  <c r="U293"/>
  <c r="X293"/>
  <c r="Y293"/>
  <c r="Z293"/>
  <c r="AA293"/>
  <c r="AB293"/>
  <c r="AC293"/>
  <c r="AD293"/>
  <c r="AE293"/>
  <c r="AF293"/>
  <c r="AH293"/>
  <c r="AI293"/>
  <c r="AJ293"/>
  <c r="AK293"/>
  <c r="AL293"/>
  <c r="AM293"/>
  <c r="AN293"/>
  <c r="AO293"/>
  <c r="AP293"/>
  <c r="U294"/>
  <c r="X294"/>
  <c r="Y294"/>
  <c r="Z294"/>
  <c r="AA294"/>
  <c r="AB294"/>
  <c r="AC294"/>
  <c r="AD294"/>
  <c r="AE294"/>
  <c r="AF294"/>
  <c r="AH294"/>
  <c r="AI294"/>
  <c r="AJ294"/>
  <c r="AK294"/>
  <c r="AL294"/>
  <c r="AM294"/>
  <c r="AN294"/>
  <c r="AO294"/>
  <c r="AP294"/>
  <c r="U295"/>
  <c r="X295"/>
  <c r="Y295"/>
  <c r="Z295"/>
  <c r="AA295"/>
  <c r="AB295"/>
  <c r="AC295"/>
  <c r="AD295"/>
  <c r="AE295"/>
  <c r="AF295"/>
  <c r="AH295"/>
  <c r="AI295"/>
  <c r="AJ295"/>
  <c r="AK295"/>
  <c r="AL295"/>
  <c r="AM295"/>
  <c r="AN295"/>
  <c r="AO295"/>
  <c r="AP295"/>
  <c r="U296"/>
  <c r="X296"/>
  <c r="Y296"/>
  <c r="Z296"/>
  <c r="AA296"/>
  <c r="AB296"/>
  <c r="AC296"/>
  <c r="AD296"/>
  <c r="AE296"/>
  <c r="AF296"/>
  <c r="AH296"/>
  <c r="AI296"/>
  <c r="AJ296"/>
  <c r="AK296"/>
  <c r="AL296"/>
  <c r="AM296"/>
  <c r="AN296"/>
  <c r="AO296"/>
  <c r="AP296"/>
  <c r="U297"/>
  <c r="X297"/>
  <c r="Y297"/>
  <c r="Z297"/>
  <c r="AA297"/>
  <c r="AB297"/>
  <c r="AC297"/>
  <c r="AD297"/>
  <c r="AE297"/>
  <c r="AF297"/>
  <c r="AH297"/>
  <c r="AI297"/>
  <c r="AJ297"/>
  <c r="AK297"/>
  <c r="AL297"/>
  <c r="AM297"/>
  <c r="AN297"/>
  <c r="AO297"/>
  <c r="AP297"/>
  <c r="U298"/>
  <c r="X298"/>
  <c r="Y298"/>
  <c r="Z298"/>
  <c r="AA298"/>
  <c r="AB298"/>
  <c r="AC298"/>
  <c r="AD298"/>
  <c r="AE298"/>
  <c r="AF298"/>
  <c r="AH298"/>
  <c r="AI298"/>
  <c r="AJ298"/>
  <c r="AK298"/>
  <c r="AL298"/>
  <c r="AM298"/>
  <c r="AN298"/>
  <c r="AO298"/>
  <c r="AP298"/>
  <c r="U299"/>
  <c r="X299"/>
  <c r="Y299"/>
  <c r="Z299"/>
  <c r="AA299"/>
  <c r="AB299"/>
  <c r="AC299"/>
  <c r="AD299"/>
  <c r="AE299"/>
  <c r="AF299"/>
  <c r="AH299"/>
  <c r="AI299"/>
  <c r="AJ299"/>
  <c r="AK299"/>
  <c r="AL299"/>
  <c r="AM299"/>
  <c r="AN299"/>
  <c r="AO299"/>
  <c r="AP299"/>
  <c r="U300"/>
  <c r="X300"/>
  <c r="Y300"/>
  <c r="Z300"/>
  <c r="AA300"/>
  <c r="AB300"/>
  <c r="AC300"/>
  <c r="AD300"/>
  <c r="AE300"/>
  <c r="AF300"/>
  <c r="AH300"/>
  <c r="AI300"/>
  <c r="AJ300"/>
  <c r="AK300"/>
  <c r="AL300"/>
  <c r="AM300"/>
  <c r="AN300"/>
  <c r="AO300"/>
  <c r="AP300"/>
  <c r="U301"/>
  <c r="X301"/>
  <c r="Y301"/>
  <c r="Z301"/>
  <c r="AA301"/>
  <c r="AB301"/>
  <c r="AC301"/>
  <c r="AD301"/>
  <c r="AE301"/>
  <c r="AF301"/>
  <c r="AH301"/>
  <c r="AI301"/>
  <c r="AJ301"/>
  <c r="AK301"/>
  <c r="AL301"/>
  <c r="AM301"/>
  <c r="AN301"/>
  <c r="AO301"/>
  <c r="AP301"/>
  <c r="U302"/>
  <c r="X302"/>
  <c r="Y302"/>
  <c r="Z302"/>
  <c r="AA302"/>
  <c r="AB302"/>
  <c r="AC302"/>
  <c r="AD302"/>
  <c r="AE302"/>
  <c r="AF302"/>
  <c r="AH302"/>
  <c r="AI302"/>
  <c r="AJ302"/>
  <c r="AK302"/>
  <c r="AL302"/>
  <c r="AM302"/>
  <c r="AN302"/>
  <c r="AO302"/>
  <c r="AP302"/>
  <c r="U303"/>
  <c r="X303"/>
  <c r="Y303"/>
  <c r="Z303"/>
  <c r="AA303"/>
  <c r="AB303"/>
  <c r="AC303"/>
  <c r="AD303"/>
  <c r="AE303"/>
  <c r="AF303"/>
  <c r="AH303"/>
  <c r="AI303"/>
  <c r="AJ303"/>
  <c r="AK303"/>
  <c r="AL303"/>
  <c r="AM303"/>
  <c r="AN303"/>
  <c r="AO303"/>
  <c r="AP303"/>
  <c r="U304"/>
  <c r="X304"/>
  <c r="Y304"/>
  <c r="Z304"/>
  <c r="AA304"/>
  <c r="AB304"/>
  <c r="AC304"/>
  <c r="AD304"/>
  <c r="AE304"/>
  <c r="AF304"/>
  <c r="AH304"/>
  <c r="AI304"/>
  <c r="AJ304"/>
  <c r="AK304"/>
  <c r="AL304"/>
  <c r="AM304"/>
  <c r="AN304"/>
  <c r="AO304"/>
  <c r="AP304"/>
  <c r="U305"/>
  <c r="X305"/>
  <c r="Y305"/>
  <c r="Z305"/>
  <c r="AA305"/>
  <c r="AB305"/>
  <c r="AC305"/>
  <c r="AD305"/>
  <c r="AE305"/>
  <c r="AF305"/>
  <c r="AH305"/>
  <c r="AI305"/>
  <c r="AJ305"/>
  <c r="AK305"/>
  <c r="AL305"/>
  <c r="AM305"/>
  <c r="AN305"/>
  <c r="AO305"/>
  <c r="AP305"/>
  <c r="U306"/>
  <c r="X306"/>
  <c r="Y306"/>
  <c r="Z306"/>
  <c r="AA306"/>
  <c r="AB306"/>
  <c r="AC306"/>
  <c r="AD306"/>
  <c r="AE306"/>
  <c r="AF306"/>
  <c r="AH306"/>
  <c r="AI306"/>
  <c r="AJ306"/>
  <c r="AK306"/>
  <c r="AL306"/>
  <c r="AM306"/>
  <c r="AN306"/>
  <c r="AO306"/>
  <c r="AP306"/>
  <c r="U307"/>
  <c r="X307"/>
  <c r="Y307"/>
  <c r="Z307"/>
  <c r="AA307"/>
  <c r="AB307"/>
  <c r="AC307"/>
  <c r="AD307"/>
  <c r="AE307"/>
  <c r="AF307"/>
  <c r="AH307"/>
  <c r="AI307"/>
  <c r="AJ307"/>
  <c r="AK307"/>
  <c r="AL307"/>
  <c r="AM307"/>
  <c r="AN307"/>
  <c r="AO307"/>
  <c r="AP307"/>
  <c r="U308"/>
  <c r="X308"/>
  <c r="Y308"/>
  <c r="Z308"/>
  <c r="AA308"/>
  <c r="AB308"/>
  <c r="AC308"/>
  <c r="AD308"/>
  <c r="AE308"/>
  <c r="AF308"/>
  <c r="AH308"/>
  <c r="AI308"/>
  <c r="AJ308"/>
  <c r="AK308"/>
  <c r="AL308"/>
  <c r="AM308"/>
  <c r="AN308"/>
  <c r="AO308"/>
  <c r="AP308"/>
  <c r="U309"/>
  <c r="X309"/>
  <c r="Y309"/>
  <c r="Z309"/>
  <c r="AA309"/>
  <c r="AB309"/>
  <c r="AC309"/>
  <c r="AD309"/>
  <c r="AE309"/>
  <c r="AF309"/>
  <c r="AH309"/>
  <c r="AI309"/>
  <c r="AJ309"/>
  <c r="AK309"/>
  <c r="AL309"/>
  <c r="AM309"/>
  <c r="AN309"/>
  <c r="AO309"/>
  <c r="AP309"/>
  <c r="U310"/>
  <c r="X310"/>
  <c r="Y310"/>
  <c r="Z310"/>
  <c r="AA310"/>
  <c r="AB310"/>
  <c r="AC310"/>
  <c r="AD310"/>
  <c r="AE310"/>
  <c r="AF310"/>
  <c r="AH310"/>
  <c r="AI310"/>
  <c r="AJ310"/>
  <c r="AK310"/>
  <c r="AL310"/>
  <c r="AM310"/>
  <c r="AN310"/>
  <c r="AO310"/>
  <c r="AP310"/>
  <c r="U311"/>
  <c r="X311"/>
  <c r="Y311"/>
  <c r="Z311"/>
  <c r="AA311"/>
  <c r="AB311"/>
  <c r="AC311"/>
  <c r="AD311"/>
  <c r="AE311"/>
  <c r="AF311"/>
  <c r="AH311"/>
  <c r="AI311"/>
  <c r="AJ311"/>
  <c r="AK311"/>
  <c r="AL311"/>
  <c r="AM311"/>
  <c r="AN311"/>
  <c r="AO311"/>
  <c r="AP311"/>
  <c r="U312"/>
  <c r="X312"/>
  <c r="Y312"/>
  <c r="Z312"/>
  <c r="AA312"/>
  <c r="AB312"/>
  <c r="AC312"/>
  <c r="AD312"/>
  <c r="AE312"/>
  <c r="AF312"/>
  <c r="AH312"/>
  <c r="AI312"/>
  <c r="AJ312"/>
  <c r="AK312"/>
  <c r="AL312"/>
  <c r="AM312"/>
  <c r="AN312"/>
  <c r="AO312"/>
  <c r="AP312"/>
  <c r="U313"/>
  <c r="X313"/>
  <c r="Y313"/>
  <c r="Z313"/>
  <c r="AA313"/>
  <c r="AB313"/>
  <c r="AC313"/>
  <c r="AD313"/>
  <c r="AE313"/>
  <c r="AF313"/>
  <c r="AH313"/>
  <c r="AI313"/>
  <c r="AJ313"/>
  <c r="AK313"/>
  <c r="AL313"/>
  <c r="AM313"/>
  <c r="AN313"/>
  <c r="AO313"/>
  <c r="AP313"/>
  <c r="U314"/>
  <c r="X314"/>
  <c r="Y314"/>
  <c r="Z314"/>
  <c r="AA314"/>
  <c r="AB314"/>
  <c r="AC314"/>
  <c r="AD314"/>
  <c r="AE314"/>
  <c r="AF314"/>
  <c r="AH314"/>
  <c r="AI314"/>
  <c r="AJ314"/>
  <c r="AK314"/>
  <c r="AL314"/>
  <c r="AM314"/>
  <c r="AN314"/>
  <c r="AO314"/>
  <c r="AP314"/>
  <c r="U315"/>
  <c r="X315"/>
  <c r="Y315"/>
  <c r="Z315"/>
  <c r="AA315"/>
  <c r="AB315"/>
  <c r="AC315"/>
  <c r="AD315"/>
  <c r="AE315"/>
  <c r="AF315"/>
  <c r="AH315"/>
  <c r="AI315"/>
  <c r="AJ315"/>
  <c r="AK315"/>
  <c r="AL315"/>
  <c r="AM315"/>
  <c r="AN315"/>
  <c r="AO315"/>
  <c r="AP315"/>
  <c r="U316"/>
  <c r="X316"/>
  <c r="Y316"/>
  <c r="Z316"/>
  <c r="AA316"/>
  <c r="AB316"/>
  <c r="AC316"/>
  <c r="AD316"/>
  <c r="AE316"/>
  <c r="AF316"/>
  <c r="AH316"/>
  <c r="AI316"/>
  <c r="AJ316"/>
  <c r="AK316"/>
  <c r="AL316"/>
  <c r="AM316"/>
  <c r="AN316"/>
  <c r="AO316"/>
  <c r="AP316"/>
  <c r="U317"/>
  <c r="X317"/>
  <c r="Y317"/>
  <c r="Z317"/>
  <c r="AA317"/>
  <c r="AB317"/>
  <c r="AC317"/>
  <c r="AD317"/>
  <c r="AE317"/>
  <c r="AF317"/>
  <c r="AH317"/>
  <c r="AI317"/>
  <c r="AJ317"/>
  <c r="AK317"/>
  <c r="AL317"/>
  <c r="AM317"/>
  <c r="AN317"/>
  <c r="AO317"/>
  <c r="AP317"/>
  <c r="U318"/>
  <c r="X318"/>
  <c r="Y318"/>
  <c r="Z318"/>
  <c r="AA318"/>
  <c r="AB318"/>
  <c r="AC318"/>
  <c r="AD318"/>
  <c r="AE318"/>
  <c r="AF318"/>
  <c r="AH318"/>
  <c r="AI318"/>
  <c r="AJ318"/>
  <c r="AK318"/>
  <c r="AL318"/>
  <c r="AM318"/>
  <c r="AN318"/>
  <c r="AO318"/>
  <c r="AP318"/>
  <c r="U319"/>
  <c r="X319"/>
  <c r="Y319"/>
  <c r="Z319"/>
  <c r="AA319"/>
  <c r="AB319"/>
  <c r="AC319"/>
  <c r="AD319"/>
  <c r="AE319"/>
  <c r="AF319"/>
  <c r="AH319"/>
  <c r="AI319"/>
  <c r="AJ319"/>
  <c r="AK319"/>
  <c r="AL319"/>
  <c r="AM319"/>
  <c r="AN319"/>
  <c r="AO319"/>
  <c r="AP319"/>
  <c r="U320"/>
  <c r="X320"/>
  <c r="Y320"/>
  <c r="Z320"/>
  <c r="AA320"/>
  <c r="AB320"/>
  <c r="AC320"/>
  <c r="AD320"/>
  <c r="AE320"/>
  <c r="AF320"/>
  <c r="AH320"/>
  <c r="AI320"/>
  <c r="AJ320"/>
  <c r="AK320"/>
  <c r="AL320"/>
  <c r="AM320"/>
  <c r="AN320"/>
  <c r="AO320"/>
  <c r="AP320"/>
  <c r="U321"/>
  <c r="X321"/>
  <c r="Y321"/>
  <c r="Z321"/>
  <c r="AA321"/>
  <c r="AB321"/>
  <c r="AC321"/>
  <c r="AD321"/>
  <c r="AE321"/>
  <c r="AF321"/>
  <c r="AH321"/>
  <c r="AI321"/>
  <c r="AJ321"/>
  <c r="AK321"/>
  <c r="AL321"/>
  <c r="AM321"/>
  <c r="AN321"/>
  <c r="AO321"/>
  <c r="AP321"/>
  <c r="U322"/>
  <c r="X322"/>
  <c r="Y322"/>
  <c r="Z322"/>
  <c r="AA322"/>
  <c r="AB322"/>
  <c r="AC322"/>
  <c r="AD322"/>
  <c r="AE322"/>
  <c r="AF322"/>
  <c r="AH322"/>
  <c r="AI322"/>
  <c r="AJ322"/>
  <c r="AK322"/>
  <c r="AL322"/>
  <c r="AM322"/>
  <c r="AN322"/>
  <c r="AO322"/>
  <c r="AP322"/>
  <c r="U323"/>
  <c r="X323"/>
  <c r="Y323"/>
  <c r="Z323"/>
  <c r="AA323"/>
  <c r="AB323"/>
  <c r="AC323"/>
  <c r="AD323"/>
  <c r="AE323"/>
  <c r="AF323"/>
  <c r="AH323"/>
  <c r="AI323"/>
  <c r="AJ323"/>
  <c r="AK323"/>
  <c r="AL323"/>
  <c r="AM323"/>
  <c r="AN323"/>
  <c r="AO323"/>
  <c r="AP323"/>
  <c r="U324"/>
  <c r="X324"/>
  <c r="Y324"/>
  <c r="Z324"/>
  <c r="AA324"/>
  <c r="AB324"/>
  <c r="AC324"/>
  <c r="AD324"/>
  <c r="AE324"/>
  <c r="AF324"/>
  <c r="AH324"/>
  <c r="AI324"/>
  <c r="AJ324"/>
  <c r="AK324"/>
  <c r="AL324"/>
  <c r="AM324"/>
  <c r="AN324"/>
  <c r="AO324"/>
  <c r="AP324"/>
  <c r="U325"/>
  <c r="X325"/>
  <c r="Y325"/>
  <c r="Z325"/>
  <c r="AA325"/>
  <c r="AB325"/>
  <c r="AC325"/>
  <c r="AD325"/>
  <c r="AE325"/>
  <c r="AF325"/>
  <c r="AH325"/>
  <c r="AI325"/>
  <c r="AJ325"/>
  <c r="AK325"/>
  <c r="AL325"/>
  <c r="AM325"/>
  <c r="AN325"/>
  <c r="AO325"/>
  <c r="AP325"/>
  <c r="U326"/>
  <c r="X326"/>
  <c r="Y326"/>
  <c r="Z326"/>
  <c r="AA326"/>
  <c r="AB326"/>
  <c r="AC326"/>
  <c r="AD326"/>
  <c r="AE326"/>
  <c r="AF326"/>
  <c r="AH326"/>
  <c r="AI326"/>
  <c r="AJ326"/>
  <c r="AK326"/>
  <c r="AL326"/>
  <c r="AM326"/>
  <c r="AN326"/>
  <c r="AO326"/>
  <c r="AP326"/>
  <c r="U327"/>
  <c r="X327"/>
  <c r="Y327"/>
  <c r="Z327"/>
  <c r="AA327"/>
  <c r="AB327"/>
  <c r="AC327"/>
  <c r="AD327"/>
  <c r="AE327"/>
  <c r="AF327"/>
  <c r="AH327"/>
  <c r="AI327"/>
  <c r="AJ327"/>
  <c r="AK327"/>
  <c r="AL327"/>
  <c r="AM327"/>
  <c r="AN327"/>
  <c r="AO327"/>
  <c r="AP327"/>
  <c r="U328"/>
  <c r="X328"/>
  <c r="Y328"/>
  <c r="Z328"/>
  <c r="AA328"/>
  <c r="AB328"/>
  <c r="AC328"/>
  <c r="AD328"/>
  <c r="AE328"/>
  <c r="AF328"/>
  <c r="AH328"/>
  <c r="AI328"/>
  <c r="AJ328"/>
  <c r="AK328"/>
  <c r="AL328"/>
  <c r="AM328"/>
  <c r="AN328"/>
  <c r="AO328"/>
  <c r="AP328"/>
  <c r="U329"/>
  <c r="X329"/>
  <c r="Y329"/>
  <c r="Z329"/>
  <c r="AA329"/>
  <c r="AB329"/>
  <c r="AC329"/>
  <c r="AD329"/>
  <c r="AE329"/>
  <c r="AF329"/>
  <c r="AH329"/>
  <c r="AI329"/>
  <c r="AJ329"/>
  <c r="AK329"/>
  <c r="AL329"/>
  <c r="AM329"/>
  <c r="AN329"/>
  <c r="AO329"/>
  <c r="AP329"/>
  <c r="U330"/>
  <c r="X330"/>
  <c r="Y330"/>
  <c r="Z330"/>
  <c r="AA330"/>
  <c r="AB330"/>
  <c r="AC330"/>
  <c r="AD330"/>
  <c r="AE330"/>
  <c r="AF330"/>
  <c r="AH330"/>
  <c r="AI330"/>
  <c r="AJ330"/>
  <c r="AK330"/>
  <c r="AL330"/>
  <c r="AM330"/>
  <c r="AN330"/>
  <c r="AO330"/>
  <c r="AP330"/>
  <c r="U331"/>
  <c r="X331"/>
  <c r="Y331"/>
  <c r="Z331"/>
  <c r="AA331"/>
  <c r="AB331"/>
  <c r="AC331"/>
  <c r="AD331"/>
  <c r="AE331"/>
  <c r="AF331"/>
  <c r="AH331"/>
  <c r="AI331"/>
  <c r="AJ331"/>
  <c r="AK331"/>
  <c r="AL331"/>
  <c r="AM331"/>
  <c r="AN331"/>
  <c r="AO331"/>
  <c r="AP331"/>
  <c r="U332"/>
  <c r="X332"/>
  <c r="Y332"/>
  <c r="Z332"/>
  <c r="AA332"/>
  <c r="AB332"/>
  <c r="AC332"/>
  <c r="AD332"/>
  <c r="AE332"/>
  <c r="AF332"/>
  <c r="AH332"/>
  <c r="AI332"/>
  <c r="AJ332"/>
  <c r="AK332"/>
  <c r="AL332"/>
  <c r="AM332"/>
  <c r="AN332"/>
  <c r="AO332"/>
  <c r="AP332"/>
  <c r="U333"/>
  <c r="X333"/>
  <c r="Y333"/>
  <c r="Z333"/>
  <c r="AA333"/>
  <c r="AB333"/>
  <c r="AC333"/>
  <c r="AD333"/>
  <c r="AE333"/>
  <c r="AF333"/>
  <c r="AH333"/>
  <c r="AI333"/>
  <c r="AJ333"/>
  <c r="AK333"/>
  <c r="AL333"/>
  <c r="AM333"/>
  <c r="AN333"/>
  <c r="AO333"/>
  <c r="AP333"/>
  <c r="U334"/>
  <c r="X334"/>
  <c r="Y334"/>
  <c r="Z334"/>
  <c r="AA334"/>
  <c r="AB334"/>
  <c r="AC334"/>
  <c r="AD334"/>
  <c r="AE334"/>
  <c r="AF334"/>
  <c r="AH334"/>
  <c r="AI334"/>
  <c r="AJ334"/>
  <c r="AK334"/>
  <c r="AL334"/>
  <c r="AM334"/>
  <c r="AN334"/>
  <c r="AO334"/>
  <c r="AP334"/>
  <c r="U335"/>
  <c r="X335"/>
  <c r="Y335"/>
  <c r="Z335"/>
  <c r="AA335"/>
  <c r="AB335"/>
  <c r="AC335"/>
  <c r="AD335"/>
  <c r="AE335"/>
  <c r="AF335"/>
  <c r="AH335"/>
  <c r="AI335"/>
  <c r="AJ335"/>
  <c r="AK335"/>
  <c r="AL335"/>
  <c r="AM335"/>
  <c r="AN335"/>
  <c r="AO335"/>
  <c r="AP335"/>
  <c r="U336"/>
  <c r="X336"/>
  <c r="Y336"/>
  <c r="Z336"/>
  <c r="AA336"/>
  <c r="AB336"/>
  <c r="AC336"/>
  <c r="AD336"/>
  <c r="AE336"/>
  <c r="AF336"/>
  <c r="AH336"/>
  <c r="AI336"/>
  <c r="AJ336"/>
  <c r="AK336"/>
  <c r="AL336"/>
  <c r="AM336"/>
  <c r="AN336"/>
  <c r="AO336"/>
  <c r="AP336"/>
  <c r="U337"/>
  <c r="X337"/>
  <c r="Y337"/>
  <c r="Z337"/>
  <c r="AA337"/>
  <c r="AB337"/>
  <c r="AC337"/>
  <c r="AD337"/>
  <c r="AE337"/>
  <c r="AF337"/>
  <c r="AH337"/>
  <c r="AI337"/>
  <c r="AJ337"/>
  <c r="AK337"/>
  <c r="AL337"/>
  <c r="AM337"/>
  <c r="AN337"/>
  <c r="AO337"/>
  <c r="AP337"/>
  <c r="U338"/>
  <c r="X338"/>
  <c r="Y338"/>
  <c r="Z338"/>
  <c r="AA338"/>
  <c r="AB338"/>
  <c r="AC338"/>
  <c r="AD338"/>
  <c r="AE338"/>
  <c r="AF338"/>
  <c r="AH338"/>
  <c r="AI338"/>
  <c r="AJ338"/>
  <c r="AK338"/>
  <c r="AL338"/>
  <c r="AM338"/>
  <c r="AN338"/>
  <c r="AO338"/>
  <c r="AP338"/>
  <c r="U339"/>
  <c r="X339"/>
  <c r="Y339"/>
  <c r="Z339"/>
  <c r="AA339"/>
  <c r="AB339"/>
  <c r="AC339"/>
  <c r="AD339"/>
  <c r="AE339"/>
  <c r="AF339"/>
  <c r="AH339"/>
  <c r="AI339"/>
  <c r="AJ339"/>
  <c r="AK339"/>
  <c r="AL339"/>
  <c r="AM339"/>
  <c r="AN339"/>
  <c r="AO339"/>
  <c r="AP339"/>
  <c r="U340"/>
  <c r="F340" s="1"/>
  <c r="V340"/>
  <c r="X340"/>
  <c r="Y340"/>
  <c r="Z340"/>
  <c r="AA340"/>
  <c r="AB340"/>
  <c r="AC340"/>
  <c r="AD340"/>
  <c r="AE340"/>
  <c r="AF340"/>
  <c r="AH340"/>
  <c r="AI340"/>
  <c r="AJ340"/>
  <c r="AK340"/>
  <c r="AL340"/>
  <c r="AM340"/>
  <c r="AN340"/>
  <c r="AO340"/>
  <c r="AP340"/>
  <c r="U341"/>
  <c r="W341"/>
  <c r="E341" s="1"/>
  <c r="X341"/>
  <c r="Y341"/>
  <c r="Z341"/>
  <c r="AA341"/>
  <c r="AB341"/>
  <c r="AC341"/>
  <c r="AD341"/>
  <c r="AE341"/>
  <c r="AF341"/>
  <c r="AH341"/>
  <c r="AI341"/>
  <c r="AJ341"/>
  <c r="AK341"/>
  <c r="AL341"/>
  <c r="AM341"/>
  <c r="AN341"/>
  <c r="AO341"/>
  <c r="AP341"/>
  <c r="U342"/>
  <c r="W342" s="1"/>
  <c r="E342" s="1"/>
  <c r="V342"/>
  <c r="X342"/>
  <c r="Y342"/>
  <c r="Z342"/>
  <c r="AA342"/>
  <c r="AB342"/>
  <c r="AC342"/>
  <c r="AD342"/>
  <c r="AE342"/>
  <c r="AF342"/>
  <c r="AH342"/>
  <c r="AI342"/>
  <c r="AJ342"/>
  <c r="AK342"/>
  <c r="AL342"/>
  <c r="AM342"/>
  <c r="AN342"/>
  <c r="AO342"/>
  <c r="AP342"/>
  <c r="U343"/>
  <c r="X343"/>
  <c r="Y343"/>
  <c r="Z343"/>
  <c r="AA343"/>
  <c r="AB343"/>
  <c r="AC343"/>
  <c r="AD343"/>
  <c r="AE343"/>
  <c r="AF343"/>
  <c r="AH343"/>
  <c r="AI343"/>
  <c r="AJ343"/>
  <c r="AK343"/>
  <c r="AL343"/>
  <c r="AM343"/>
  <c r="AN343"/>
  <c r="AO343"/>
  <c r="AP343"/>
  <c r="U344"/>
  <c r="F344" s="1"/>
  <c r="V344"/>
  <c r="X344"/>
  <c r="Y344"/>
  <c r="Z344"/>
  <c r="AA344"/>
  <c r="AB344"/>
  <c r="AC344"/>
  <c r="AD344"/>
  <c r="AE344"/>
  <c r="AF344"/>
  <c r="AH344"/>
  <c r="AI344"/>
  <c r="AJ344"/>
  <c r="AK344"/>
  <c r="AL344"/>
  <c r="AM344"/>
  <c r="AN344"/>
  <c r="AO344"/>
  <c r="AP344"/>
  <c r="U345"/>
  <c r="W345"/>
  <c r="E345" s="1"/>
  <c r="X345"/>
  <c r="Y345"/>
  <c r="Z345"/>
  <c r="AA345"/>
  <c r="AB345"/>
  <c r="AC345"/>
  <c r="AD345"/>
  <c r="AE345"/>
  <c r="AF345"/>
  <c r="AH345"/>
  <c r="AI345"/>
  <c r="AJ345"/>
  <c r="AK345"/>
  <c r="AL345"/>
  <c r="AM345"/>
  <c r="AN345"/>
  <c r="AO345"/>
  <c r="AP345"/>
  <c r="U346"/>
  <c r="W346" s="1"/>
  <c r="E346" s="1"/>
  <c r="V346"/>
  <c r="X346"/>
  <c r="Y346"/>
  <c r="Z346"/>
  <c r="AA346"/>
  <c r="AB346"/>
  <c r="AC346"/>
  <c r="AD346"/>
  <c r="AE346"/>
  <c r="AF346"/>
  <c r="AH346"/>
  <c r="AI346"/>
  <c r="AJ346"/>
  <c r="AK346"/>
  <c r="AL346"/>
  <c r="AM346"/>
  <c r="AN346"/>
  <c r="AO346"/>
  <c r="AP346"/>
  <c r="U347"/>
  <c r="X347"/>
  <c r="Y347"/>
  <c r="Z347"/>
  <c r="AA347"/>
  <c r="AB347"/>
  <c r="AC347"/>
  <c r="AD347"/>
  <c r="AE347"/>
  <c r="AF347"/>
  <c r="AH347"/>
  <c r="AI347"/>
  <c r="AJ347"/>
  <c r="AK347"/>
  <c r="AL347"/>
  <c r="AM347"/>
  <c r="AN347"/>
  <c r="AO347"/>
  <c r="AP347"/>
  <c r="U348"/>
  <c r="V348" s="1"/>
  <c r="X348"/>
  <c r="Y348"/>
  <c r="Z348"/>
  <c r="AA348"/>
  <c r="AB348"/>
  <c r="AC348"/>
  <c r="AD348"/>
  <c r="AE348"/>
  <c r="AF348"/>
  <c r="AH348"/>
  <c r="AI348"/>
  <c r="AJ348"/>
  <c r="AK348"/>
  <c r="AL348"/>
  <c r="AM348"/>
  <c r="AN348"/>
  <c r="AO348"/>
  <c r="AP348"/>
  <c r="U349"/>
  <c r="W349" s="1"/>
  <c r="E349" s="1"/>
  <c r="X349"/>
  <c r="Y349"/>
  <c r="Z349"/>
  <c r="AA349"/>
  <c r="AB349"/>
  <c r="AC349"/>
  <c r="AD349"/>
  <c r="AE349"/>
  <c r="AF349"/>
  <c r="AH349"/>
  <c r="AI349"/>
  <c r="AJ349"/>
  <c r="AK349"/>
  <c r="AL349"/>
  <c r="AM349"/>
  <c r="AN349"/>
  <c r="AO349"/>
  <c r="AP349"/>
  <c r="U350"/>
  <c r="W350" s="1"/>
  <c r="E350" s="1"/>
  <c r="X350"/>
  <c r="Y350"/>
  <c r="Z350"/>
  <c r="AA350"/>
  <c r="AB350"/>
  <c r="AC350"/>
  <c r="AD350"/>
  <c r="AE350"/>
  <c r="AF350"/>
  <c r="AH350"/>
  <c r="AI350"/>
  <c r="AJ350"/>
  <c r="AK350"/>
  <c r="AL350"/>
  <c r="AM350"/>
  <c r="AN350"/>
  <c r="AO350"/>
  <c r="AP350"/>
  <c r="U351"/>
  <c r="X351"/>
  <c r="Y351"/>
  <c r="Z351"/>
  <c r="AA351"/>
  <c r="AB351"/>
  <c r="AC351"/>
  <c r="AD351"/>
  <c r="AE351"/>
  <c r="AF351"/>
  <c r="AH351"/>
  <c r="AI351"/>
  <c r="AJ351"/>
  <c r="AK351"/>
  <c r="AL351"/>
  <c r="AM351"/>
  <c r="AN351"/>
  <c r="AO351"/>
  <c r="AP351"/>
  <c r="U352"/>
  <c r="F352" s="1"/>
  <c r="V352"/>
  <c r="X352"/>
  <c r="Y352"/>
  <c r="Z352"/>
  <c r="AA352"/>
  <c r="AB352"/>
  <c r="AC352"/>
  <c r="AD352"/>
  <c r="AE352"/>
  <c r="AF352"/>
  <c r="AH352"/>
  <c r="AI352"/>
  <c r="AJ352"/>
  <c r="AK352"/>
  <c r="AL352"/>
  <c r="AM352"/>
  <c r="AN352"/>
  <c r="AO352"/>
  <c r="AP352"/>
  <c r="U353"/>
  <c r="W353"/>
  <c r="E353" s="1"/>
  <c r="X353"/>
  <c r="Y353"/>
  <c r="Z353"/>
  <c r="AA353"/>
  <c r="AB353"/>
  <c r="AC353"/>
  <c r="AD353"/>
  <c r="AE353"/>
  <c r="AF353"/>
  <c r="AH353"/>
  <c r="AI353"/>
  <c r="AJ353"/>
  <c r="AK353"/>
  <c r="AL353"/>
  <c r="AM353"/>
  <c r="AN353"/>
  <c r="AO353"/>
  <c r="AP353"/>
  <c r="U354"/>
  <c r="W354" s="1"/>
  <c r="E354" s="1"/>
  <c r="V354"/>
  <c r="X354"/>
  <c r="Y354"/>
  <c r="Z354"/>
  <c r="AA354"/>
  <c r="AB354"/>
  <c r="AC354"/>
  <c r="AD354"/>
  <c r="AE354"/>
  <c r="AF354"/>
  <c r="AH354"/>
  <c r="AI354"/>
  <c r="AJ354"/>
  <c r="AK354"/>
  <c r="AL354"/>
  <c r="AM354"/>
  <c r="AN354"/>
  <c r="AO354"/>
  <c r="AP354"/>
  <c r="U355"/>
  <c r="X355"/>
  <c r="Y355"/>
  <c r="Z355"/>
  <c r="AA355"/>
  <c r="AB355"/>
  <c r="AC355"/>
  <c r="AD355"/>
  <c r="AE355"/>
  <c r="AF355"/>
  <c r="AH355"/>
  <c r="AI355"/>
  <c r="AJ355"/>
  <c r="AK355"/>
  <c r="AL355"/>
  <c r="AM355"/>
  <c r="AN355"/>
  <c r="AO355"/>
  <c r="AP355"/>
  <c r="U356"/>
  <c r="F356" s="1"/>
  <c r="V356"/>
  <c r="X356"/>
  <c r="Y356"/>
  <c r="Z356"/>
  <c r="AA356"/>
  <c r="AB356"/>
  <c r="AC356"/>
  <c r="AD356"/>
  <c r="AE356"/>
  <c r="AF356"/>
  <c r="AH356"/>
  <c r="AI356"/>
  <c r="AJ356"/>
  <c r="AK356"/>
  <c r="AL356"/>
  <c r="AM356"/>
  <c r="AN356"/>
  <c r="AO356"/>
  <c r="AP356"/>
  <c r="U357"/>
  <c r="W357"/>
  <c r="E357" s="1"/>
  <c r="X357"/>
  <c r="Y357"/>
  <c r="Z357"/>
  <c r="AA357"/>
  <c r="AB357"/>
  <c r="AC357"/>
  <c r="AD357"/>
  <c r="AE357"/>
  <c r="AF357"/>
  <c r="AH357"/>
  <c r="AI357"/>
  <c r="AJ357"/>
  <c r="AK357"/>
  <c r="AL357"/>
  <c r="AM357"/>
  <c r="AN357"/>
  <c r="AO357"/>
  <c r="AP357"/>
  <c r="U358"/>
  <c r="W358" s="1"/>
  <c r="E358" s="1"/>
  <c r="V358"/>
  <c r="X358"/>
  <c r="Y358"/>
  <c r="Z358"/>
  <c r="AA358"/>
  <c r="AB358"/>
  <c r="AC358"/>
  <c r="AD358"/>
  <c r="AE358"/>
  <c r="AF358"/>
  <c r="AH358"/>
  <c r="AI358"/>
  <c r="AJ358"/>
  <c r="AK358"/>
  <c r="AL358"/>
  <c r="AM358"/>
  <c r="AN358"/>
  <c r="AO358"/>
  <c r="AP358"/>
  <c r="U359"/>
  <c r="X359"/>
  <c r="Y359"/>
  <c r="Z359"/>
  <c r="AA359"/>
  <c r="AB359"/>
  <c r="AC359"/>
  <c r="AD359"/>
  <c r="AE359"/>
  <c r="AF359"/>
  <c r="AH359"/>
  <c r="AI359"/>
  <c r="AJ359"/>
  <c r="AK359"/>
  <c r="AL359"/>
  <c r="AM359"/>
  <c r="AN359"/>
  <c r="AO359"/>
  <c r="AP359"/>
  <c r="U360"/>
  <c r="F360" s="1"/>
  <c r="V360"/>
  <c r="X360"/>
  <c r="Y360"/>
  <c r="Z360"/>
  <c r="AA360"/>
  <c r="AB360"/>
  <c r="AC360"/>
  <c r="AD360"/>
  <c r="AE360"/>
  <c r="AF360"/>
  <c r="AH360"/>
  <c r="AI360"/>
  <c r="AJ360"/>
  <c r="AK360"/>
  <c r="AL360"/>
  <c r="AM360"/>
  <c r="AN360"/>
  <c r="AO360"/>
  <c r="AP360"/>
  <c r="U361"/>
  <c r="W361"/>
  <c r="E361" s="1"/>
  <c r="X361"/>
  <c r="Y361"/>
  <c r="Z361"/>
  <c r="AA361"/>
  <c r="AB361"/>
  <c r="AC361"/>
  <c r="AD361"/>
  <c r="AE361"/>
  <c r="AF361"/>
  <c r="AH361"/>
  <c r="AI361"/>
  <c r="AJ361"/>
  <c r="AK361"/>
  <c r="AL361"/>
  <c r="AM361"/>
  <c r="AN361"/>
  <c r="AO361"/>
  <c r="AP361"/>
  <c r="U362"/>
  <c r="W362" s="1"/>
  <c r="E362" s="1"/>
  <c r="V362"/>
  <c r="X362"/>
  <c r="Y362"/>
  <c r="Z362"/>
  <c r="AA362"/>
  <c r="AB362"/>
  <c r="AC362"/>
  <c r="AD362"/>
  <c r="AE362"/>
  <c r="AF362"/>
  <c r="AH362"/>
  <c r="AI362"/>
  <c r="AJ362"/>
  <c r="AK362"/>
  <c r="AL362"/>
  <c r="AM362"/>
  <c r="AN362"/>
  <c r="AO362"/>
  <c r="AP362"/>
  <c r="U363"/>
  <c r="X363"/>
  <c r="Y363"/>
  <c r="Z363"/>
  <c r="AA363"/>
  <c r="AB363"/>
  <c r="AC363"/>
  <c r="AD363"/>
  <c r="AE363"/>
  <c r="AF363"/>
  <c r="AH363"/>
  <c r="AI363"/>
  <c r="AJ363"/>
  <c r="AK363"/>
  <c r="AL363"/>
  <c r="AM363"/>
  <c r="AN363"/>
  <c r="AO363"/>
  <c r="AP363"/>
  <c r="U364"/>
  <c r="V364" s="1"/>
  <c r="X364"/>
  <c r="Y364"/>
  <c r="Z364"/>
  <c r="AA364"/>
  <c r="AB364"/>
  <c r="AC364"/>
  <c r="AD364"/>
  <c r="AE364"/>
  <c r="AF364"/>
  <c r="AH364"/>
  <c r="AI364"/>
  <c r="AJ364"/>
  <c r="AK364"/>
  <c r="AL364"/>
  <c r="AM364"/>
  <c r="AN364"/>
  <c r="AO364"/>
  <c r="AP364"/>
  <c r="U365"/>
  <c r="W365" s="1"/>
  <c r="E365" s="1"/>
  <c r="X365"/>
  <c r="Y365"/>
  <c r="Z365"/>
  <c r="AA365"/>
  <c r="AB365"/>
  <c r="AC365"/>
  <c r="AD365"/>
  <c r="AE365"/>
  <c r="AF365"/>
  <c r="AH365"/>
  <c r="AI365"/>
  <c r="AJ365"/>
  <c r="AK365"/>
  <c r="AL365"/>
  <c r="AM365"/>
  <c r="AN365"/>
  <c r="AO365"/>
  <c r="AP365"/>
  <c r="U366"/>
  <c r="W366" s="1"/>
  <c r="E366" s="1"/>
  <c r="X366"/>
  <c r="Y366"/>
  <c r="Z366"/>
  <c r="AA366"/>
  <c r="AB366"/>
  <c r="AC366"/>
  <c r="AD366"/>
  <c r="AE366"/>
  <c r="AF366"/>
  <c r="AH366"/>
  <c r="AI366"/>
  <c r="AJ366"/>
  <c r="AK366"/>
  <c r="AL366"/>
  <c r="AM366"/>
  <c r="AN366"/>
  <c r="AO366"/>
  <c r="AP366"/>
  <c r="U367"/>
  <c r="X367"/>
  <c r="Y367"/>
  <c r="Z367"/>
  <c r="AA367"/>
  <c r="AB367"/>
  <c r="AC367"/>
  <c r="AD367"/>
  <c r="AE367"/>
  <c r="AF367"/>
  <c r="AH367"/>
  <c r="AI367"/>
  <c r="AJ367"/>
  <c r="AK367"/>
  <c r="AL367"/>
  <c r="AM367"/>
  <c r="AN367"/>
  <c r="AO367"/>
  <c r="AP367"/>
  <c r="U368"/>
  <c r="F368" s="1"/>
  <c r="X368"/>
  <c r="Y368"/>
  <c r="Z368"/>
  <c r="AA368"/>
  <c r="AB368"/>
  <c r="AC368"/>
  <c r="AD368"/>
  <c r="AE368"/>
  <c r="AF368"/>
  <c r="AH368"/>
  <c r="AI368"/>
  <c r="AJ368"/>
  <c r="AK368"/>
  <c r="AL368"/>
  <c r="AM368"/>
  <c r="AN368"/>
  <c r="AO368"/>
  <c r="AP368"/>
  <c r="U369"/>
  <c r="X369"/>
  <c r="Y369"/>
  <c r="Z369"/>
  <c r="AA369"/>
  <c r="AB369"/>
  <c r="AC369"/>
  <c r="AD369"/>
  <c r="AE369"/>
  <c r="AF369"/>
  <c r="AH369"/>
  <c r="AI369"/>
  <c r="AJ369"/>
  <c r="AK369"/>
  <c r="AL369"/>
  <c r="AM369"/>
  <c r="AN369"/>
  <c r="AO369"/>
  <c r="AP369"/>
  <c r="U370"/>
  <c r="W370"/>
  <c r="E370" s="1"/>
  <c r="X370"/>
  <c r="Y370"/>
  <c r="Z370"/>
  <c r="AA370"/>
  <c r="AB370"/>
  <c r="AC370"/>
  <c r="AD370"/>
  <c r="AE370"/>
  <c r="AF370"/>
  <c r="AH370"/>
  <c r="AI370"/>
  <c r="AJ370"/>
  <c r="AK370"/>
  <c r="AL370"/>
  <c r="AM370"/>
  <c r="AN370"/>
  <c r="AO370"/>
  <c r="AP370"/>
  <c r="U371"/>
  <c r="X371"/>
  <c r="Y371"/>
  <c r="Z371"/>
  <c r="AA371"/>
  <c r="AB371"/>
  <c r="AC371"/>
  <c r="AD371"/>
  <c r="AE371"/>
  <c r="AF371"/>
  <c r="AH371"/>
  <c r="AI371"/>
  <c r="AJ371"/>
  <c r="AK371"/>
  <c r="AL371"/>
  <c r="AM371"/>
  <c r="AN371"/>
  <c r="AO371"/>
  <c r="AP371"/>
  <c r="U372"/>
  <c r="X372"/>
  <c r="Y372"/>
  <c r="Z372"/>
  <c r="AA372"/>
  <c r="AB372"/>
  <c r="AC372"/>
  <c r="AD372"/>
  <c r="AE372"/>
  <c r="AF372"/>
  <c r="AH372"/>
  <c r="AI372"/>
  <c r="AJ372"/>
  <c r="AK372"/>
  <c r="AL372"/>
  <c r="AM372"/>
  <c r="AN372"/>
  <c r="AO372"/>
  <c r="AP372"/>
  <c r="U373"/>
  <c r="W373"/>
  <c r="E373" s="1"/>
  <c r="X373"/>
  <c r="Y373"/>
  <c r="Z373"/>
  <c r="AA373"/>
  <c r="AB373"/>
  <c r="AC373"/>
  <c r="AD373"/>
  <c r="AE373"/>
  <c r="AF373"/>
  <c r="AH373"/>
  <c r="AI373"/>
  <c r="AJ373"/>
  <c r="AK373"/>
  <c r="AL373"/>
  <c r="AM373"/>
  <c r="AN373"/>
  <c r="AO373"/>
  <c r="AP373"/>
  <c r="U374"/>
  <c r="W374" s="1"/>
  <c r="E374" s="1"/>
  <c r="V374"/>
  <c r="X374"/>
  <c r="Y374"/>
  <c r="Z374"/>
  <c r="AA374"/>
  <c r="AB374"/>
  <c r="AC374"/>
  <c r="AD374"/>
  <c r="AE374"/>
  <c r="AF374"/>
  <c r="AH374"/>
  <c r="AI374"/>
  <c r="AJ374"/>
  <c r="AK374"/>
  <c r="AL374"/>
  <c r="AM374"/>
  <c r="AN374"/>
  <c r="AO374"/>
  <c r="AP374"/>
  <c r="U375"/>
  <c r="X375"/>
  <c r="Y375"/>
  <c r="Z375"/>
  <c r="AA375"/>
  <c r="AB375"/>
  <c r="AC375"/>
  <c r="AD375"/>
  <c r="AE375"/>
  <c r="AF375"/>
  <c r="AH375"/>
  <c r="AI375"/>
  <c r="AJ375"/>
  <c r="AK375"/>
  <c r="AL375"/>
  <c r="AM375"/>
  <c r="AN375"/>
  <c r="AO375"/>
  <c r="AP375"/>
  <c r="U376"/>
  <c r="F376" s="1"/>
  <c r="X376"/>
  <c r="Y376"/>
  <c r="Z376"/>
  <c r="AA376"/>
  <c r="AB376"/>
  <c r="AC376"/>
  <c r="AD376"/>
  <c r="AE376"/>
  <c r="AF376"/>
  <c r="AH376"/>
  <c r="AI376"/>
  <c r="AJ376"/>
  <c r="AK376"/>
  <c r="AL376"/>
  <c r="AM376"/>
  <c r="AN376"/>
  <c r="AO376"/>
  <c r="AP376"/>
  <c r="U377"/>
  <c r="X377"/>
  <c r="Y377"/>
  <c r="Z377"/>
  <c r="AA377"/>
  <c r="AB377"/>
  <c r="AC377"/>
  <c r="AD377"/>
  <c r="AE377"/>
  <c r="AF377"/>
  <c r="AH377"/>
  <c r="AI377"/>
  <c r="AJ377"/>
  <c r="AK377"/>
  <c r="AL377"/>
  <c r="AM377"/>
  <c r="AN377"/>
  <c r="AO377"/>
  <c r="AP377"/>
  <c r="U378"/>
  <c r="X378"/>
  <c r="Y378"/>
  <c r="Z378"/>
  <c r="AA378"/>
  <c r="AB378"/>
  <c r="AC378"/>
  <c r="AD378"/>
  <c r="AE378"/>
  <c r="AF378"/>
  <c r="AH378"/>
  <c r="AI378"/>
  <c r="AJ378"/>
  <c r="AK378"/>
  <c r="AL378"/>
  <c r="AM378"/>
  <c r="AN378"/>
  <c r="AO378"/>
  <c r="AP378"/>
  <c r="U379"/>
  <c r="X379"/>
  <c r="Y379"/>
  <c r="Z379"/>
  <c r="AA379"/>
  <c r="AB379"/>
  <c r="AC379"/>
  <c r="AD379"/>
  <c r="AE379"/>
  <c r="AF379"/>
  <c r="AH379"/>
  <c r="AI379"/>
  <c r="AJ379"/>
  <c r="AK379"/>
  <c r="AL379"/>
  <c r="AM379"/>
  <c r="AN379"/>
  <c r="AO379"/>
  <c r="AP379"/>
  <c r="U380"/>
  <c r="X380"/>
  <c r="Y380"/>
  <c r="Z380"/>
  <c r="AA380"/>
  <c r="AB380"/>
  <c r="AC380"/>
  <c r="AD380"/>
  <c r="AE380"/>
  <c r="AF380"/>
  <c r="AH380"/>
  <c r="AI380"/>
  <c r="AJ380"/>
  <c r="AK380"/>
  <c r="AL380"/>
  <c r="AM380"/>
  <c r="AN380"/>
  <c r="AO380"/>
  <c r="AP380"/>
  <c r="U381"/>
  <c r="W381"/>
  <c r="E381" s="1"/>
  <c r="X381"/>
  <c r="Y381"/>
  <c r="Z381"/>
  <c r="AA381"/>
  <c r="AB381"/>
  <c r="AC381"/>
  <c r="AD381"/>
  <c r="AE381"/>
  <c r="AF381"/>
  <c r="AH381"/>
  <c r="AI381"/>
  <c r="AJ381"/>
  <c r="AK381"/>
  <c r="AL381"/>
  <c r="AM381"/>
  <c r="AN381"/>
  <c r="AO381"/>
  <c r="AP381"/>
  <c r="U382"/>
  <c r="W382" s="1"/>
  <c r="E382" s="1"/>
  <c r="V382"/>
  <c r="X382"/>
  <c r="Y382"/>
  <c r="Z382"/>
  <c r="AA382"/>
  <c r="AB382"/>
  <c r="AC382"/>
  <c r="AD382"/>
  <c r="AE382"/>
  <c r="AF382"/>
  <c r="AH382"/>
  <c r="AI382"/>
  <c r="AJ382"/>
  <c r="AK382"/>
  <c r="AL382"/>
  <c r="AM382"/>
  <c r="AN382"/>
  <c r="AO382"/>
  <c r="AP382"/>
  <c r="U383"/>
  <c r="X383"/>
  <c r="Y383"/>
  <c r="Z383"/>
  <c r="AA383"/>
  <c r="AB383"/>
  <c r="AC383"/>
  <c r="AD383"/>
  <c r="AE383"/>
  <c r="AF383"/>
  <c r="AH383"/>
  <c r="AI383"/>
  <c r="AJ383"/>
  <c r="AK383"/>
  <c r="AL383"/>
  <c r="AM383"/>
  <c r="AN383"/>
  <c r="AO383"/>
  <c r="AP383"/>
  <c r="U384"/>
  <c r="F384" s="1"/>
  <c r="X384"/>
  <c r="Y384"/>
  <c r="Z384"/>
  <c r="AA384"/>
  <c r="AB384"/>
  <c r="AC384"/>
  <c r="AD384"/>
  <c r="AE384"/>
  <c r="AF384"/>
  <c r="AH384"/>
  <c r="AI384"/>
  <c r="AJ384"/>
  <c r="AK384"/>
  <c r="AL384"/>
  <c r="AM384"/>
  <c r="AN384"/>
  <c r="AO384"/>
  <c r="AP384"/>
  <c r="U385"/>
  <c r="X385"/>
  <c r="Y385"/>
  <c r="Z385"/>
  <c r="AA385"/>
  <c r="AB385"/>
  <c r="AC385"/>
  <c r="AD385"/>
  <c r="AE385"/>
  <c r="AF385"/>
  <c r="AH385"/>
  <c r="AI385"/>
  <c r="AJ385"/>
  <c r="AK385"/>
  <c r="AL385"/>
  <c r="AM385"/>
  <c r="AN385"/>
  <c r="AO385"/>
  <c r="AP385"/>
  <c r="U386"/>
  <c r="W386"/>
  <c r="E386" s="1"/>
  <c r="X386"/>
  <c r="Y386"/>
  <c r="Z386"/>
  <c r="AA386"/>
  <c r="AB386"/>
  <c r="AC386"/>
  <c r="AD386"/>
  <c r="AE386"/>
  <c r="AF386"/>
  <c r="AH386"/>
  <c r="AI386"/>
  <c r="AJ386"/>
  <c r="AK386"/>
  <c r="AL386"/>
  <c r="AM386"/>
  <c r="AN386"/>
  <c r="AO386"/>
  <c r="AP386"/>
  <c r="U387"/>
  <c r="X387"/>
  <c r="Y387"/>
  <c r="Z387"/>
  <c r="AA387"/>
  <c r="AB387"/>
  <c r="AC387"/>
  <c r="AD387"/>
  <c r="AE387"/>
  <c r="AF387"/>
  <c r="AH387"/>
  <c r="AI387"/>
  <c r="AJ387"/>
  <c r="AK387"/>
  <c r="AL387"/>
  <c r="AM387"/>
  <c r="AN387"/>
  <c r="AO387"/>
  <c r="AP387"/>
  <c r="U388"/>
  <c r="X388"/>
  <c r="Y388"/>
  <c r="Z388"/>
  <c r="AA388"/>
  <c r="AB388"/>
  <c r="AC388"/>
  <c r="AD388"/>
  <c r="AE388"/>
  <c r="AF388"/>
  <c r="AH388"/>
  <c r="AI388"/>
  <c r="AJ388"/>
  <c r="AK388"/>
  <c r="AL388"/>
  <c r="AM388"/>
  <c r="AN388"/>
  <c r="AO388"/>
  <c r="AP388"/>
  <c r="U389"/>
  <c r="W389"/>
  <c r="E389" s="1"/>
  <c r="X389"/>
  <c r="Y389"/>
  <c r="Z389"/>
  <c r="AA389"/>
  <c r="AB389"/>
  <c r="AC389"/>
  <c r="AD389"/>
  <c r="AE389"/>
  <c r="AF389"/>
  <c r="AH389"/>
  <c r="AI389"/>
  <c r="AJ389"/>
  <c r="AK389"/>
  <c r="AL389"/>
  <c r="AM389"/>
  <c r="AN389"/>
  <c r="AO389"/>
  <c r="AP389"/>
  <c r="U390"/>
  <c r="V390"/>
  <c r="W390"/>
  <c r="E390" s="1"/>
  <c r="X390"/>
  <c r="Y390"/>
  <c r="Z390"/>
  <c r="AA390"/>
  <c r="AB390"/>
  <c r="AC390"/>
  <c r="AD390"/>
  <c r="AE390"/>
  <c r="AF390"/>
  <c r="AH390"/>
  <c r="AI390"/>
  <c r="AJ390"/>
  <c r="AK390"/>
  <c r="AL390"/>
  <c r="AM390"/>
  <c r="AN390"/>
  <c r="AO390"/>
  <c r="AP390"/>
  <c r="U391"/>
  <c r="X391"/>
  <c r="Y391"/>
  <c r="Z391"/>
  <c r="AA391"/>
  <c r="AB391"/>
  <c r="AC391"/>
  <c r="AD391"/>
  <c r="AE391"/>
  <c r="AF391"/>
  <c r="AH391"/>
  <c r="AI391"/>
  <c r="AJ391"/>
  <c r="AK391"/>
  <c r="AL391"/>
  <c r="AM391"/>
  <c r="AN391"/>
  <c r="AO391"/>
  <c r="AP391"/>
  <c r="U392"/>
  <c r="F392" s="1"/>
  <c r="X392"/>
  <c r="Y392"/>
  <c r="Z392"/>
  <c r="AA392"/>
  <c r="AB392"/>
  <c r="AC392"/>
  <c r="AD392"/>
  <c r="AE392"/>
  <c r="AF392"/>
  <c r="AH392"/>
  <c r="AI392"/>
  <c r="AJ392"/>
  <c r="AK392"/>
  <c r="AL392"/>
  <c r="AM392"/>
  <c r="AN392"/>
  <c r="AO392"/>
  <c r="AP392"/>
  <c r="U393"/>
  <c r="X393"/>
  <c r="Y393"/>
  <c r="Z393"/>
  <c r="AA393"/>
  <c r="AB393"/>
  <c r="AC393"/>
  <c r="AD393"/>
  <c r="AE393"/>
  <c r="AF393"/>
  <c r="AH393"/>
  <c r="AI393"/>
  <c r="AJ393"/>
  <c r="AK393"/>
  <c r="AL393"/>
  <c r="AM393"/>
  <c r="AN393"/>
  <c r="AO393"/>
  <c r="AP393"/>
  <c r="U394"/>
  <c r="X394"/>
  <c r="Y394"/>
  <c r="Z394"/>
  <c r="AA394"/>
  <c r="AB394"/>
  <c r="AC394"/>
  <c r="AD394"/>
  <c r="AE394"/>
  <c r="AF394"/>
  <c r="AH394"/>
  <c r="AI394"/>
  <c r="AJ394"/>
  <c r="AK394"/>
  <c r="AL394"/>
  <c r="AM394"/>
  <c r="AN394"/>
  <c r="AO394"/>
  <c r="AP394"/>
  <c r="U395"/>
  <c r="X395"/>
  <c r="Y395"/>
  <c r="Z395"/>
  <c r="AA395"/>
  <c r="AB395"/>
  <c r="AC395"/>
  <c r="AD395"/>
  <c r="AE395"/>
  <c r="AF395"/>
  <c r="AH395"/>
  <c r="AI395"/>
  <c r="AJ395"/>
  <c r="AK395"/>
  <c r="AL395"/>
  <c r="AM395"/>
  <c r="AN395"/>
  <c r="AO395"/>
  <c r="AP395"/>
  <c r="U396"/>
  <c r="X396"/>
  <c r="Y396"/>
  <c r="Z396"/>
  <c r="AA396"/>
  <c r="AB396"/>
  <c r="AC396"/>
  <c r="AD396"/>
  <c r="AE396"/>
  <c r="AF396"/>
  <c r="AH396"/>
  <c r="AI396"/>
  <c r="AJ396"/>
  <c r="AK396"/>
  <c r="AL396"/>
  <c r="AM396"/>
  <c r="AN396"/>
  <c r="AO396"/>
  <c r="AP396"/>
  <c r="U397"/>
  <c r="W397" s="1"/>
  <c r="E397" s="1"/>
  <c r="X397"/>
  <c r="Y397"/>
  <c r="Z397"/>
  <c r="AA397"/>
  <c r="AB397"/>
  <c r="AC397"/>
  <c r="AD397"/>
  <c r="AE397"/>
  <c r="AF397"/>
  <c r="AH397"/>
  <c r="AI397"/>
  <c r="AJ397"/>
  <c r="AK397"/>
  <c r="AL397"/>
  <c r="AM397"/>
  <c r="AN397"/>
  <c r="AO397"/>
  <c r="AP397"/>
  <c r="U398"/>
  <c r="W398" s="1"/>
  <c r="E398" s="1"/>
  <c r="X398"/>
  <c r="Y398"/>
  <c r="Z398"/>
  <c r="AA398"/>
  <c r="AB398"/>
  <c r="AC398"/>
  <c r="AD398"/>
  <c r="AE398"/>
  <c r="AF398"/>
  <c r="AH398"/>
  <c r="AI398"/>
  <c r="AJ398"/>
  <c r="AK398"/>
  <c r="AL398"/>
  <c r="AM398"/>
  <c r="AN398"/>
  <c r="AO398"/>
  <c r="AP398"/>
  <c r="U399"/>
  <c r="X399"/>
  <c r="Y399"/>
  <c r="Z399"/>
  <c r="AA399"/>
  <c r="AB399"/>
  <c r="AC399"/>
  <c r="AD399"/>
  <c r="AE399"/>
  <c r="AF399"/>
  <c r="AH399"/>
  <c r="AI399"/>
  <c r="AJ399"/>
  <c r="AK399"/>
  <c r="AL399"/>
  <c r="AM399"/>
  <c r="AN399"/>
  <c r="AO399"/>
  <c r="AP399"/>
  <c r="U400"/>
  <c r="F400" s="1"/>
  <c r="X400"/>
  <c r="Y400"/>
  <c r="Z400"/>
  <c r="AA400"/>
  <c r="AB400"/>
  <c r="AC400"/>
  <c r="AD400"/>
  <c r="AE400"/>
  <c r="AF400"/>
  <c r="AH400"/>
  <c r="AI400"/>
  <c r="AJ400"/>
  <c r="AK400"/>
  <c r="AL400"/>
  <c r="AM400"/>
  <c r="AN400"/>
  <c r="AO400"/>
  <c r="AP400"/>
  <c r="U401"/>
  <c r="X401"/>
  <c r="Y401"/>
  <c r="Z401"/>
  <c r="AA401"/>
  <c r="AB401"/>
  <c r="AC401"/>
  <c r="AD401"/>
  <c r="AE401"/>
  <c r="AF401"/>
  <c r="AH401"/>
  <c r="AI401"/>
  <c r="AJ401"/>
  <c r="AK401"/>
  <c r="AL401"/>
  <c r="AM401"/>
  <c r="AN401"/>
  <c r="AO401"/>
  <c r="AP401"/>
  <c r="U402"/>
  <c r="W402"/>
  <c r="E402" s="1"/>
  <c r="X402"/>
  <c r="Y402"/>
  <c r="Z402"/>
  <c r="AA402"/>
  <c r="AB402"/>
  <c r="AC402"/>
  <c r="AD402"/>
  <c r="AE402"/>
  <c r="AF402"/>
  <c r="AH402"/>
  <c r="AI402"/>
  <c r="AJ402"/>
  <c r="AK402"/>
  <c r="AL402"/>
  <c r="AM402"/>
  <c r="AN402"/>
  <c r="AO402"/>
  <c r="AP402"/>
  <c r="U403"/>
  <c r="X403"/>
  <c r="Y403"/>
  <c r="Z403"/>
  <c r="AA403"/>
  <c r="AB403"/>
  <c r="AC403"/>
  <c r="AD403"/>
  <c r="AE403"/>
  <c r="AF403"/>
  <c r="AH403"/>
  <c r="AI403"/>
  <c r="AJ403"/>
  <c r="AK403"/>
  <c r="AL403"/>
  <c r="AM403"/>
  <c r="AN403"/>
  <c r="AO403"/>
  <c r="AP403"/>
  <c r="U404"/>
  <c r="X404"/>
  <c r="Y404"/>
  <c r="Z404"/>
  <c r="AA404"/>
  <c r="AB404"/>
  <c r="AC404"/>
  <c r="AD404"/>
  <c r="AE404"/>
  <c r="AF404"/>
  <c r="AH404"/>
  <c r="AI404"/>
  <c r="AJ404"/>
  <c r="AK404"/>
  <c r="AL404"/>
  <c r="AM404"/>
  <c r="AN404"/>
  <c r="AO404"/>
  <c r="AP404"/>
  <c r="U405"/>
  <c r="W405"/>
  <c r="E405" s="1"/>
  <c r="X405"/>
  <c r="Y405"/>
  <c r="Z405"/>
  <c r="AA405"/>
  <c r="AB405"/>
  <c r="AC405"/>
  <c r="AD405"/>
  <c r="AE405"/>
  <c r="AF405"/>
  <c r="AH405"/>
  <c r="AI405"/>
  <c r="AJ405"/>
  <c r="AK405"/>
  <c r="AL405"/>
  <c r="AM405"/>
  <c r="AN405"/>
  <c r="AO405"/>
  <c r="AP405"/>
  <c r="U406"/>
  <c r="W406" s="1"/>
  <c r="E406" s="1"/>
  <c r="V406"/>
  <c r="X406"/>
  <c r="Y406"/>
  <c r="Z406"/>
  <c r="AA406"/>
  <c r="AB406"/>
  <c r="AC406"/>
  <c r="AD406"/>
  <c r="AE406"/>
  <c r="AF406"/>
  <c r="AH406"/>
  <c r="AI406"/>
  <c r="AJ406"/>
  <c r="AK406"/>
  <c r="AL406"/>
  <c r="AM406"/>
  <c r="AN406"/>
  <c r="AO406"/>
  <c r="AP406"/>
  <c r="U407"/>
  <c r="X407"/>
  <c r="Y407"/>
  <c r="Z407"/>
  <c r="AA407"/>
  <c r="AB407"/>
  <c r="AC407"/>
  <c r="AD407"/>
  <c r="AE407"/>
  <c r="AF407"/>
  <c r="AH407"/>
  <c r="AI407"/>
  <c r="AJ407"/>
  <c r="AK407"/>
  <c r="AL407"/>
  <c r="AM407"/>
  <c r="AN407"/>
  <c r="AO407"/>
  <c r="AP407"/>
  <c r="U408"/>
  <c r="F408" s="1"/>
  <c r="X408"/>
  <c r="Y408"/>
  <c r="Z408"/>
  <c r="AA408"/>
  <c r="AB408"/>
  <c r="AC408"/>
  <c r="AD408"/>
  <c r="AE408"/>
  <c r="AF408"/>
  <c r="AH408"/>
  <c r="AI408"/>
  <c r="AJ408"/>
  <c r="AK408"/>
  <c r="AL408"/>
  <c r="AM408"/>
  <c r="AN408"/>
  <c r="AO408"/>
  <c r="AP408"/>
  <c r="U409"/>
  <c r="X409"/>
  <c r="Y409"/>
  <c r="Z409"/>
  <c r="AA409"/>
  <c r="AB409"/>
  <c r="AC409"/>
  <c r="AD409"/>
  <c r="AE409"/>
  <c r="AF409"/>
  <c r="AH409"/>
  <c r="AI409"/>
  <c r="AJ409"/>
  <c r="AK409"/>
  <c r="AL409"/>
  <c r="AM409"/>
  <c r="AN409"/>
  <c r="AO409"/>
  <c r="AP409"/>
  <c r="U410"/>
  <c r="X410"/>
  <c r="Y410"/>
  <c r="Z410"/>
  <c r="AA410"/>
  <c r="AB410"/>
  <c r="AC410"/>
  <c r="AD410"/>
  <c r="AE410"/>
  <c r="AF410"/>
  <c r="AH410"/>
  <c r="AI410"/>
  <c r="AJ410"/>
  <c r="AK410"/>
  <c r="AL410"/>
  <c r="AM410"/>
  <c r="AN410"/>
  <c r="AO410"/>
  <c r="AP410"/>
  <c r="U411"/>
  <c r="X411"/>
  <c r="Y411"/>
  <c r="Z411"/>
  <c r="AA411"/>
  <c r="AB411"/>
  <c r="AC411"/>
  <c r="AD411"/>
  <c r="AE411"/>
  <c r="AF411"/>
  <c r="AH411"/>
  <c r="AI411"/>
  <c r="AJ411"/>
  <c r="AK411"/>
  <c r="AL411"/>
  <c r="AM411"/>
  <c r="AN411"/>
  <c r="AO411"/>
  <c r="AP411"/>
  <c r="U412"/>
  <c r="X412"/>
  <c r="Y412"/>
  <c r="Z412"/>
  <c r="AA412"/>
  <c r="AB412"/>
  <c r="AC412"/>
  <c r="AD412"/>
  <c r="AE412"/>
  <c r="AF412"/>
  <c r="AH412"/>
  <c r="AI412"/>
  <c r="AJ412"/>
  <c r="AK412"/>
  <c r="AL412"/>
  <c r="AM412"/>
  <c r="AN412"/>
  <c r="AO412"/>
  <c r="AP412"/>
  <c r="U413"/>
  <c r="W413"/>
  <c r="E413" s="1"/>
  <c r="X413"/>
  <c r="Y413"/>
  <c r="Z413"/>
  <c r="AA413"/>
  <c r="AB413"/>
  <c r="AC413"/>
  <c r="AD413"/>
  <c r="AE413"/>
  <c r="AF413"/>
  <c r="AH413"/>
  <c r="AI413"/>
  <c r="AJ413"/>
  <c r="AK413"/>
  <c r="AL413"/>
  <c r="AM413"/>
  <c r="AN413"/>
  <c r="AO413"/>
  <c r="AP413"/>
  <c r="U414"/>
  <c r="W414" s="1"/>
  <c r="E414" s="1"/>
  <c r="V414"/>
  <c r="X414"/>
  <c r="Y414"/>
  <c r="Z414"/>
  <c r="AA414"/>
  <c r="AB414"/>
  <c r="AC414"/>
  <c r="AD414"/>
  <c r="AE414"/>
  <c r="AF414"/>
  <c r="AH414"/>
  <c r="AI414"/>
  <c r="AJ414"/>
  <c r="AK414"/>
  <c r="AL414"/>
  <c r="AM414"/>
  <c r="AN414"/>
  <c r="AO414"/>
  <c r="AP414"/>
  <c r="U415"/>
  <c r="X415"/>
  <c r="Y415"/>
  <c r="Z415"/>
  <c r="AA415"/>
  <c r="AB415"/>
  <c r="AC415"/>
  <c r="AD415"/>
  <c r="AE415"/>
  <c r="AF415"/>
  <c r="AH415"/>
  <c r="AI415"/>
  <c r="AJ415"/>
  <c r="AK415"/>
  <c r="AL415"/>
  <c r="AM415"/>
  <c r="AN415"/>
  <c r="AO415"/>
  <c r="AP415"/>
  <c r="U416"/>
  <c r="F416" s="1"/>
  <c r="X416"/>
  <c r="Y416"/>
  <c r="Z416"/>
  <c r="AA416"/>
  <c r="AB416"/>
  <c r="AC416"/>
  <c r="AD416"/>
  <c r="AE416"/>
  <c r="AF416"/>
  <c r="AH416"/>
  <c r="AI416"/>
  <c r="AJ416"/>
  <c r="AK416"/>
  <c r="AL416"/>
  <c r="AM416"/>
  <c r="AN416"/>
  <c r="AO416"/>
  <c r="AP416"/>
  <c r="U417"/>
  <c r="X417"/>
  <c r="Y417"/>
  <c r="Z417"/>
  <c r="AA417"/>
  <c r="AB417"/>
  <c r="AC417"/>
  <c r="AD417"/>
  <c r="AE417"/>
  <c r="AF417"/>
  <c r="AH417"/>
  <c r="AI417"/>
  <c r="AJ417"/>
  <c r="AK417"/>
  <c r="AL417"/>
  <c r="AM417"/>
  <c r="AN417"/>
  <c r="AO417"/>
  <c r="AP417"/>
  <c r="U418"/>
  <c r="W418"/>
  <c r="E418" s="1"/>
  <c r="X418"/>
  <c r="Y418"/>
  <c r="Z418"/>
  <c r="AA418"/>
  <c r="AB418"/>
  <c r="AC418"/>
  <c r="AD418"/>
  <c r="AE418"/>
  <c r="AF418"/>
  <c r="AH418"/>
  <c r="AI418"/>
  <c r="AJ418"/>
  <c r="AK418"/>
  <c r="AL418"/>
  <c r="AM418"/>
  <c r="AN418"/>
  <c r="AO418"/>
  <c r="AP418"/>
  <c r="U419"/>
  <c r="X419"/>
  <c r="Y419"/>
  <c r="Z419"/>
  <c r="AA419"/>
  <c r="AB419"/>
  <c r="AC419"/>
  <c r="AD419"/>
  <c r="AE419"/>
  <c r="AF419"/>
  <c r="AH419"/>
  <c r="AI419"/>
  <c r="AJ419"/>
  <c r="AK419"/>
  <c r="AL419"/>
  <c r="AM419"/>
  <c r="AN419"/>
  <c r="AO419"/>
  <c r="AP419"/>
  <c r="U420"/>
  <c r="X420"/>
  <c r="Y420"/>
  <c r="Z420"/>
  <c r="AA420"/>
  <c r="AB420"/>
  <c r="AC420"/>
  <c r="AD420"/>
  <c r="AE420"/>
  <c r="AF420"/>
  <c r="AH420"/>
  <c r="AI420"/>
  <c r="AJ420"/>
  <c r="AK420"/>
  <c r="AL420"/>
  <c r="AM420"/>
  <c r="AN420"/>
  <c r="AO420"/>
  <c r="AP420"/>
  <c r="U421"/>
  <c r="W421"/>
  <c r="E421" s="1"/>
  <c r="X421"/>
  <c r="Y421"/>
  <c r="Z421"/>
  <c r="AA421"/>
  <c r="AB421"/>
  <c r="AC421"/>
  <c r="AD421"/>
  <c r="AE421"/>
  <c r="AF421"/>
  <c r="AH421"/>
  <c r="AI421"/>
  <c r="AJ421"/>
  <c r="AK421"/>
  <c r="AL421"/>
  <c r="AM421"/>
  <c r="AN421"/>
  <c r="AO421"/>
  <c r="AP421"/>
  <c r="U422"/>
  <c r="V422"/>
  <c r="W422"/>
  <c r="E422" s="1"/>
  <c r="X422"/>
  <c r="Y422"/>
  <c r="Z422"/>
  <c r="AA422"/>
  <c r="AB422"/>
  <c r="AC422"/>
  <c r="AD422"/>
  <c r="AE422"/>
  <c r="AF422"/>
  <c r="AH422"/>
  <c r="AI422"/>
  <c r="AJ422"/>
  <c r="AK422"/>
  <c r="AL422"/>
  <c r="AM422"/>
  <c r="AN422"/>
  <c r="AO422"/>
  <c r="AP422"/>
  <c r="U423"/>
  <c r="X423"/>
  <c r="Y423"/>
  <c r="Z423"/>
  <c r="AA423"/>
  <c r="AB423"/>
  <c r="AC423"/>
  <c r="AD423"/>
  <c r="AE423"/>
  <c r="AF423"/>
  <c r="AH423"/>
  <c r="AI423"/>
  <c r="AJ423"/>
  <c r="AK423"/>
  <c r="AL423"/>
  <c r="AM423"/>
  <c r="AN423"/>
  <c r="AO423"/>
  <c r="AP423"/>
  <c r="U424"/>
  <c r="F424" s="1"/>
  <c r="X424"/>
  <c r="Y424"/>
  <c r="Z424"/>
  <c r="AA424"/>
  <c r="AB424"/>
  <c r="AC424"/>
  <c r="AD424"/>
  <c r="AE424"/>
  <c r="AF424"/>
  <c r="AH424"/>
  <c r="AI424"/>
  <c r="AJ424"/>
  <c r="AK424"/>
  <c r="AL424"/>
  <c r="AM424"/>
  <c r="AN424"/>
  <c r="AO424"/>
  <c r="AP424"/>
  <c r="U425"/>
  <c r="X425"/>
  <c r="Y425"/>
  <c r="Z425"/>
  <c r="AA425"/>
  <c r="AB425"/>
  <c r="AC425"/>
  <c r="AD425"/>
  <c r="AE425"/>
  <c r="AF425"/>
  <c r="AH425"/>
  <c r="AI425"/>
  <c r="AJ425"/>
  <c r="AK425"/>
  <c r="AL425"/>
  <c r="AM425"/>
  <c r="AN425"/>
  <c r="AO425"/>
  <c r="AP425"/>
  <c r="U426"/>
  <c r="X426"/>
  <c r="Y426"/>
  <c r="Z426"/>
  <c r="AA426"/>
  <c r="AB426"/>
  <c r="AC426"/>
  <c r="AD426"/>
  <c r="AE426"/>
  <c r="AF426"/>
  <c r="AH426"/>
  <c r="AI426"/>
  <c r="AJ426"/>
  <c r="AK426"/>
  <c r="AL426"/>
  <c r="AM426"/>
  <c r="AN426"/>
  <c r="AO426"/>
  <c r="AP426"/>
  <c r="U427"/>
  <c r="X427"/>
  <c r="Y427"/>
  <c r="Z427"/>
  <c r="AA427"/>
  <c r="AB427"/>
  <c r="AC427"/>
  <c r="AD427"/>
  <c r="AE427"/>
  <c r="AF427"/>
  <c r="AH427"/>
  <c r="AI427"/>
  <c r="AJ427"/>
  <c r="AK427"/>
  <c r="AL427"/>
  <c r="AM427"/>
  <c r="AN427"/>
  <c r="AO427"/>
  <c r="AP427"/>
  <c r="U428"/>
  <c r="X428"/>
  <c r="Y428"/>
  <c r="Z428"/>
  <c r="AA428"/>
  <c r="AB428"/>
  <c r="AC428"/>
  <c r="AD428"/>
  <c r="AE428"/>
  <c r="AF428"/>
  <c r="AH428"/>
  <c r="AI428"/>
  <c r="AJ428"/>
  <c r="AK428"/>
  <c r="AL428"/>
  <c r="AM428"/>
  <c r="AN428"/>
  <c r="AO428"/>
  <c r="AP428"/>
  <c r="U429"/>
  <c r="W429" s="1"/>
  <c r="E429" s="1"/>
  <c r="X429"/>
  <c r="Y429"/>
  <c r="Z429"/>
  <c r="AA429"/>
  <c r="AB429"/>
  <c r="AC429"/>
  <c r="AD429"/>
  <c r="AE429"/>
  <c r="AF429"/>
  <c r="AH429"/>
  <c r="AI429"/>
  <c r="AJ429"/>
  <c r="AK429"/>
  <c r="AL429"/>
  <c r="AM429"/>
  <c r="AN429"/>
  <c r="AO429"/>
  <c r="AP429"/>
  <c r="U430"/>
  <c r="W430" s="1"/>
  <c r="E430" s="1"/>
  <c r="X430"/>
  <c r="Y430"/>
  <c r="Z430"/>
  <c r="AA430"/>
  <c r="AB430"/>
  <c r="AC430"/>
  <c r="AD430"/>
  <c r="AE430"/>
  <c r="AF430"/>
  <c r="AH430"/>
  <c r="AI430"/>
  <c r="AJ430"/>
  <c r="AK430"/>
  <c r="AL430"/>
  <c r="AM430"/>
  <c r="AN430"/>
  <c r="AO430"/>
  <c r="AP430"/>
  <c r="U431"/>
  <c r="X431"/>
  <c r="Y431"/>
  <c r="Z431"/>
  <c r="AA431"/>
  <c r="AB431"/>
  <c r="AC431"/>
  <c r="AD431"/>
  <c r="AE431"/>
  <c r="AF431"/>
  <c r="AH431"/>
  <c r="AI431"/>
  <c r="AJ431"/>
  <c r="AK431"/>
  <c r="AL431"/>
  <c r="AM431"/>
  <c r="AN431"/>
  <c r="AO431"/>
  <c r="AP431"/>
  <c r="U432"/>
  <c r="F432" s="1"/>
  <c r="X432"/>
  <c r="Y432"/>
  <c r="Z432"/>
  <c r="AA432"/>
  <c r="AB432"/>
  <c r="AC432"/>
  <c r="AD432"/>
  <c r="AE432"/>
  <c r="AF432"/>
  <c r="AH432"/>
  <c r="AI432"/>
  <c r="AJ432"/>
  <c r="AK432"/>
  <c r="AL432"/>
  <c r="AM432"/>
  <c r="AN432"/>
  <c r="AO432"/>
  <c r="AP432"/>
  <c r="U433"/>
  <c r="X433"/>
  <c r="Y433"/>
  <c r="Z433"/>
  <c r="AA433"/>
  <c r="AB433"/>
  <c r="AC433"/>
  <c r="AD433"/>
  <c r="AE433"/>
  <c r="AF433"/>
  <c r="AH433"/>
  <c r="AI433"/>
  <c r="AJ433"/>
  <c r="AK433"/>
  <c r="AL433"/>
  <c r="AM433"/>
  <c r="AN433"/>
  <c r="AO433"/>
  <c r="AP433"/>
  <c r="U434"/>
  <c r="W434"/>
  <c r="E434" s="1"/>
  <c r="X434"/>
  <c r="Y434"/>
  <c r="Z434"/>
  <c r="AA434"/>
  <c r="AB434"/>
  <c r="AC434"/>
  <c r="AD434"/>
  <c r="AE434"/>
  <c r="AF434"/>
  <c r="AH434"/>
  <c r="AI434"/>
  <c r="AJ434"/>
  <c r="AK434"/>
  <c r="AL434"/>
  <c r="AM434"/>
  <c r="AN434"/>
  <c r="AO434"/>
  <c r="AP434"/>
  <c r="U435"/>
  <c r="X435"/>
  <c r="Y435"/>
  <c r="Z435"/>
  <c r="AA435"/>
  <c r="AB435"/>
  <c r="AC435"/>
  <c r="AD435"/>
  <c r="AE435"/>
  <c r="AF435"/>
  <c r="AH435"/>
  <c r="AI435"/>
  <c r="AJ435"/>
  <c r="AK435"/>
  <c r="AL435"/>
  <c r="AM435"/>
  <c r="AN435"/>
  <c r="AO435"/>
  <c r="AP435"/>
  <c r="U436"/>
  <c r="X436"/>
  <c r="Y436"/>
  <c r="Z436"/>
  <c r="AA436"/>
  <c r="AB436"/>
  <c r="AC436"/>
  <c r="AD436"/>
  <c r="AE436"/>
  <c r="AF436"/>
  <c r="AH436"/>
  <c r="AI436"/>
  <c r="AJ436"/>
  <c r="AK436"/>
  <c r="AL436"/>
  <c r="AM436"/>
  <c r="AN436"/>
  <c r="AO436"/>
  <c r="AP436"/>
  <c r="U437"/>
  <c r="X437"/>
  <c r="Y437"/>
  <c r="Z437"/>
  <c r="AA437"/>
  <c r="AB437"/>
  <c r="AC437"/>
  <c r="AD437"/>
  <c r="AE437"/>
  <c r="AF437"/>
  <c r="AH437"/>
  <c r="AI437"/>
  <c r="AJ437"/>
  <c r="AK437"/>
  <c r="AL437"/>
  <c r="AM437"/>
  <c r="AN437"/>
  <c r="AO437"/>
  <c r="AP437"/>
  <c r="U438"/>
  <c r="X438"/>
  <c r="Y438"/>
  <c r="Z438"/>
  <c r="AA438"/>
  <c r="AB438"/>
  <c r="AC438"/>
  <c r="AD438"/>
  <c r="AE438"/>
  <c r="AF438"/>
  <c r="AH438"/>
  <c r="AI438"/>
  <c r="AJ438"/>
  <c r="AK438"/>
  <c r="AL438"/>
  <c r="AM438"/>
  <c r="AN438"/>
  <c r="AO438"/>
  <c r="AP438"/>
  <c r="U439"/>
  <c r="V439"/>
  <c r="W439"/>
  <c r="E439" s="1"/>
  <c r="X439"/>
  <c r="Y439"/>
  <c r="Z439"/>
  <c r="AA439"/>
  <c r="AB439"/>
  <c r="AC439"/>
  <c r="AD439"/>
  <c r="AE439"/>
  <c r="AF439"/>
  <c r="AH439"/>
  <c r="AI439"/>
  <c r="AJ439"/>
  <c r="AK439"/>
  <c r="AL439"/>
  <c r="AM439"/>
  <c r="AN439"/>
  <c r="AO439"/>
  <c r="AP439"/>
  <c r="U440"/>
  <c r="X440"/>
  <c r="Y440"/>
  <c r="Z440"/>
  <c r="AA440"/>
  <c r="AB440"/>
  <c r="AC440"/>
  <c r="AD440"/>
  <c r="AE440"/>
  <c r="AF440"/>
  <c r="AH440"/>
  <c r="AI440"/>
  <c r="AJ440"/>
  <c r="AK440"/>
  <c r="AL440"/>
  <c r="AM440"/>
  <c r="AN440"/>
  <c r="AO440"/>
  <c r="AP440"/>
  <c r="U441"/>
  <c r="X441"/>
  <c r="Y441"/>
  <c r="Z441"/>
  <c r="AA441"/>
  <c r="AB441"/>
  <c r="AC441"/>
  <c r="AD441"/>
  <c r="AE441"/>
  <c r="AF441"/>
  <c r="AH441"/>
  <c r="AI441"/>
  <c r="AJ441"/>
  <c r="AK441"/>
  <c r="AL441"/>
  <c r="AM441"/>
  <c r="AN441"/>
  <c r="AO441"/>
  <c r="AP441"/>
  <c r="U442"/>
  <c r="W442" s="1"/>
  <c r="E442" s="1"/>
  <c r="X442"/>
  <c r="Y442"/>
  <c r="Z442"/>
  <c r="AA442"/>
  <c r="AB442"/>
  <c r="AC442"/>
  <c r="AD442"/>
  <c r="AE442"/>
  <c r="AF442"/>
  <c r="AH442"/>
  <c r="AI442"/>
  <c r="AJ442"/>
  <c r="AK442"/>
  <c r="AL442"/>
  <c r="AM442"/>
  <c r="AN442"/>
  <c r="AO442"/>
  <c r="AP442"/>
  <c r="U443"/>
  <c r="X443"/>
  <c r="Y443"/>
  <c r="Z443"/>
  <c r="AA443"/>
  <c r="AB443"/>
  <c r="AC443"/>
  <c r="AD443"/>
  <c r="AE443"/>
  <c r="AF443"/>
  <c r="AH443"/>
  <c r="AI443"/>
  <c r="AJ443"/>
  <c r="AK443"/>
  <c r="AL443"/>
  <c r="AM443"/>
  <c r="AN443"/>
  <c r="AO443"/>
  <c r="AP443"/>
  <c r="U444"/>
  <c r="X444"/>
  <c r="Y444"/>
  <c r="Z444"/>
  <c r="AA444"/>
  <c r="AB444"/>
  <c r="AC444"/>
  <c r="AD444"/>
  <c r="AE444"/>
  <c r="AF444"/>
  <c r="AH444"/>
  <c r="AI444"/>
  <c r="AJ444"/>
  <c r="AK444"/>
  <c r="AL444"/>
  <c r="AM444"/>
  <c r="AN444"/>
  <c r="AO444"/>
  <c r="AP444"/>
  <c r="U445"/>
  <c r="X445"/>
  <c r="Y445"/>
  <c r="Z445"/>
  <c r="AA445"/>
  <c r="AB445"/>
  <c r="AC445"/>
  <c r="AD445"/>
  <c r="AE445"/>
  <c r="AF445"/>
  <c r="AH445"/>
  <c r="AI445"/>
  <c r="AJ445"/>
  <c r="AK445"/>
  <c r="AL445"/>
  <c r="AM445"/>
  <c r="AN445"/>
  <c r="AO445"/>
  <c r="AP445"/>
  <c r="U446"/>
  <c r="X446"/>
  <c r="Y446"/>
  <c r="Z446"/>
  <c r="AA446"/>
  <c r="AB446"/>
  <c r="AC446"/>
  <c r="AD446"/>
  <c r="AE446"/>
  <c r="AF446"/>
  <c r="AH446"/>
  <c r="AI446"/>
  <c r="AJ446"/>
  <c r="AK446"/>
  <c r="AL446"/>
  <c r="AM446"/>
  <c r="AN446"/>
  <c r="AO446"/>
  <c r="AP446"/>
  <c r="U447"/>
  <c r="V447" s="1"/>
  <c r="X447"/>
  <c r="Y447"/>
  <c r="Z447"/>
  <c r="AA447"/>
  <c r="AB447"/>
  <c r="AC447"/>
  <c r="AD447"/>
  <c r="AE447"/>
  <c r="AF447"/>
  <c r="AH447"/>
  <c r="AI447"/>
  <c r="AJ447"/>
  <c r="AK447"/>
  <c r="AL447"/>
  <c r="AM447"/>
  <c r="AN447"/>
  <c r="AO447"/>
  <c r="AP447"/>
  <c r="U448"/>
  <c r="X448"/>
  <c r="Y448"/>
  <c r="Z448"/>
  <c r="AA448"/>
  <c r="AB448"/>
  <c r="AC448"/>
  <c r="AD448"/>
  <c r="AE448"/>
  <c r="AF448"/>
  <c r="AH448"/>
  <c r="AI448"/>
  <c r="AJ448"/>
  <c r="AK448"/>
  <c r="AL448"/>
  <c r="AM448"/>
  <c r="AN448"/>
  <c r="AO448"/>
  <c r="AP448"/>
  <c r="U449"/>
  <c r="X449"/>
  <c r="Y449"/>
  <c r="Z449"/>
  <c r="AA449"/>
  <c r="AB449"/>
  <c r="AC449"/>
  <c r="AD449"/>
  <c r="AE449"/>
  <c r="AF449"/>
  <c r="AH449"/>
  <c r="AI449"/>
  <c r="AJ449"/>
  <c r="AK449"/>
  <c r="AL449"/>
  <c r="AM449"/>
  <c r="AN449"/>
  <c r="AO449"/>
  <c r="AP449"/>
  <c r="U450"/>
  <c r="W450"/>
  <c r="E450" s="1"/>
  <c r="X450"/>
  <c r="Y450"/>
  <c r="Z450"/>
  <c r="AA450"/>
  <c r="AB450"/>
  <c r="AC450"/>
  <c r="AD450"/>
  <c r="AE450"/>
  <c r="AF450"/>
  <c r="AH450"/>
  <c r="AI450"/>
  <c r="AJ450"/>
  <c r="AK450"/>
  <c r="AL450"/>
  <c r="AM450"/>
  <c r="AN450"/>
  <c r="AO450"/>
  <c r="AP450"/>
  <c r="U451"/>
  <c r="X451"/>
  <c r="Y451"/>
  <c r="Z451"/>
  <c r="AA451"/>
  <c r="AB451"/>
  <c r="AC451"/>
  <c r="AD451"/>
  <c r="AE451"/>
  <c r="AF451"/>
  <c r="AH451"/>
  <c r="AI451"/>
  <c r="AJ451"/>
  <c r="AK451"/>
  <c r="AL451"/>
  <c r="AM451"/>
  <c r="AN451"/>
  <c r="AO451"/>
  <c r="AP451"/>
  <c r="U452"/>
  <c r="X452"/>
  <c r="Y452"/>
  <c r="Z452"/>
  <c r="AA452"/>
  <c r="AB452"/>
  <c r="AC452"/>
  <c r="AD452"/>
  <c r="AE452"/>
  <c r="AF452"/>
  <c r="AH452"/>
  <c r="AI452"/>
  <c r="AJ452"/>
  <c r="AK452"/>
  <c r="AL452"/>
  <c r="AM452"/>
  <c r="AN452"/>
  <c r="AO452"/>
  <c r="AP452"/>
  <c r="U453"/>
  <c r="X453"/>
  <c r="Y453"/>
  <c r="Z453"/>
  <c r="AA453"/>
  <c r="AB453"/>
  <c r="AC453"/>
  <c r="AD453"/>
  <c r="AE453"/>
  <c r="AF453"/>
  <c r="AH453"/>
  <c r="AI453"/>
  <c r="AJ453"/>
  <c r="AK453"/>
  <c r="AL453"/>
  <c r="AM453"/>
  <c r="AN453"/>
  <c r="AO453"/>
  <c r="AP453"/>
  <c r="U454"/>
  <c r="X454"/>
  <c r="Y454"/>
  <c r="Z454"/>
  <c r="AA454"/>
  <c r="AB454"/>
  <c r="AC454"/>
  <c r="AD454"/>
  <c r="AE454"/>
  <c r="AF454"/>
  <c r="AH454"/>
  <c r="AI454"/>
  <c r="AJ454"/>
  <c r="AK454"/>
  <c r="AL454"/>
  <c r="AM454"/>
  <c r="AN454"/>
  <c r="AO454"/>
  <c r="AP454"/>
  <c r="U455"/>
  <c r="W455" s="1"/>
  <c r="E455" s="1"/>
  <c r="V455"/>
  <c r="X455"/>
  <c r="Y455"/>
  <c r="Z455"/>
  <c r="AA455"/>
  <c r="AB455"/>
  <c r="AC455"/>
  <c r="AD455"/>
  <c r="AE455"/>
  <c r="AF455"/>
  <c r="AH455"/>
  <c r="AI455"/>
  <c r="AJ455"/>
  <c r="AK455"/>
  <c r="AL455"/>
  <c r="AM455"/>
  <c r="AN455"/>
  <c r="AO455"/>
  <c r="AP455"/>
  <c r="U456"/>
  <c r="X456"/>
  <c r="Y456"/>
  <c r="Z456"/>
  <c r="AA456"/>
  <c r="AB456"/>
  <c r="AC456"/>
  <c r="AD456"/>
  <c r="AE456"/>
  <c r="AF456"/>
  <c r="AH456"/>
  <c r="AI456"/>
  <c r="AJ456"/>
  <c r="AK456"/>
  <c r="AL456"/>
  <c r="AM456"/>
  <c r="AN456"/>
  <c r="AO456"/>
  <c r="AP456"/>
  <c r="U457"/>
  <c r="X457"/>
  <c r="Y457"/>
  <c r="Z457"/>
  <c r="AA457"/>
  <c r="AB457"/>
  <c r="AC457"/>
  <c r="AD457"/>
  <c r="AE457"/>
  <c r="AF457"/>
  <c r="AH457"/>
  <c r="AI457"/>
  <c r="AJ457"/>
  <c r="AK457"/>
  <c r="AL457"/>
  <c r="AM457"/>
  <c r="AN457"/>
  <c r="AO457"/>
  <c r="AP457"/>
  <c r="U458"/>
  <c r="W458" s="1"/>
  <c r="E458" s="1"/>
  <c r="X458"/>
  <c r="Y458"/>
  <c r="Z458"/>
  <c r="AA458"/>
  <c r="AB458"/>
  <c r="AC458"/>
  <c r="AD458"/>
  <c r="AE458"/>
  <c r="AF458"/>
  <c r="AH458"/>
  <c r="AI458"/>
  <c r="AJ458"/>
  <c r="AK458"/>
  <c r="AL458"/>
  <c r="AM458"/>
  <c r="AN458"/>
  <c r="AO458"/>
  <c r="AP458"/>
  <c r="U459"/>
  <c r="X459"/>
  <c r="Y459"/>
  <c r="Z459"/>
  <c r="AA459"/>
  <c r="AB459"/>
  <c r="AC459"/>
  <c r="AD459"/>
  <c r="AE459"/>
  <c r="AF459"/>
  <c r="AH459"/>
  <c r="AI459"/>
  <c r="AJ459"/>
  <c r="AK459"/>
  <c r="AL459"/>
  <c r="AM459"/>
  <c r="AN459"/>
  <c r="AO459"/>
  <c r="AP459"/>
  <c r="U460"/>
  <c r="X460"/>
  <c r="Y460"/>
  <c r="Z460"/>
  <c r="AA460"/>
  <c r="AB460"/>
  <c r="AC460"/>
  <c r="AD460"/>
  <c r="AE460"/>
  <c r="AF460"/>
  <c r="AH460"/>
  <c r="AI460"/>
  <c r="AJ460"/>
  <c r="AK460"/>
  <c r="AL460"/>
  <c r="AM460"/>
  <c r="AN460"/>
  <c r="AO460"/>
  <c r="AP460"/>
  <c r="U461"/>
  <c r="X461"/>
  <c r="Y461"/>
  <c r="Z461"/>
  <c r="AA461"/>
  <c r="AB461"/>
  <c r="AC461"/>
  <c r="AD461"/>
  <c r="AE461"/>
  <c r="AF461"/>
  <c r="AH461"/>
  <c r="AI461"/>
  <c r="AJ461"/>
  <c r="AK461"/>
  <c r="AL461"/>
  <c r="AM461"/>
  <c r="AN461"/>
  <c r="AO461"/>
  <c r="AP461"/>
  <c r="U462"/>
  <c r="X462"/>
  <c r="Y462"/>
  <c r="Z462"/>
  <c r="AA462"/>
  <c r="AB462"/>
  <c r="AC462"/>
  <c r="AD462"/>
  <c r="AE462"/>
  <c r="AF462"/>
  <c r="AH462"/>
  <c r="AI462"/>
  <c r="AJ462"/>
  <c r="AK462"/>
  <c r="AL462"/>
  <c r="AM462"/>
  <c r="AN462"/>
  <c r="AO462"/>
  <c r="AP462"/>
  <c r="U463"/>
  <c r="V463" s="1"/>
  <c r="W463"/>
  <c r="E463" s="1"/>
  <c r="X463"/>
  <c r="Y463"/>
  <c r="Z463"/>
  <c r="AA463"/>
  <c r="AB463"/>
  <c r="AC463"/>
  <c r="AD463"/>
  <c r="AE463"/>
  <c r="AF463"/>
  <c r="AH463"/>
  <c r="AI463"/>
  <c r="AJ463"/>
  <c r="AK463"/>
  <c r="AL463"/>
  <c r="AM463"/>
  <c r="AN463"/>
  <c r="AO463"/>
  <c r="AP463"/>
  <c r="U464"/>
  <c r="X464"/>
  <c r="Y464"/>
  <c r="Z464"/>
  <c r="AA464"/>
  <c r="AB464"/>
  <c r="AC464"/>
  <c r="AD464"/>
  <c r="AE464"/>
  <c r="AF464"/>
  <c r="AH464"/>
  <c r="AI464"/>
  <c r="AJ464"/>
  <c r="AK464"/>
  <c r="AL464"/>
  <c r="AM464"/>
  <c r="AN464"/>
  <c r="AO464"/>
  <c r="AP464"/>
  <c r="U465"/>
  <c r="X465"/>
  <c r="Y465"/>
  <c r="Z465"/>
  <c r="AA465"/>
  <c r="AB465"/>
  <c r="AC465"/>
  <c r="AD465"/>
  <c r="AE465"/>
  <c r="AF465"/>
  <c r="AH465"/>
  <c r="AI465"/>
  <c r="AJ465"/>
  <c r="AK465"/>
  <c r="AL465"/>
  <c r="AM465"/>
  <c r="AN465"/>
  <c r="AO465"/>
  <c r="AP465"/>
  <c r="U466"/>
  <c r="W466"/>
  <c r="E466" s="1"/>
  <c r="X466"/>
  <c r="Y466"/>
  <c r="Z466"/>
  <c r="AA466"/>
  <c r="AB466"/>
  <c r="AC466"/>
  <c r="AD466"/>
  <c r="AE466"/>
  <c r="AF466"/>
  <c r="AH466"/>
  <c r="AI466"/>
  <c r="AJ466"/>
  <c r="AK466"/>
  <c r="AL466"/>
  <c r="AM466"/>
  <c r="AN466"/>
  <c r="AO466"/>
  <c r="AP466"/>
  <c r="U467"/>
  <c r="X467"/>
  <c r="Y467"/>
  <c r="Z467"/>
  <c r="AA467"/>
  <c r="AB467"/>
  <c r="AC467"/>
  <c r="AD467"/>
  <c r="AE467"/>
  <c r="AF467"/>
  <c r="AH467"/>
  <c r="AI467"/>
  <c r="AJ467"/>
  <c r="AK467"/>
  <c r="AL467"/>
  <c r="AM467"/>
  <c r="AN467"/>
  <c r="AO467"/>
  <c r="AP467"/>
  <c r="U468"/>
  <c r="X468"/>
  <c r="Y468"/>
  <c r="Z468"/>
  <c r="AA468"/>
  <c r="AB468"/>
  <c r="AC468"/>
  <c r="AD468"/>
  <c r="AE468"/>
  <c r="AF468"/>
  <c r="AH468"/>
  <c r="AI468"/>
  <c r="AJ468"/>
  <c r="AK468"/>
  <c r="AL468"/>
  <c r="AM468"/>
  <c r="AN468"/>
  <c r="AO468"/>
  <c r="AP468"/>
  <c r="U469"/>
  <c r="X469"/>
  <c r="Y469"/>
  <c r="Z469"/>
  <c r="AA469"/>
  <c r="AB469"/>
  <c r="AC469"/>
  <c r="AD469"/>
  <c r="AE469"/>
  <c r="AF469"/>
  <c r="AH469"/>
  <c r="AI469"/>
  <c r="AJ469"/>
  <c r="AK469"/>
  <c r="AL469"/>
  <c r="AM469"/>
  <c r="AN469"/>
  <c r="AO469"/>
  <c r="AP469"/>
  <c r="U470"/>
  <c r="X470"/>
  <c r="Y470"/>
  <c r="Z470"/>
  <c r="AA470"/>
  <c r="AB470"/>
  <c r="AC470"/>
  <c r="AD470"/>
  <c r="AE470"/>
  <c r="AF470"/>
  <c r="AH470"/>
  <c r="AI470"/>
  <c r="AJ470"/>
  <c r="AK470"/>
  <c r="AL470"/>
  <c r="AM470"/>
  <c r="AN470"/>
  <c r="AO470"/>
  <c r="AP470"/>
  <c r="U471"/>
  <c r="V471"/>
  <c r="W471"/>
  <c r="E471" s="1"/>
  <c r="X471"/>
  <c r="Y471"/>
  <c r="Z471"/>
  <c r="AA471"/>
  <c r="AB471"/>
  <c r="AC471"/>
  <c r="AD471"/>
  <c r="AE471"/>
  <c r="AF471"/>
  <c r="AH471"/>
  <c r="AI471"/>
  <c r="AJ471"/>
  <c r="AK471"/>
  <c r="AL471"/>
  <c r="AM471"/>
  <c r="AN471"/>
  <c r="AO471"/>
  <c r="AP471"/>
  <c r="U472"/>
  <c r="X472"/>
  <c r="Y472"/>
  <c r="Z472"/>
  <c r="AA472"/>
  <c r="AB472"/>
  <c r="AC472"/>
  <c r="AD472"/>
  <c r="AE472"/>
  <c r="AF472"/>
  <c r="AH472"/>
  <c r="AI472"/>
  <c r="AJ472"/>
  <c r="AK472"/>
  <c r="AL472"/>
  <c r="AM472"/>
  <c r="AN472"/>
  <c r="AO472"/>
  <c r="AP472"/>
  <c r="U473"/>
  <c r="X473"/>
  <c r="Y473"/>
  <c r="Z473"/>
  <c r="AA473"/>
  <c r="AB473"/>
  <c r="AC473"/>
  <c r="AD473"/>
  <c r="AE473"/>
  <c r="AF473"/>
  <c r="AH473"/>
  <c r="AI473"/>
  <c r="AJ473"/>
  <c r="AK473"/>
  <c r="AL473"/>
  <c r="AM473"/>
  <c r="AN473"/>
  <c r="AO473"/>
  <c r="AP473"/>
  <c r="U474"/>
  <c r="X474"/>
  <c r="Y474"/>
  <c r="Z474"/>
  <c r="AA474"/>
  <c r="AB474"/>
  <c r="AC474"/>
  <c r="AD474"/>
  <c r="AE474"/>
  <c r="AF474"/>
  <c r="AH474"/>
  <c r="AI474"/>
  <c r="AJ474"/>
  <c r="AK474"/>
  <c r="AL474"/>
  <c r="AM474"/>
  <c r="AN474"/>
  <c r="AO474"/>
  <c r="AP474"/>
  <c r="U475"/>
  <c r="X475"/>
  <c r="Y475"/>
  <c r="Z475"/>
  <c r="AA475"/>
  <c r="AB475"/>
  <c r="AC475"/>
  <c r="AD475"/>
  <c r="AE475"/>
  <c r="AF475"/>
  <c r="AH475"/>
  <c r="AI475"/>
  <c r="AJ475"/>
  <c r="AK475"/>
  <c r="AL475"/>
  <c r="AM475"/>
  <c r="AN475"/>
  <c r="AO475"/>
  <c r="AP475"/>
  <c r="U476"/>
  <c r="X476"/>
  <c r="Y476"/>
  <c r="Z476"/>
  <c r="AA476"/>
  <c r="AB476"/>
  <c r="AC476"/>
  <c r="AD476"/>
  <c r="AE476"/>
  <c r="AF476"/>
  <c r="AH476"/>
  <c r="AI476"/>
  <c r="AJ476"/>
  <c r="AK476"/>
  <c r="AL476"/>
  <c r="AM476"/>
  <c r="AN476"/>
  <c r="AO476"/>
  <c r="AP476"/>
  <c r="U477"/>
  <c r="X477"/>
  <c r="Y477"/>
  <c r="Z477"/>
  <c r="AA477"/>
  <c r="AB477"/>
  <c r="AC477"/>
  <c r="AD477"/>
  <c r="AE477"/>
  <c r="AF477"/>
  <c r="AH477"/>
  <c r="AI477"/>
  <c r="AJ477"/>
  <c r="AK477"/>
  <c r="AL477"/>
  <c r="AM477"/>
  <c r="AN477"/>
  <c r="AO477"/>
  <c r="AP477"/>
  <c r="U478"/>
  <c r="W478" s="1"/>
  <c r="E478" s="1"/>
  <c r="X478"/>
  <c r="Y478"/>
  <c r="Z478"/>
  <c r="AA478"/>
  <c r="AB478"/>
  <c r="AC478"/>
  <c r="AD478"/>
  <c r="AE478"/>
  <c r="AF478"/>
  <c r="AH478"/>
  <c r="AI478"/>
  <c r="AJ478"/>
  <c r="AK478"/>
  <c r="AL478"/>
  <c r="AM478"/>
  <c r="AN478"/>
  <c r="AO478"/>
  <c r="AP478"/>
  <c r="U479"/>
  <c r="W479" s="1"/>
  <c r="E479" s="1"/>
  <c r="X479"/>
  <c r="Y479"/>
  <c r="Z479"/>
  <c r="AA479"/>
  <c r="AB479"/>
  <c r="AC479"/>
  <c r="AD479"/>
  <c r="AE479"/>
  <c r="AF479"/>
  <c r="AH479"/>
  <c r="AI479"/>
  <c r="AJ479"/>
  <c r="AK479"/>
  <c r="AL479"/>
  <c r="AM479"/>
  <c r="AN479"/>
  <c r="AO479"/>
  <c r="AP479"/>
  <c r="U480"/>
  <c r="F480" s="1"/>
  <c r="X480"/>
  <c r="Y480"/>
  <c r="Z480"/>
  <c r="AA480"/>
  <c r="AB480"/>
  <c r="AC480"/>
  <c r="AD480"/>
  <c r="AE480"/>
  <c r="AF480"/>
  <c r="AH480"/>
  <c r="AI480"/>
  <c r="AJ480"/>
  <c r="AK480"/>
  <c r="AL480"/>
  <c r="AM480"/>
  <c r="AN480"/>
  <c r="AO480"/>
  <c r="AP480"/>
  <c r="U481"/>
  <c r="D481" s="1"/>
  <c r="X481"/>
  <c r="Y481"/>
  <c r="Z481"/>
  <c r="AA481"/>
  <c r="AB481"/>
  <c r="AC481"/>
  <c r="AD481"/>
  <c r="AE481"/>
  <c r="AF481"/>
  <c r="AH481"/>
  <c r="AI481"/>
  <c r="AJ481"/>
  <c r="AK481"/>
  <c r="AL481"/>
  <c r="AM481"/>
  <c r="AN481"/>
  <c r="AO481"/>
  <c r="AP481"/>
  <c r="U482"/>
  <c r="F482" s="1"/>
  <c r="X482"/>
  <c r="Y482"/>
  <c r="Z482"/>
  <c r="AA482"/>
  <c r="AB482"/>
  <c r="AC482"/>
  <c r="AD482"/>
  <c r="AE482"/>
  <c r="AF482"/>
  <c r="AH482"/>
  <c r="AI482"/>
  <c r="AJ482"/>
  <c r="AK482"/>
  <c r="AL482"/>
  <c r="AM482"/>
  <c r="AN482"/>
  <c r="AO482"/>
  <c r="AP482"/>
  <c r="U483"/>
  <c r="X483"/>
  <c r="Y483"/>
  <c r="Z483"/>
  <c r="AA483"/>
  <c r="AB483"/>
  <c r="AC483"/>
  <c r="AD483"/>
  <c r="AE483"/>
  <c r="AF483"/>
  <c r="AH483"/>
  <c r="AI483"/>
  <c r="AJ483"/>
  <c r="AK483"/>
  <c r="AL483"/>
  <c r="AM483"/>
  <c r="AN483"/>
  <c r="AO483"/>
  <c r="AP483"/>
  <c r="U484"/>
  <c r="F484" s="1"/>
  <c r="V484"/>
  <c r="X484"/>
  <c r="Y484"/>
  <c r="Z484"/>
  <c r="AA484"/>
  <c r="AB484"/>
  <c r="AC484"/>
  <c r="AD484"/>
  <c r="AE484"/>
  <c r="AF484"/>
  <c r="AH484"/>
  <c r="AI484"/>
  <c r="AJ484"/>
  <c r="AK484"/>
  <c r="AL484"/>
  <c r="AM484"/>
  <c r="AN484"/>
  <c r="AO484"/>
  <c r="AP484"/>
  <c r="U485"/>
  <c r="D485" s="1"/>
  <c r="W485"/>
  <c r="E485" s="1"/>
  <c r="X485"/>
  <c r="Y485"/>
  <c r="Z485"/>
  <c r="AA485"/>
  <c r="AB485"/>
  <c r="AC485"/>
  <c r="AD485"/>
  <c r="AE485"/>
  <c r="AF485"/>
  <c r="AH485"/>
  <c r="AI485"/>
  <c r="AJ485"/>
  <c r="AK485"/>
  <c r="AL485"/>
  <c r="AM485"/>
  <c r="AN485"/>
  <c r="AO485"/>
  <c r="AP485"/>
  <c r="U486"/>
  <c r="F486" s="1"/>
  <c r="V486"/>
  <c r="X486"/>
  <c r="Y486"/>
  <c r="Z486"/>
  <c r="AA486"/>
  <c r="AB486"/>
  <c r="AC486"/>
  <c r="AD486"/>
  <c r="AE486"/>
  <c r="AF486"/>
  <c r="AH486"/>
  <c r="AI486"/>
  <c r="AJ486"/>
  <c r="AK486"/>
  <c r="AL486"/>
  <c r="AM486"/>
  <c r="AN486"/>
  <c r="AO486"/>
  <c r="AP486"/>
  <c r="U487"/>
  <c r="X487"/>
  <c r="Y487"/>
  <c r="Z487"/>
  <c r="AA487"/>
  <c r="AB487"/>
  <c r="AC487"/>
  <c r="AD487"/>
  <c r="AE487"/>
  <c r="AF487"/>
  <c r="AH487"/>
  <c r="AI487"/>
  <c r="AJ487"/>
  <c r="AK487"/>
  <c r="AL487"/>
  <c r="AM487"/>
  <c r="AN487"/>
  <c r="AO487"/>
  <c r="AP487"/>
  <c r="U488"/>
  <c r="X488"/>
  <c r="Y488"/>
  <c r="Z488"/>
  <c r="AA488"/>
  <c r="AB488"/>
  <c r="AC488"/>
  <c r="AD488"/>
  <c r="AE488"/>
  <c r="AF488"/>
  <c r="AH488"/>
  <c r="AI488"/>
  <c r="AJ488"/>
  <c r="AK488"/>
  <c r="AL488"/>
  <c r="AM488"/>
  <c r="AN488"/>
  <c r="AO488"/>
  <c r="AP488"/>
  <c r="U489"/>
  <c r="X489"/>
  <c r="Y489"/>
  <c r="Z489"/>
  <c r="AA489"/>
  <c r="AB489"/>
  <c r="AC489"/>
  <c r="AD489"/>
  <c r="AE489"/>
  <c r="AF489"/>
  <c r="AH489"/>
  <c r="AI489"/>
  <c r="AJ489"/>
  <c r="AK489"/>
  <c r="AL489"/>
  <c r="AM489"/>
  <c r="AN489"/>
  <c r="AO489"/>
  <c r="AP489"/>
  <c r="U490"/>
  <c r="W490" s="1"/>
  <c r="E490" s="1"/>
  <c r="X490"/>
  <c r="Y490"/>
  <c r="Z490"/>
  <c r="AA490"/>
  <c r="AB490"/>
  <c r="AC490"/>
  <c r="AD490"/>
  <c r="AE490"/>
  <c r="AF490"/>
  <c r="AH490"/>
  <c r="AI490"/>
  <c r="AJ490"/>
  <c r="AK490"/>
  <c r="AL490"/>
  <c r="AM490"/>
  <c r="AN490"/>
  <c r="AO490"/>
  <c r="AP490"/>
  <c r="U491"/>
  <c r="X491"/>
  <c r="Y491"/>
  <c r="Z491"/>
  <c r="AA491"/>
  <c r="AB491"/>
  <c r="AC491"/>
  <c r="AD491"/>
  <c r="AE491"/>
  <c r="AF491"/>
  <c r="AH491"/>
  <c r="AI491"/>
  <c r="AJ491"/>
  <c r="AK491"/>
  <c r="AL491"/>
  <c r="AM491"/>
  <c r="AN491"/>
  <c r="AO491"/>
  <c r="AP491"/>
  <c r="U492"/>
  <c r="X492"/>
  <c r="Y492"/>
  <c r="Z492"/>
  <c r="AA492"/>
  <c r="AB492"/>
  <c r="AC492"/>
  <c r="AD492"/>
  <c r="AE492"/>
  <c r="AF492"/>
  <c r="AH492"/>
  <c r="AI492"/>
  <c r="AJ492"/>
  <c r="AK492"/>
  <c r="AL492"/>
  <c r="AM492"/>
  <c r="AN492"/>
  <c r="AO492"/>
  <c r="AP492"/>
  <c r="U493"/>
  <c r="X493"/>
  <c r="Y493"/>
  <c r="Z493"/>
  <c r="AA493"/>
  <c r="AB493"/>
  <c r="AC493"/>
  <c r="AD493"/>
  <c r="AE493"/>
  <c r="AF493"/>
  <c r="AH493"/>
  <c r="AI493"/>
  <c r="AJ493"/>
  <c r="AK493"/>
  <c r="AL493"/>
  <c r="AM493"/>
  <c r="AN493"/>
  <c r="AO493"/>
  <c r="AP493"/>
  <c r="U494"/>
  <c r="X494"/>
  <c r="Y494"/>
  <c r="Z494"/>
  <c r="AA494"/>
  <c r="AB494"/>
  <c r="AC494"/>
  <c r="AD494"/>
  <c r="AE494"/>
  <c r="AF494"/>
  <c r="AH494"/>
  <c r="AI494"/>
  <c r="AJ494"/>
  <c r="AK494"/>
  <c r="AL494"/>
  <c r="AM494"/>
  <c r="AN494"/>
  <c r="AO494"/>
  <c r="AP494"/>
  <c r="U495"/>
  <c r="X495"/>
  <c r="Y495"/>
  <c r="Z495"/>
  <c r="AA495"/>
  <c r="AB495"/>
  <c r="AC495"/>
  <c r="AD495"/>
  <c r="AE495"/>
  <c r="AF495"/>
  <c r="AH495"/>
  <c r="AI495"/>
  <c r="AJ495"/>
  <c r="AK495"/>
  <c r="AL495"/>
  <c r="AM495"/>
  <c r="AN495"/>
  <c r="AO495"/>
  <c r="AP495"/>
  <c r="U496"/>
  <c r="X496"/>
  <c r="Y496"/>
  <c r="Z496"/>
  <c r="AA496"/>
  <c r="AB496"/>
  <c r="AC496"/>
  <c r="AD496"/>
  <c r="AE496"/>
  <c r="AF496"/>
  <c r="AH496"/>
  <c r="AI496"/>
  <c r="AJ496"/>
  <c r="AK496"/>
  <c r="AL496"/>
  <c r="AM496"/>
  <c r="AN496"/>
  <c r="AO496"/>
  <c r="AP496"/>
  <c r="U497"/>
  <c r="X497"/>
  <c r="Y497"/>
  <c r="Z497"/>
  <c r="AA497"/>
  <c r="AB497"/>
  <c r="AC497"/>
  <c r="AD497"/>
  <c r="AE497"/>
  <c r="AF497"/>
  <c r="AH497"/>
  <c r="AI497"/>
  <c r="AJ497"/>
  <c r="AK497"/>
  <c r="AL497"/>
  <c r="AM497"/>
  <c r="AN497"/>
  <c r="AO497"/>
  <c r="AP497"/>
  <c r="U498"/>
  <c r="X498"/>
  <c r="Y498"/>
  <c r="Z498"/>
  <c r="AA498"/>
  <c r="AB498"/>
  <c r="AC498"/>
  <c r="AD498"/>
  <c r="AE498"/>
  <c r="AF498"/>
  <c r="AH498"/>
  <c r="AI498"/>
  <c r="AJ498"/>
  <c r="AK498"/>
  <c r="AL498"/>
  <c r="AM498"/>
  <c r="AN498"/>
  <c r="AO498"/>
  <c r="AP498"/>
  <c r="U499"/>
  <c r="X499"/>
  <c r="Y499"/>
  <c r="Z499"/>
  <c r="AA499"/>
  <c r="AB499"/>
  <c r="AC499"/>
  <c r="AD499"/>
  <c r="AE499"/>
  <c r="AF499"/>
  <c r="AH499"/>
  <c r="AI499"/>
  <c r="AJ499"/>
  <c r="AK499"/>
  <c r="AL499"/>
  <c r="AM499"/>
  <c r="AN499"/>
  <c r="AO499"/>
  <c r="AP499"/>
  <c r="U500"/>
  <c r="W500"/>
  <c r="E500" s="1"/>
  <c r="X500"/>
  <c r="Y500"/>
  <c r="Z500"/>
  <c r="AA500"/>
  <c r="AB500"/>
  <c r="AC500"/>
  <c r="AD500"/>
  <c r="AE500"/>
  <c r="AF500"/>
  <c r="AH500"/>
  <c r="AI500"/>
  <c r="AJ500"/>
  <c r="AK500"/>
  <c r="AL500"/>
  <c r="AM500"/>
  <c r="AN500"/>
  <c r="AO500"/>
  <c r="AP500"/>
  <c r="U501"/>
  <c r="X501"/>
  <c r="Y501"/>
  <c r="Z501"/>
  <c r="AA501"/>
  <c r="AB501"/>
  <c r="AC501"/>
  <c r="AD501"/>
  <c r="AE501"/>
  <c r="AF501"/>
  <c r="AH501"/>
  <c r="AI501"/>
  <c r="AJ501"/>
  <c r="AK501"/>
  <c r="AL501"/>
  <c r="AM501"/>
  <c r="AN501"/>
  <c r="AO501"/>
  <c r="AP501"/>
  <c r="U502"/>
  <c r="X502"/>
  <c r="Y502"/>
  <c r="Z502"/>
  <c r="AA502"/>
  <c r="AB502"/>
  <c r="AC502"/>
  <c r="AD502"/>
  <c r="AE502"/>
  <c r="AF502"/>
  <c r="AH502"/>
  <c r="AI502"/>
  <c r="AJ502"/>
  <c r="AK502"/>
  <c r="AL502"/>
  <c r="AM502"/>
  <c r="AN502"/>
  <c r="AO502"/>
  <c r="AP502"/>
  <c r="U503"/>
  <c r="X503"/>
  <c r="Y503"/>
  <c r="Z503"/>
  <c r="AA503"/>
  <c r="AB503"/>
  <c r="AC503"/>
  <c r="AD503"/>
  <c r="AE503"/>
  <c r="AF503"/>
  <c r="AH503"/>
  <c r="AI503"/>
  <c r="AJ503"/>
  <c r="AK503"/>
  <c r="AL503"/>
  <c r="AM503"/>
  <c r="AN503"/>
  <c r="AO503"/>
  <c r="AP503"/>
  <c r="U504"/>
  <c r="W504" s="1"/>
  <c r="E504" s="1"/>
  <c r="X504"/>
  <c r="Y504"/>
  <c r="Z504"/>
  <c r="AA504"/>
  <c r="AB504"/>
  <c r="AC504"/>
  <c r="AD504"/>
  <c r="AE504"/>
  <c r="AF504"/>
  <c r="AH504"/>
  <c r="AI504"/>
  <c r="AJ504"/>
  <c r="AK504"/>
  <c r="AL504"/>
  <c r="AM504"/>
  <c r="AN504"/>
  <c r="AO504"/>
  <c r="AP504"/>
  <c r="U505"/>
  <c r="X505"/>
  <c r="Y505"/>
  <c r="Z505"/>
  <c r="AA505"/>
  <c r="AB505"/>
  <c r="AC505"/>
  <c r="AD505"/>
  <c r="AE505"/>
  <c r="AF505"/>
  <c r="AH505"/>
  <c r="AI505"/>
  <c r="AJ505"/>
  <c r="AK505"/>
  <c r="AL505"/>
  <c r="AM505"/>
  <c r="AN505"/>
  <c r="AO505"/>
  <c r="AP505"/>
  <c r="U506"/>
  <c r="X506"/>
  <c r="Y506"/>
  <c r="Z506"/>
  <c r="AA506"/>
  <c r="AB506"/>
  <c r="AC506"/>
  <c r="AD506"/>
  <c r="AE506"/>
  <c r="AF506"/>
  <c r="AH506"/>
  <c r="AI506"/>
  <c r="AJ506"/>
  <c r="AK506"/>
  <c r="AL506"/>
  <c r="AM506"/>
  <c r="AN506"/>
  <c r="AO506"/>
  <c r="AP506"/>
  <c r="U507"/>
  <c r="X507"/>
  <c r="Y507"/>
  <c r="Z507"/>
  <c r="AA507"/>
  <c r="AB507"/>
  <c r="AC507"/>
  <c r="AD507"/>
  <c r="AE507"/>
  <c r="AF507"/>
  <c r="AH507"/>
  <c r="AI507"/>
  <c r="AJ507"/>
  <c r="AK507"/>
  <c r="AL507"/>
  <c r="AM507"/>
  <c r="AN507"/>
  <c r="AO507"/>
  <c r="AP507"/>
  <c r="U508"/>
  <c r="W508"/>
  <c r="E508" s="1"/>
  <c r="X508"/>
  <c r="Y508"/>
  <c r="Z508"/>
  <c r="AA508"/>
  <c r="AB508"/>
  <c r="AC508"/>
  <c r="AD508"/>
  <c r="AE508"/>
  <c r="AF508"/>
  <c r="AH508"/>
  <c r="AI508"/>
  <c r="AJ508"/>
  <c r="AK508"/>
  <c r="AL508"/>
  <c r="AM508"/>
  <c r="AN508"/>
  <c r="AO508"/>
  <c r="AP508"/>
  <c r="U509"/>
  <c r="X509"/>
  <c r="Y509"/>
  <c r="Z509"/>
  <c r="AA509"/>
  <c r="AB509"/>
  <c r="AC509"/>
  <c r="AD509"/>
  <c r="AE509"/>
  <c r="AF509"/>
  <c r="AH509"/>
  <c r="AI509"/>
  <c r="AJ509"/>
  <c r="AK509"/>
  <c r="AL509"/>
  <c r="AM509"/>
  <c r="AN509"/>
  <c r="AO509"/>
  <c r="AP509"/>
  <c r="U510"/>
  <c r="X510"/>
  <c r="Y510"/>
  <c r="Z510"/>
  <c r="AA510"/>
  <c r="AB510"/>
  <c r="AC510"/>
  <c r="AD510"/>
  <c r="AE510"/>
  <c r="AF510"/>
  <c r="AH510"/>
  <c r="AI510"/>
  <c r="AJ510"/>
  <c r="AK510"/>
  <c r="AL510"/>
  <c r="AM510"/>
  <c r="AN510"/>
  <c r="AO510"/>
  <c r="AP510"/>
  <c r="U511"/>
  <c r="X511"/>
  <c r="Y511"/>
  <c r="Z511"/>
  <c r="AA511"/>
  <c r="AB511"/>
  <c r="AC511"/>
  <c r="AD511"/>
  <c r="AE511"/>
  <c r="AF511"/>
  <c r="AH511"/>
  <c r="AI511"/>
  <c r="AJ511"/>
  <c r="AK511"/>
  <c r="AL511"/>
  <c r="AM511"/>
  <c r="AN511"/>
  <c r="AO511"/>
  <c r="AP511"/>
  <c r="U512"/>
  <c r="X512"/>
  <c r="Y512"/>
  <c r="Z512"/>
  <c r="AA512"/>
  <c r="AB512"/>
  <c r="AC512"/>
  <c r="AD512"/>
  <c r="AE512"/>
  <c r="AF512"/>
  <c r="AH512"/>
  <c r="AI512"/>
  <c r="AJ512"/>
  <c r="AK512"/>
  <c r="AL512"/>
  <c r="AM512"/>
  <c r="AN512"/>
  <c r="AO512"/>
  <c r="AP512"/>
  <c r="U513"/>
  <c r="X513"/>
  <c r="Y513"/>
  <c r="Z513"/>
  <c r="AA513"/>
  <c r="AB513"/>
  <c r="AC513"/>
  <c r="AD513"/>
  <c r="AE513"/>
  <c r="AF513"/>
  <c r="AH513"/>
  <c r="AI513"/>
  <c r="AJ513"/>
  <c r="AK513"/>
  <c r="AL513"/>
  <c r="AM513"/>
  <c r="AN513"/>
  <c r="AO513"/>
  <c r="AP513"/>
  <c r="U514"/>
  <c r="X514"/>
  <c r="Y514"/>
  <c r="Z514"/>
  <c r="AA514"/>
  <c r="AB514"/>
  <c r="AC514"/>
  <c r="AD514"/>
  <c r="AE514"/>
  <c r="AF514"/>
  <c r="AH514"/>
  <c r="AI514"/>
  <c r="AJ514"/>
  <c r="AK514"/>
  <c r="AL514"/>
  <c r="AM514"/>
  <c r="AN514"/>
  <c r="AO514"/>
  <c r="AP514"/>
  <c r="U515"/>
  <c r="X515"/>
  <c r="Y515"/>
  <c r="Z515"/>
  <c r="AA515"/>
  <c r="AB515"/>
  <c r="AC515"/>
  <c r="AD515"/>
  <c r="AE515"/>
  <c r="AF515"/>
  <c r="AH515"/>
  <c r="AI515"/>
  <c r="AJ515"/>
  <c r="AK515"/>
  <c r="AL515"/>
  <c r="AM515"/>
  <c r="AN515"/>
  <c r="AO515"/>
  <c r="AP515"/>
  <c r="U516"/>
  <c r="W516" s="1"/>
  <c r="E516" s="1"/>
  <c r="X516"/>
  <c r="Y516"/>
  <c r="Z516"/>
  <c r="AA516"/>
  <c r="AB516"/>
  <c r="AC516"/>
  <c r="AD516"/>
  <c r="AE516"/>
  <c r="AF516"/>
  <c r="AH516"/>
  <c r="AI516"/>
  <c r="AJ516"/>
  <c r="AK516"/>
  <c r="AL516"/>
  <c r="AM516"/>
  <c r="AN516"/>
  <c r="AO516"/>
  <c r="AP516"/>
  <c r="U517"/>
  <c r="X517"/>
  <c r="Y517"/>
  <c r="Z517"/>
  <c r="AA517"/>
  <c r="AB517"/>
  <c r="AC517"/>
  <c r="AD517"/>
  <c r="AE517"/>
  <c r="AF517"/>
  <c r="AH517"/>
  <c r="AI517"/>
  <c r="AJ517"/>
  <c r="AK517"/>
  <c r="AL517"/>
  <c r="AM517"/>
  <c r="AN517"/>
  <c r="AO517"/>
  <c r="AP517"/>
  <c r="U518"/>
  <c r="X518"/>
  <c r="Y518"/>
  <c r="Z518"/>
  <c r="AA518"/>
  <c r="AB518"/>
  <c r="AC518"/>
  <c r="AD518"/>
  <c r="AE518"/>
  <c r="AF518"/>
  <c r="AH518"/>
  <c r="AI518"/>
  <c r="AJ518"/>
  <c r="AK518"/>
  <c r="AL518"/>
  <c r="AM518"/>
  <c r="AN518"/>
  <c r="AO518"/>
  <c r="AP518"/>
  <c r="U519"/>
  <c r="X519"/>
  <c r="Y519"/>
  <c r="Z519"/>
  <c r="AA519"/>
  <c r="AB519"/>
  <c r="AC519"/>
  <c r="AD519"/>
  <c r="AE519"/>
  <c r="AF519"/>
  <c r="AH519"/>
  <c r="AI519"/>
  <c r="AJ519"/>
  <c r="AK519"/>
  <c r="AL519"/>
  <c r="AM519"/>
  <c r="AN519"/>
  <c r="AO519"/>
  <c r="AP519"/>
  <c r="U520"/>
  <c r="W520"/>
  <c r="E520" s="1"/>
  <c r="X520"/>
  <c r="Y520"/>
  <c r="Z520"/>
  <c r="AA520"/>
  <c r="AB520"/>
  <c r="AC520"/>
  <c r="AD520"/>
  <c r="AE520"/>
  <c r="AF520"/>
  <c r="AH520"/>
  <c r="AI520"/>
  <c r="AJ520"/>
  <c r="AK520"/>
  <c r="AL520"/>
  <c r="AM520"/>
  <c r="AN520"/>
  <c r="AO520"/>
  <c r="AP520"/>
  <c r="U521"/>
  <c r="X521"/>
  <c r="Y521"/>
  <c r="Z521"/>
  <c r="AA521"/>
  <c r="AB521"/>
  <c r="AC521"/>
  <c r="AD521"/>
  <c r="AE521"/>
  <c r="AF521"/>
  <c r="AH521"/>
  <c r="AI521"/>
  <c r="AJ521"/>
  <c r="AK521"/>
  <c r="AL521"/>
  <c r="AM521"/>
  <c r="AN521"/>
  <c r="AO521"/>
  <c r="AP521"/>
  <c r="U522"/>
  <c r="X522"/>
  <c r="Y522"/>
  <c r="Z522"/>
  <c r="AA522"/>
  <c r="AB522"/>
  <c r="AC522"/>
  <c r="AD522"/>
  <c r="AE522"/>
  <c r="AF522"/>
  <c r="AH522"/>
  <c r="AI522"/>
  <c r="AJ522"/>
  <c r="AK522"/>
  <c r="AL522"/>
  <c r="AM522"/>
  <c r="AN522"/>
  <c r="AO522"/>
  <c r="AP522"/>
  <c r="U523"/>
  <c r="X523"/>
  <c r="Y523"/>
  <c r="Z523"/>
  <c r="AA523"/>
  <c r="AB523"/>
  <c r="AC523"/>
  <c r="AD523"/>
  <c r="AE523"/>
  <c r="AF523"/>
  <c r="AH523"/>
  <c r="AI523"/>
  <c r="AJ523"/>
  <c r="AK523"/>
  <c r="AL523"/>
  <c r="AM523"/>
  <c r="AN523"/>
  <c r="AO523"/>
  <c r="AP523"/>
  <c r="U524"/>
  <c r="W524" s="1"/>
  <c r="E524" s="1"/>
  <c r="X524"/>
  <c r="Y524"/>
  <c r="Z524"/>
  <c r="AA524"/>
  <c r="AB524"/>
  <c r="AC524"/>
  <c r="AD524"/>
  <c r="AE524"/>
  <c r="AF524"/>
  <c r="AH524"/>
  <c r="AI524"/>
  <c r="AJ524"/>
  <c r="AK524"/>
  <c r="AL524"/>
  <c r="AM524"/>
  <c r="AN524"/>
  <c r="AO524"/>
  <c r="AP524"/>
  <c r="U525"/>
  <c r="X525"/>
  <c r="Y525"/>
  <c r="Z525"/>
  <c r="AA525"/>
  <c r="AB525"/>
  <c r="AC525"/>
  <c r="AD525"/>
  <c r="AE525"/>
  <c r="AF525"/>
  <c r="AH525"/>
  <c r="AI525"/>
  <c r="AJ525"/>
  <c r="AK525"/>
  <c r="AL525"/>
  <c r="AM525"/>
  <c r="AN525"/>
  <c r="AO525"/>
  <c r="AP525"/>
  <c r="U526"/>
  <c r="X526"/>
  <c r="Y526"/>
  <c r="Z526"/>
  <c r="AA526"/>
  <c r="AB526"/>
  <c r="AC526"/>
  <c r="AD526"/>
  <c r="AE526"/>
  <c r="AF526"/>
  <c r="AH526"/>
  <c r="AI526"/>
  <c r="AJ526"/>
  <c r="AK526"/>
  <c r="AL526"/>
  <c r="AM526"/>
  <c r="AN526"/>
  <c r="AO526"/>
  <c r="AP526"/>
  <c r="U527"/>
  <c r="X527"/>
  <c r="Y527"/>
  <c r="Z527"/>
  <c r="AA527"/>
  <c r="AB527"/>
  <c r="AC527"/>
  <c r="AD527"/>
  <c r="AE527"/>
  <c r="AF527"/>
  <c r="AH527"/>
  <c r="AI527"/>
  <c r="AJ527"/>
  <c r="AK527"/>
  <c r="AL527"/>
  <c r="AM527"/>
  <c r="AN527"/>
  <c r="AO527"/>
  <c r="AP527"/>
  <c r="U528"/>
  <c r="X528"/>
  <c r="Y528"/>
  <c r="Z528"/>
  <c r="AA528"/>
  <c r="AB528"/>
  <c r="AC528"/>
  <c r="AD528"/>
  <c r="AE528"/>
  <c r="AF528"/>
  <c r="AH528"/>
  <c r="AI528"/>
  <c r="AJ528"/>
  <c r="AK528"/>
  <c r="AL528"/>
  <c r="AM528"/>
  <c r="AN528"/>
  <c r="AO528"/>
  <c r="AP528"/>
  <c r="U529"/>
  <c r="X529"/>
  <c r="Y529"/>
  <c r="Z529"/>
  <c r="AA529"/>
  <c r="AB529"/>
  <c r="AC529"/>
  <c r="AD529"/>
  <c r="AE529"/>
  <c r="AF529"/>
  <c r="AH529"/>
  <c r="AI529"/>
  <c r="AJ529"/>
  <c r="AK529"/>
  <c r="AL529"/>
  <c r="AM529"/>
  <c r="AN529"/>
  <c r="AO529"/>
  <c r="AP529"/>
  <c r="U530"/>
  <c r="X530"/>
  <c r="Y530"/>
  <c r="Z530"/>
  <c r="AA530"/>
  <c r="AB530"/>
  <c r="AC530"/>
  <c r="AD530"/>
  <c r="AE530"/>
  <c r="AF530"/>
  <c r="AH530"/>
  <c r="AI530"/>
  <c r="AJ530"/>
  <c r="AK530"/>
  <c r="AL530"/>
  <c r="AM530"/>
  <c r="AN530"/>
  <c r="AO530"/>
  <c r="AP530"/>
  <c r="U531"/>
  <c r="X531"/>
  <c r="Y531"/>
  <c r="Z531"/>
  <c r="AA531"/>
  <c r="AB531"/>
  <c r="AC531"/>
  <c r="AD531"/>
  <c r="AE531"/>
  <c r="AF531"/>
  <c r="AH531"/>
  <c r="AI531"/>
  <c r="AJ531"/>
  <c r="AK531"/>
  <c r="AL531"/>
  <c r="AM531"/>
  <c r="AN531"/>
  <c r="AO531"/>
  <c r="AP531"/>
  <c r="U532"/>
  <c r="W532"/>
  <c r="E532" s="1"/>
  <c r="X532"/>
  <c r="Y532"/>
  <c r="Z532"/>
  <c r="AA532"/>
  <c r="AB532"/>
  <c r="AC532"/>
  <c r="AD532"/>
  <c r="AE532"/>
  <c r="AF532"/>
  <c r="AH532"/>
  <c r="AI532"/>
  <c r="AJ532"/>
  <c r="AK532"/>
  <c r="AL532"/>
  <c r="AM532"/>
  <c r="AN532"/>
  <c r="AO532"/>
  <c r="AP532"/>
  <c r="U533"/>
  <c r="X533"/>
  <c r="Y533"/>
  <c r="Z533"/>
  <c r="AA533"/>
  <c r="AB533"/>
  <c r="AC533"/>
  <c r="AD533"/>
  <c r="AE533"/>
  <c r="AF533"/>
  <c r="AH533"/>
  <c r="AI533"/>
  <c r="AJ533"/>
  <c r="AK533"/>
  <c r="AL533"/>
  <c r="AM533"/>
  <c r="AN533"/>
  <c r="AO533"/>
  <c r="AP533"/>
  <c r="U534"/>
  <c r="X534"/>
  <c r="Y534"/>
  <c r="Z534"/>
  <c r="AA534"/>
  <c r="AB534"/>
  <c r="AC534"/>
  <c r="AD534"/>
  <c r="AE534"/>
  <c r="AF534"/>
  <c r="AH534"/>
  <c r="AI534"/>
  <c r="AJ534"/>
  <c r="AK534"/>
  <c r="AL534"/>
  <c r="AM534"/>
  <c r="AN534"/>
  <c r="AO534"/>
  <c r="AP534"/>
  <c r="U535"/>
  <c r="X535"/>
  <c r="Y535"/>
  <c r="Z535"/>
  <c r="AA535"/>
  <c r="AB535"/>
  <c r="AC535"/>
  <c r="AD535"/>
  <c r="AE535"/>
  <c r="AF535"/>
  <c r="AH535"/>
  <c r="AI535"/>
  <c r="AJ535"/>
  <c r="AK535"/>
  <c r="AL535"/>
  <c r="AM535"/>
  <c r="AN535"/>
  <c r="AO535"/>
  <c r="AP535"/>
  <c r="U536"/>
  <c r="W536" s="1"/>
  <c r="E536" s="1"/>
  <c r="X536"/>
  <c r="Y536"/>
  <c r="Z536"/>
  <c r="AA536"/>
  <c r="AB536"/>
  <c r="AC536"/>
  <c r="AD536"/>
  <c r="AE536"/>
  <c r="AF536"/>
  <c r="AH536"/>
  <c r="AI536"/>
  <c r="AJ536"/>
  <c r="AK536"/>
  <c r="AL536"/>
  <c r="AM536"/>
  <c r="AN536"/>
  <c r="AO536"/>
  <c r="AP536"/>
  <c r="U537"/>
  <c r="X537"/>
  <c r="Y537"/>
  <c r="Z537"/>
  <c r="AA537"/>
  <c r="AB537"/>
  <c r="AC537"/>
  <c r="AD537"/>
  <c r="AE537"/>
  <c r="AF537"/>
  <c r="AH537"/>
  <c r="AI537"/>
  <c r="AJ537"/>
  <c r="AK537"/>
  <c r="AL537"/>
  <c r="AM537"/>
  <c r="AN537"/>
  <c r="AO537"/>
  <c r="AP537"/>
  <c r="U538"/>
  <c r="X538"/>
  <c r="Y538"/>
  <c r="Z538"/>
  <c r="AA538"/>
  <c r="AB538"/>
  <c r="AC538"/>
  <c r="AD538"/>
  <c r="AE538"/>
  <c r="AF538"/>
  <c r="AH538"/>
  <c r="AI538"/>
  <c r="AJ538"/>
  <c r="AK538"/>
  <c r="AL538"/>
  <c r="AM538"/>
  <c r="AN538"/>
  <c r="AO538"/>
  <c r="AP538"/>
  <c r="U539"/>
  <c r="X539"/>
  <c r="Y539"/>
  <c r="Z539"/>
  <c r="AA539"/>
  <c r="AB539"/>
  <c r="AC539"/>
  <c r="AD539"/>
  <c r="AE539"/>
  <c r="AF539"/>
  <c r="AH539"/>
  <c r="AI539"/>
  <c r="AJ539"/>
  <c r="AK539"/>
  <c r="AL539"/>
  <c r="AM539"/>
  <c r="AN539"/>
  <c r="AO539"/>
  <c r="AP539"/>
  <c r="U540"/>
  <c r="W540"/>
  <c r="E540" s="1"/>
  <c r="X540"/>
  <c r="Y540"/>
  <c r="Z540"/>
  <c r="AA540"/>
  <c r="AB540"/>
  <c r="AC540"/>
  <c r="AD540"/>
  <c r="AE540"/>
  <c r="AF540"/>
  <c r="AH540"/>
  <c r="AI540"/>
  <c r="AJ540"/>
  <c r="AK540"/>
  <c r="AL540"/>
  <c r="AM540"/>
  <c r="AN540"/>
  <c r="AO540"/>
  <c r="AP540"/>
  <c r="U541"/>
  <c r="X541"/>
  <c r="Y541"/>
  <c r="Z541"/>
  <c r="AA541"/>
  <c r="AB541"/>
  <c r="AC541"/>
  <c r="AD541"/>
  <c r="AE541"/>
  <c r="AF541"/>
  <c r="AH541"/>
  <c r="AI541"/>
  <c r="AJ541"/>
  <c r="AK541"/>
  <c r="AL541"/>
  <c r="AM541"/>
  <c r="AN541"/>
  <c r="AO541"/>
  <c r="AP541"/>
  <c r="U542"/>
  <c r="X542"/>
  <c r="Y542"/>
  <c r="Z542"/>
  <c r="AA542"/>
  <c r="AB542"/>
  <c r="AC542"/>
  <c r="AD542"/>
  <c r="AE542"/>
  <c r="AF542"/>
  <c r="AH542"/>
  <c r="AI542"/>
  <c r="AJ542"/>
  <c r="AK542"/>
  <c r="AL542"/>
  <c r="AM542"/>
  <c r="AN542"/>
  <c r="AO542"/>
  <c r="AP542"/>
  <c r="U543"/>
  <c r="W543"/>
  <c r="E543" s="1"/>
  <c r="X543"/>
  <c r="Y543"/>
  <c r="Z543"/>
  <c r="AA543"/>
  <c r="AB543"/>
  <c r="AC543"/>
  <c r="AD543"/>
  <c r="AE543"/>
  <c r="AF543"/>
  <c r="AH543"/>
  <c r="AI543"/>
  <c r="AJ543"/>
  <c r="AK543"/>
  <c r="AL543"/>
  <c r="AM543"/>
  <c r="AN543"/>
  <c r="AO543"/>
  <c r="AP543"/>
  <c r="U544"/>
  <c r="V544"/>
  <c r="W544"/>
  <c r="E544" s="1"/>
  <c r="X544"/>
  <c r="Y544"/>
  <c r="Z544"/>
  <c r="AA544"/>
  <c r="AB544"/>
  <c r="AC544"/>
  <c r="AD544"/>
  <c r="AE544"/>
  <c r="AF544"/>
  <c r="AH544"/>
  <c r="AI544"/>
  <c r="AJ544"/>
  <c r="AK544"/>
  <c r="AL544"/>
  <c r="AM544"/>
  <c r="AN544"/>
  <c r="AO544"/>
  <c r="AP544"/>
  <c r="U545"/>
  <c r="X545"/>
  <c r="Y545"/>
  <c r="Z545"/>
  <c r="AA545"/>
  <c r="AB545"/>
  <c r="AC545"/>
  <c r="AD545"/>
  <c r="AE545"/>
  <c r="AF545"/>
  <c r="AH545"/>
  <c r="AI545"/>
  <c r="AJ545"/>
  <c r="AK545"/>
  <c r="AL545"/>
  <c r="AM545"/>
  <c r="AN545"/>
  <c r="AO545"/>
  <c r="AP545"/>
  <c r="U546"/>
  <c r="V546"/>
  <c r="X546"/>
  <c r="Y546"/>
  <c r="Z546"/>
  <c r="AA546"/>
  <c r="AB546"/>
  <c r="AC546"/>
  <c r="AD546"/>
  <c r="AE546"/>
  <c r="AF546"/>
  <c r="AH546"/>
  <c r="AI546"/>
  <c r="AJ546"/>
  <c r="AK546"/>
  <c r="AL546"/>
  <c r="AM546"/>
  <c r="AN546"/>
  <c r="AO546"/>
  <c r="AP546"/>
  <c r="U547"/>
  <c r="W547"/>
  <c r="E547" s="1"/>
  <c r="X547"/>
  <c r="Y547"/>
  <c r="Z547"/>
  <c r="AA547"/>
  <c r="AB547"/>
  <c r="AC547"/>
  <c r="AD547"/>
  <c r="AE547"/>
  <c r="AF547"/>
  <c r="AH547"/>
  <c r="AI547"/>
  <c r="AJ547"/>
  <c r="AK547"/>
  <c r="AL547"/>
  <c r="AM547"/>
  <c r="AN547"/>
  <c r="AO547"/>
  <c r="AP547"/>
  <c r="U548"/>
  <c r="V548"/>
  <c r="W548"/>
  <c r="E548" s="1"/>
  <c r="X548"/>
  <c r="Y548"/>
  <c r="Z548"/>
  <c r="AA548"/>
  <c r="AB548"/>
  <c r="AC548"/>
  <c r="AD548"/>
  <c r="AE548"/>
  <c r="AF548"/>
  <c r="AH548"/>
  <c r="AI548"/>
  <c r="AJ548"/>
  <c r="AK548"/>
  <c r="AL548"/>
  <c r="AM548"/>
  <c r="AN548"/>
  <c r="AO548"/>
  <c r="AP548"/>
  <c r="U549"/>
  <c r="X549"/>
  <c r="Y549"/>
  <c r="Z549"/>
  <c r="AA549"/>
  <c r="AB549"/>
  <c r="AC549"/>
  <c r="AD549"/>
  <c r="AE549"/>
  <c r="AF549"/>
  <c r="AH549"/>
  <c r="AI549"/>
  <c r="AJ549"/>
  <c r="AK549"/>
  <c r="AL549"/>
  <c r="AM549"/>
  <c r="AN549"/>
  <c r="AO549"/>
  <c r="AP549"/>
  <c r="U550"/>
  <c r="V550"/>
  <c r="X550"/>
  <c r="Y550"/>
  <c r="Z550"/>
  <c r="AA550"/>
  <c r="AB550"/>
  <c r="AC550"/>
  <c r="AD550"/>
  <c r="AE550"/>
  <c r="AF550"/>
  <c r="AH550"/>
  <c r="AI550"/>
  <c r="AJ550"/>
  <c r="AK550"/>
  <c r="AL550"/>
  <c r="AM550"/>
  <c r="AN550"/>
  <c r="AO550"/>
  <c r="AP550"/>
  <c r="U551"/>
  <c r="W551"/>
  <c r="E551" s="1"/>
  <c r="X551"/>
  <c r="Y551"/>
  <c r="Z551"/>
  <c r="AA551"/>
  <c r="AB551"/>
  <c r="AC551"/>
  <c r="AD551"/>
  <c r="AE551"/>
  <c r="AF551"/>
  <c r="AH551"/>
  <c r="AI551"/>
  <c r="AJ551"/>
  <c r="AK551"/>
  <c r="AL551"/>
  <c r="AM551"/>
  <c r="AN551"/>
  <c r="AO551"/>
  <c r="AP551"/>
  <c r="U552"/>
  <c r="V552"/>
  <c r="W552"/>
  <c r="E552" s="1"/>
  <c r="X552"/>
  <c r="Y552"/>
  <c r="Z552"/>
  <c r="AA552"/>
  <c r="AB552"/>
  <c r="AC552"/>
  <c r="AD552"/>
  <c r="AE552"/>
  <c r="AF552"/>
  <c r="AH552"/>
  <c r="AI552"/>
  <c r="AJ552"/>
  <c r="AK552"/>
  <c r="AL552"/>
  <c r="AM552"/>
  <c r="AN552"/>
  <c r="AO552"/>
  <c r="AP552"/>
  <c r="U553"/>
  <c r="X553"/>
  <c r="Y553"/>
  <c r="Z553"/>
  <c r="AA553"/>
  <c r="AB553"/>
  <c r="AC553"/>
  <c r="AD553"/>
  <c r="AE553"/>
  <c r="AF553"/>
  <c r="AH553"/>
  <c r="AI553"/>
  <c r="AJ553"/>
  <c r="AK553"/>
  <c r="AL553"/>
  <c r="AM553"/>
  <c r="AN553"/>
  <c r="AO553"/>
  <c r="AP553"/>
  <c r="U554"/>
  <c r="V554"/>
  <c r="X554"/>
  <c r="Y554"/>
  <c r="Z554"/>
  <c r="AA554"/>
  <c r="AB554"/>
  <c r="AC554"/>
  <c r="AD554"/>
  <c r="AE554"/>
  <c r="AF554"/>
  <c r="AH554"/>
  <c r="AI554"/>
  <c r="AJ554"/>
  <c r="AK554"/>
  <c r="AL554"/>
  <c r="AM554"/>
  <c r="AN554"/>
  <c r="AO554"/>
  <c r="AP554"/>
  <c r="U555"/>
  <c r="W555"/>
  <c r="E555" s="1"/>
  <c r="X555"/>
  <c r="Y555"/>
  <c r="Z555"/>
  <c r="AA555"/>
  <c r="AB555"/>
  <c r="AC555"/>
  <c r="AD555"/>
  <c r="AE555"/>
  <c r="AF555"/>
  <c r="AH555"/>
  <c r="AI555"/>
  <c r="AJ555"/>
  <c r="AK555"/>
  <c r="AL555"/>
  <c r="AM555"/>
  <c r="AN555"/>
  <c r="AO555"/>
  <c r="AP555"/>
  <c r="U556"/>
  <c r="V556"/>
  <c r="W556"/>
  <c r="E556" s="1"/>
  <c r="X556"/>
  <c r="Y556"/>
  <c r="Z556"/>
  <c r="AA556"/>
  <c r="AB556"/>
  <c r="AC556"/>
  <c r="AD556"/>
  <c r="AE556"/>
  <c r="AF556"/>
  <c r="AH556"/>
  <c r="AI556"/>
  <c r="AJ556"/>
  <c r="AK556"/>
  <c r="AL556"/>
  <c r="AM556"/>
  <c r="AN556"/>
  <c r="AO556"/>
  <c r="AP556"/>
  <c r="U557"/>
  <c r="X557"/>
  <c r="Y557"/>
  <c r="Z557"/>
  <c r="AA557"/>
  <c r="AB557"/>
  <c r="AC557"/>
  <c r="AD557"/>
  <c r="AE557"/>
  <c r="AF557"/>
  <c r="AH557"/>
  <c r="AI557"/>
  <c r="AJ557"/>
  <c r="AK557"/>
  <c r="AL557"/>
  <c r="AM557"/>
  <c r="AN557"/>
  <c r="AO557"/>
  <c r="AP557"/>
  <c r="U558"/>
  <c r="V558"/>
  <c r="X558"/>
  <c r="Y558"/>
  <c r="Z558"/>
  <c r="AA558"/>
  <c r="AB558"/>
  <c r="AC558"/>
  <c r="AD558"/>
  <c r="AE558"/>
  <c r="AF558"/>
  <c r="AH558"/>
  <c r="AI558"/>
  <c r="AJ558"/>
  <c r="AK558"/>
  <c r="AL558"/>
  <c r="AM558"/>
  <c r="AN558"/>
  <c r="AO558"/>
  <c r="AP558"/>
  <c r="U559"/>
  <c r="W559"/>
  <c r="E559" s="1"/>
  <c r="X559"/>
  <c r="Y559"/>
  <c r="Z559"/>
  <c r="AA559"/>
  <c r="AB559"/>
  <c r="AC559"/>
  <c r="AD559"/>
  <c r="AE559"/>
  <c r="AF559"/>
  <c r="AH559"/>
  <c r="AI559"/>
  <c r="AJ559"/>
  <c r="AK559"/>
  <c r="AL559"/>
  <c r="AM559"/>
  <c r="AN559"/>
  <c r="AO559"/>
  <c r="AP559"/>
  <c r="U560"/>
  <c r="V560"/>
  <c r="W560"/>
  <c r="E560" s="1"/>
  <c r="X560"/>
  <c r="Y560"/>
  <c r="Z560"/>
  <c r="AA560"/>
  <c r="AB560"/>
  <c r="AC560"/>
  <c r="AD560"/>
  <c r="AE560"/>
  <c r="AF560"/>
  <c r="AH560"/>
  <c r="AI560"/>
  <c r="AJ560"/>
  <c r="AK560"/>
  <c r="AL560"/>
  <c r="AM560"/>
  <c r="AN560"/>
  <c r="AO560"/>
  <c r="AP560"/>
  <c r="U561"/>
  <c r="X561"/>
  <c r="Y561"/>
  <c r="Z561"/>
  <c r="AA561"/>
  <c r="AB561"/>
  <c r="AC561"/>
  <c r="AD561"/>
  <c r="AE561"/>
  <c r="AF561"/>
  <c r="AH561"/>
  <c r="AI561"/>
  <c r="AJ561"/>
  <c r="AK561"/>
  <c r="AL561"/>
  <c r="AM561"/>
  <c r="AN561"/>
  <c r="AO561"/>
  <c r="AP561"/>
  <c r="U562"/>
  <c r="V562"/>
  <c r="X562"/>
  <c r="Y562"/>
  <c r="Z562"/>
  <c r="AA562"/>
  <c r="AB562"/>
  <c r="AC562"/>
  <c r="AD562"/>
  <c r="AE562"/>
  <c r="AF562"/>
  <c r="AH562"/>
  <c r="AI562"/>
  <c r="AJ562"/>
  <c r="AK562"/>
  <c r="AL562"/>
  <c r="AM562"/>
  <c r="AN562"/>
  <c r="AO562"/>
  <c r="AP562"/>
  <c r="U563"/>
  <c r="W563"/>
  <c r="E563" s="1"/>
  <c r="X563"/>
  <c r="Y563"/>
  <c r="Z563"/>
  <c r="AA563"/>
  <c r="AB563"/>
  <c r="AC563"/>
  <c r="AD563"/>
  <c r="AE563"/>
  <c r="AF563"/>
  <c r="AH563"/>
  <c r="AI563"/>
  <c r="AJ563"/>
  <c r="AK563"/>
  <c r="AL563"/>
  <c r="AM563"/>
  <c r="AN563"/>
  <c r="AO563"/>
  <c r="AP563"/>
  <c r="U564"/>
  <c r="V564"/>
  <c r="W564"/>
  <c r="E564" s="1"/>
  <c r="X564"/>
  <c r="Y564"/>
  <c r="Z564"/>
  <c r="AA564"/>
  <c r="AB564"/>
  <c r="AC564"/>
  <c r="AD564"/>
  <c r="AE564"/>
  <c r="AF564"/>
  <c r="AH564"/>
  <c r="AI564"/>
  <c r="AJ564"/>
  <c r="AK564"/>
  <c r="AL564"/>
  <c r="AM564"/>
  <c r="AN564"/>
  <c r="AO564"/>
  <c r="AP564"/>
  <c r="U565"/>
  <c r="X565"/>
  <c r="Y565"/>
  <c r="Z565"/>
  <c r="AA565"/>
  <c r="AB565"/>
  <c r="AC565"/>
  <c r="AD565"/>
  <c r="AE565"/>
  <c r="AF565"/>
  <c r="AH565"/>
  <c r="AI565"/>
  <c r="AJ565"/>
  <c r="AK565"/>
  <c r="AL565"/>
  <c r="AM565"/>
  <c r="AN565"/>
  <c r="AO565"/>
  <c r="AP565"/>
  <c r="U566"/>
  <c r="V566"/>
  <c r="X566"/>
  <c r="Y566"/>
  <c r="Z566"/>
  <c r="AA566"/>
  <c r="AB566"/>
  <c r="AC566"/>
  <c r="AD566"/>
  <c r="AE566"/>
  <c r="AF566"/>
  <c r="AH566"/>
  <c r="AI566"/>
  <c r="AJ566"/>
  <c r="AK566"/>
  <c r="AL566"/>
  <c r="AM566"/>
  <c r="AN566"/>
  <c r="AO566"/>
  <c r="AP566"/>
  <c r="U567"/>
  <c r="W567"/>
  <c r="E567" s="1"/>
  <c r="X567"/>
  <c r="Y567"/>
  <c r="Z567"/>
  <c r="AA567"/>
  <c r="AB567"/>
  <c r="AC567"/>
  <c r="AD567"/>
  <c r="AE567"/>
  <c r="AF567"/>
  <c r="AH567"/>
  <c r="AI567"/>
  <c r="AJ567"/>
  <c r="AK567"/>
  <c r="AL567"/>
  <c r="AM567"/>
  <c r="AN567"/>
  <c r="AO567"/>
  <c r="AP567"/>
  <c r="U568"/>
  <c r="V568"/>
  <c r="W568"/>
  <c r="E568" s="1"/>
  <c r="X568"/>
  <c r="Y568"/>
  <c r="Z568"/>
  <c r="AA568"/>
  <c r="AB568"/>
  <c r="AC568"/>
  <c r="AD568"/>
  <c r="AE568"/>
  <c r="AF568"/>
  <c r="AH568"/>
  <c r="AI568"/>
  <c r="AJ568"/>
  <c r="AK568"/>
  <c r="AL568"/>
  <c r="AM568"/>
  <c r="AN568"/>
  <c r="AO568"/>
  <c r="AP568"/>
  <c r="U569"/>
  <c r="X569"/>
  <c r="Y569"/>
  <c r="Z569"/>
  <c r="AA569"/>
  <c r="AB569"/>
  <c r="AC569"/>
  <c r="AD569"/>
  <c r="AE569"/>
  <c r="AF569"/>
  <c r="AH569"/>
  <c r="AI569"/>
  <c r="AJ569"/>
  <c r="AK569"/>
  <c r="AL569"/>
  <c r="AM569"/>
  <c r="AN569"/>
  <c r="AO569"/>
  <c r="AP569"/>
  <c r="U570"/>
  <c r="V570"/>
  <c r="X570"/>
  <c r="Y570"/>
  <c r="Z570"/>
  <c r="AA570"/>
  <c r="AB570"/>
  <c r="AC570"/>
  <c r="AD570"/>
  <c r="AE570"/>
  <c r="AF570"/>
  <c r="AH570"/>
  <c r="AI570"/>
  <c r="AJ570"/>
  <c r="AK570"/>
  <c r="AL570"/>
  <c r="AM570"/>
  <c r="AN570"/>
  <c r="AO570"/>
  <c r="AP570"/>
  <c r="U571"/>
  <c r="W571"/>
  <c r="E571" s="1"/>
  <c r="X571"/>
  <c r="Y571"/>
  <c r="Z571"/>
  <c r="AA571"/>
  <c r="AB571"/>
  <c r="AC571"/>
  <c r="AD571"/>
  <c r="AE571"/>
  <c r="AF571"/>
  <c r="AH571"/>
  <c r="AI571"/>
  <c r="AJ571"/>
  <c r="AK571"/>
  <c r="AL571"/>
  <c r="AM571"/>
  <c r="AN571"/>
  <c r="AO571"/>
  <c r="AP571"/>
  <c r="U572"/>
  <c r="V572"/>
  <c r="W572"/>
  <c r="E572" s="1"/>
  <c r="X572"/>
  <c r="Y572"/>
  <c r="Z572"/>
  <c r="AA572"/>
  <c r="AB572"/>
  <c r="AC572"/>
  <c r="AD572"/>
  <c r="AE572"/>
  <c r="AF572"/>
  <c r="AH572"/>
  <c r="AI572"/>
  <c r="AJ572"/>
  <c r="AK572"/>
  <c r="AL572"/>
  <c r="AM572"/>
  <c r="AN572"/>
  <c r="AO572"/>
  <c r="AP572"/>
  <c r="U573"/>
  <c r="X573"/>
  <c r="Y573"/>
  <c r="Z573"/>
  <c r="AA573"/>
  <c r="AB573"/>
  <c r="AC573"/>
  <c r="AD573"/>
  <c r="AE573"/>
  <c r="AF573"/>
  <c r="AH573"/>
  <c r="AI573"/>
  <c r="AJ573"/>
  <c r="AK573"/>
  <c r="AL573"/>
  <c r="AM573"/>
  <c r="AN573"/>
  <c r="AO573"/>
  <c r="AP573"/>
  <c r="U574"/>
  <c r="V574"/>
  <c r="X574"/>
  <c r="Y574"/>
  <c r="Z574"/>
  <c r="AA574"/>
  <c r="AB574"/>
  <c r="AC574"/>
  <c r="AD574"/>
  <c r="AE574"/>
  <c r="AF574"/>
  <c r="AH574"/>
  <c r="AI574"/>
  <c r="AJ574"/>
  <c r="AK574"/>
  <c r="AL574"/>
  <c r="AM574"/>
  <c r="AN574"/>
  <c r="AO574"/>
  <c r="AP574"/>
  <c r="U575"/>
  <c r="W575"/>
  <c r="E575" s="1"/>
  <c r="X575"/>
  <c r="Y575"/>
  <c r="Z575"/>
  <c r="AA575"/>
  <c r="AB575"/>
  <c r="AC575"/>
  <c r="AD575"/>
  <c r="AE575"/>
  <c r="AF575"/>
  <c r="AH575"/>
  <c r="AI575"/>
  <c r="AJ575"/>
  <c r="AK575"/>
  <c r="AL575"/>
  <c r="AM575"/>
  <c r="AN575"/>
  <c r="AO575"/>
  <c r="AP575"/>
  <c r="U576"/>
  <c r="V576"/>
  <c r="W576"/>
  <c r="E576" s="1"/>
  <c r="X576"/>
  <c r="Y576"/>
  <c r="Z576"/>
  <c r="AA576"/>
  <c r="AB576"/>
  <c r="AC576"/>
  <c r="AD576"/>
  <c r="AE576"/>
  <c r="AF576"/>
  <c r="AH576"/>
  <c r="AI576"/>
  <c r="AJ576"/>
  <c r="AK576"/>
  <c r="AL576"/>
  <c r="AM576"/>
  <c r="AN576"/>
  <c r="AO576"/>
  <c r="AP576"/>
  <c r="U577"/>
  <c r="X577"/>
  <c r="Y577"/>
  <c r="Z577"/>
  <c r="AA577"/>
  <c r="AB577"/>
  <c r="AC577"/>
  <c r="AD577"/>
  <c r="AE577"/>
  <c r="AF577"/>
  <c r="AH577"/>
  <c r="AI577"/>
  <c r="AJ577"/>
  <c r="AK577"/>
  <c r="AL577"/>
  <c r="AM577"/>
  <c r="AN577"/>
  <c r="AO577"/>
  <c r="AP577"/>
  <c r="U578"/>
  <c r="V578"/>
  <c r="X578"/>
  <c r="Y578"/>
  <c r="Z578"/>
  <c r="AA578"/>
  <c r="AB578"/>
  <c r="AC578"/>
  <c r="AD578"/>
  <c r="AE578"/>
  <c r="AF578"/>
  <c r="AH578"/>
  <c r="AI578"/>
  <c r="AJ578"/>
  <c r="AK578"/>
  <c r="AL578"/>
  <c r="AM578"/>
  <c r="AN578"/>
  <c r="AO578"/>
  <c r="AP578"/>
  <c r="U579"/>
  <c r="W579"/>
  <c r="E579" s="1"/>
  <c r="X579"/>
  <c r="Y579"/>
  <c r="Z579"/>
  <c r="AA579"/>
  <c r="AB579"/>
  <c r="AC579"/>
  <c r="AD579"/>
  <c r="AE579"/>
  <c r="AF579"/>
  <c r="AH579"/>
  <c r="AI579"/>
  <c r="AJ579"/>
  <c r="AK579"/>
  <c r="AL579"/>
  <c r="AM579"/>
  <c r="AN579"/>
  <c r="AO579"/>
  <c r="AP579"/>
  <c r="U580"/>
  <c r="V580"/>
  <c r="W580"/>
  <c r="E580" s="1"/>
  <c r="X580"/>
  <c r="Y580"/>
  <c r="Z580"/>
  <c r="AA580"/>
  <c r="AB580"/>
  <c r="AC580"/>
  <c r="AD580"/>
  <c r="AE580"/>
  <c r="AF580"/>
  <c r="AH580"/>
  <c r="AI580"/>
  <c r="AJ580"/>
  <c r="AK580"/>
  <c r="AL580"/>
  <c r="AM580"/>
  <c r="AN580"/>
  <c r="AO580"/>
  <c r="AP580"/>
  <c r="U581"/>
  <c r="X581"/>
  <c r="Y581"/>
  <c r="Z581"/>
  <c r="AA581"/>
  <c r="AB581"/>
  <c r="AC581"/>
  <c r="AD581"/>
  <c r="AE581"/>
  <c r="AF581"/>
  <c r="AH581"/>
  <c r="AI581"/>
  <c r="AJ581"/>
  <c r="AK581"/>
  <c r="AL581"/>
  <c r="AM581"/>
  <c r="AN581"/>
  <c r="AO581"/>
  <c r="AP581"/>
  <c r="U582"/>
  <c r="V582"/>
  <c r="X582"/>
  <c r="Y582"/>
  <c r="Z582"/>
  <c r="AA582"/>
  <c r="AB582"/>
  <c r="AC582"/>
  <c r="AD582"/>
  <c r="AE582"/>
  <c r="AF582"/>
  <c r="AH582"/>
  <c r="AI582"/>
  <c r="AJ582"/>
  <c r="AK582"/>
  <c r="AL582"/>
  <c r="AM582"/>
  <c r="AN582"/>
  <c r="AO582"/>
  <c r="AP582"/>
  <c r="U583"/>
  <c r="W583"/>
  <c r="E583" s="1"/>
  <c r="X583"/>
  <c r="Y583"/>
  <c r="Z583"/>
  <c r="AA583"/>
  <c r="AB583"/>
  <c r="AC583"/>
  <c r="AD583"/>
  <c r="AE583"/>
  <c r="AF583"/>
  <c r="AH583"/>
  <c r="AI583"/>
  <c r="AJ583"/>
  <c r="AK583"/>
  <c r="AL583"/>
  <c r="AM583"/>
  <c r="AN583"/>
  <c r="AO583"/>
  <c r="AP583"/>
  <c r="U584"/>
  <c r="V584"/>
  <c r="W584"/>
  <c r="E584" s="1"/>
  <c r="X584"/>
  <c r="Y584"/>
  <c r="Z584"/>
  <c r="AA584"/>
  <c r="AB584"/>
  <c r="AC584"/>
  <c r="AD584"/>
  <c r="AE584"/>
  <c r="AF584"/>
  <c r="AH584"/>
  <c r="AI584"/>
  <c r="AJ584"/>
  <c r="AK584"/>
  <c r="AL584"/>
  <c r="AM584"/>
  <c r="AN584"/>
  <c r="AO584"/>
  <c r="AP584"/>
  <c r="U585"/>
  <c r="X585"/>
  <c r="Y585"/>
  <c r="Z585"/>
  <c r="AA585"/>
  <c r="AB585"/>
  <c r="AC585"/>
  <c r="AD585"/>
  <c r="AE585"/>
  <c r="AF585"/>
  <c r="AH585"/>
  <c r="AI585"/>
  <c r="AJ585"/>
  <c r="AK585"/>
  <c r="AL585"/>
  <c r="AM585"/>
  <c r="AN585"/>
  <c r="AO585"/>
  <c r="AP585"/>
  <c r="U586"/>
  <c r="V586"/>
  <c r="X586"/>
  <c r="Y586"/>
  <c r="Z586"/>
  <c r="AA586"/>
  <c r="AB586"/>
  <c r="AC586"/>
  <c r="AD586"/>
  <c r="AE586"/>
  <c r="AF586"/>
  <c r="AH586"/>
  <c r="AI586"/>
  <c r="AJ586"/>
  <c r="AK586"/>
  <c r="AL586"/>
  <c r="AM586"/>
  <c r="AN586"/>
  <c r="AO586"/>
  <c r="AP586"/>
  <c r="U587"/>
  <c r="W587"/>
  <c r="E587" s="1"/>
  <c r="X587"/>
  <c r="Y587"/>
  <c r="Z587"/>
  <c r="AA587"/>
  <c r="AB587"/>
  <c r="AC587"/>
  <c r="AD587"/>
  <c r="AE587"/>
  <c r="AF587"/>
  <c r="AH587"/>
  <c r="AI587"/>
  <c r="AJ587"/>
  <c r="AK587"/>
  <c r="AL587"/>
  <c r="AM587"/>
  <c r="AN587"/>
  <c r="AO587"/>
  <c r="AP587"/>
  <c r="U588"/>
  <c r="V588"/>
  <c r="W588"/>
  <c r="E588" s="1"/>
  <c r="X588"/>
  <c r="Y588"/>
  <c r="Z588"/>
  <c r="AA588"/>
  <c r="AB588"/>
  <c r="AC588"/>
  <c r="AD588"/>
  <c r="AE588"/>
  <c r="AF588"/>
  <c r="AH588"/>
  <c r="AI588"/>
  <c r="AJ588"/>
  <c r="AK588"/>
  <c r="AL588"/>
  <c r="AM588"/>
  <c r="AN588"/>
  <c r="AO588"/>
  <c r="AP588"/>
  <c r="U589"/>
  <c r="X589"/>
  <c r="Y589"/>
  <c r="Z589"/>
  <c r="AA589"/>
  <c r="AB589"/>
  <c r="AC589"/>
  <c r="AD589"/>
  <c r="AE589"/>
  <c r="AF589"/>
  <c r="AH589"/>
  <c r="AI589"/>
  <c r="AJ589"/>
  <c r="AK589"/>
  <c r="AL589"/>
  <c r="AM589"/>
  <c r="AN589"/>
  <c r="AO589"/>
  <c r="AP589"/>
  <c r="U590"/>
  <c r="V590"/>
  <c r="X590"/>
  <c r="Y590"/>
  <c r="Z590"/>
  <c r="AA590"/>
  <c r="AB590"/>
  <c r="AC590"/>
  <c r="AD590"/>
  <c r="AE590"/>
  <c r="AF590"/>
  <c r="AH590"/>
  <c r="AI590"/>
  <c r="AJ590"/>
  <c r="AK590"/>
  <c r="AL590"/>
  <c r="AM590"/>
  <c r="AN590"/>
  <c r="AO590"/>
  <c r="AP590"/>
  <c r="U591"/>
  <c r="W591"/>
  <c r="E591" s="1"/>
  <c r="X591"/>
  <c r="Y591"/>
  <c r="Z591"/>
  <c r="AA591"/>
  <c r="AB591"/>
  <c r="AC591"/>
  <c r="AD591"/>
  <c r="AE591"/>
  <c r="AF591"/>
  <c r="AH591"/>
  <c r="AI591"/>
  <c r="AJ591"/>
  <c r="AK591"/>
  <c r="AL591"/>
  <c r="AM591"/>
  <c r="AN591"/>
  <c r="AO591"/>
  <c r="AP591"/>
  <c r="U592"/>
  <c r="V592"/>
  <c r="W592"/>
  <c r="E592" s="1"/>
  <c r="X592"/>
  <c r="Y592"/>
  <c r="Z592"/>
  <c r="AA592"/>
  <c r="AB592"/>
  <c r="AC592"/>
  <c r="AD592"/>
  <c r="AE592"/>
  <c r="AF592"/>
  <c r="AH592"/>
  <c r="AI592"/>
  <c r="AJ592"/>
  <c r="AK592"/>
  <c r="AL592"/>
  <c r="AM592"/>
  <c r="AN592"/>
  <c r="AO592"/>
  <c r="AP592"/>
  <c r="U593"/>
  <c r="X593"/>
  <c r="Y593"/>
  <c r="Z593"/>
  <c r="AA593"/>
  <c r="AB593"/>
  <c r="AC593"/>
  <c r="AD593"/>
  <c r="AE593"/>
  <c r="AF593"/>
  <c r="AH593"/>
  <c r="AI593"/>
  <c r="AJ593"/>
  <c r="AK593"/>
  <c r="AL593"/>
  <c r="AM593"/>
  <c r="AN593"/>
  <c r="AO593"/>
  <c r="AP593"/>
  <c r="U594"/>
  <c r="V594"/>
  <c r="X594"/>
  <c r="Y594"/>
  <c r="Z594"/>
  <c r="AA594"/>
  <c r="AB594"/>
  <c r="AC594"/>
  <c r="AD594"/>
  <c r="AE594"/>
  <c r="AF594"/>
  <c r="AH594"/>
  <c r="AI594"/>
  <c r="AJ594"/>
  <c r="AK594"/>
  <c r="AL594"/>
  <c r="AM594"/>
  <c r="AN594"/>
  <c r="AO594"/>
  <c r="AP594"/>
  <c r="U595"/>
  <c r="W595"/>
  <c r="E595" s="1"/>
  <c r="X595"/>
  <c r="Y595"/>
  <c r="Z595"/>
  <c r="AA595"/>
  <c r="AB595"/>
  <c r="AC595"/>
  <c r="AD595"/>
  <c r="AE595"/>
  <c r="AF595"/>
  <c r="AH595"/>
  <c r="AI595"/>
  <c r="AJ595"/>
  <c r="AK595"/>
  <c r="AL595"/>
  <c r="AM595"/>
  <c r="AN595"/>
  <c r="AO595"/>
  <c r="AP595"/>
  <c r="U596"/>
  <c r="V596"/>
  <c r="W596"/>
  <c r="E596" s="1"/>
  <c r="X596"/>
  <c r="Y596"/>
  <c r="Z596"/>
  <c r="AA596"/>
  <c r="AB596"/>
  <c r="AC596"/>
  <c r="AD596"/>
  <c r="AE596"/>
  <c r="AF596"/>
  <c r="AH596"/>
  <c r="AI596"/>
  <c r="AJ596"/>
  <c r="AK596"/>
  <c r="AL596"/>
  <c r="AM596"/>
  <c r="AN596"/>
  <c r="AO596"/>
  <c r="AP596"/>
  <c r="U597"/>
  <c r="X597"/>
  <c r="Y597"/>
  <c r="Z597"/>
  <c r="AA597"/>
  <c r="AB597"/>
  <c r="AC597"/>
  <c r="AD597"/>
  <c r="AE597"/>
  <c r="AF597"/>
  <c r="AH597"/>
  <c r="AI597"/>
  <c r="AJ597"/>
  <c r="AK597"/>
  <c r="AL597"/>
  <c r="AM597"/>
  <c r="AN597"/>
  <c r="AO597"/>
  <c r="AP597"/>
  <c r="U598"/>
  <c r="V598"/>
  <c r="X598"/>
  <c r="Y598"/>
  <c r="Z598"/>
  <c r="AA598"/>
  <c r="AB598"/>
  <c r="AC598"/>
  <c r="AD598"/>
  <c r="AE598"/>
  <c r="AF598"/>
  <c r="AH598"/>
  <c r="AI598"/>
  <c r="AJ598"/>
  <c r="AK598"/>
  <c r="AL598"/>
  <c r="AM598"/>
  <c r="AN598"/>
  <c r="AO598"/>
  <c r="AP598"/>
  <c r="U599"/>
  <c r="W599"/>
  <c r="E599" s="1"/>
  <c r="X599"/>
  <c r="Y599"/>
  <c r="Z599"/>
  <c r="AA599"/>
  <c r="AB599"/>
  <c r="AC599"/>
  <c r="AD599"/>
  <c r="AE599"/>
  <c r="AF599"/>
  <c r="AH599"/>
  <c r="AI599"/>
  <c r="AJ599"/>
  <c r="AK599"/>
  <c r="AL599"/>
  <c r="AM599"/>
  <c r="AN599"/>
  <c r="AO599"/>
  <c r="AP599"/>
  <c r="U600"/>
  <c r="V600"/>
  <c r="W600"/>
  <c r="E600" s="1"/>
  <c r="X600"/>
  <c r="Y600"/>
  <c r="Z600"/>
  <c r="AA600"/>
  <c r="AB600"/>
  <c r="AC600"/>
  <c r="AD600"/>
  <c r="AE600"/>
  <c r="AF600"/>
  <c r="AH600"/>
  <c r="AI600"/>
  <c r="AJ600"/>
  <c r="AK600"/>
  <c r="AL600"/>
  <c r="AM600"/>
  <c r="AN600"/>
  <c r="AO600"/>
  <c r="AP600"/>
  <c r="U601"/>
  <c r="X601"/>
  <c r="Y601"/>
  <c r="Z601"/>
  <c r="AA601"/>
  <c r="AB601"/>
  <c r="AC601"/>
  <c r="AD601"/>
  <c r="AE601"/>
  <c r="AF601"/>
  <c r="AH601"/>
  <c r="AI601"/>
  <c r="AJ601"/>
  <c r="AK601"/>
  <c r="AL601"/>
  <c r="AM601"/>
  <c r="AN601"/>
  <c r="AO601"/>
  <c r="AP601"/>
  <c r="U602"/>
  <c r="V602"/>
  <c r="X602"/>
  <c r="Y602"/>
  <c r="Z602"/>
  <c r="AA602"/>
  <c r="AB602"/>
  <c r="AC602"/>
  <c r="AD602"/>
  <c r="AE602"/>
  <c r="AF602"/>
  <c r="AH602"/>
  <c r="AI602"/>
  <c r="AJ602"/>
  <c r="AK602"/>
  <c r="AL602"/>
  <c r="AM602"/>
  <c r="AN602"/>
  <c r="AO602"/>
  <c r="AP602"/>
  <c r="U603"/>
  <c r="W603"/>
  <c r="E603" s="1"/>
  <c r="X603"/>
  <c r="Y603"/>
  <c r="Z603"/>
  <c r="AA603"/>
  <c r="AB603"/>
  <c r="AC603"/>
  <c r="AD603"/>
  <c r="AE603"/>
  <c r="AF603"/>
  <c r="AH603"/>
  <c r="AI603"/>
  <c r="AJ603"/>
  <c r="AK603"/>
  <c r="AL603"/>
  <c r="AM603"/>
  <c r="AN603"/>
  <c r="AO603"/>
  <c r="AP603"/>
  <c r="U604"/>
  <c r="V604"/>
  <c r="W604"/>
  <c r="E604" s="1"/>
  <c r="X604"/>
  <c r="Y604"/>
  <c r="Z604"/>
  <c r="AA604"/>
  <c r="AB604"/>
  <c r="AC604"/>
  <c r="AD604"/>
  <c r="AE604"/>
  <c r="AF604"/>
  <c r="AH604"/>
  <c r="AI604"/>
  <c r="AJ604"/>
  <c r="AK604"/>
  <c r="AL604"/>
  <c r="AM604"/>
  <c r="AN604"/>
  <c r="AO604"/>
  <c r="AP604"/>
  <c r="U605"/>
  <c r="X605"/>
  <c r="Y605"/>
  <c r="Z605"/>
  <c r="AA605"/>
  <c r="AB605"/>
  <c r="AC605"/>
  <c r="AD605"/>
  <c r="AE605"/>
  <c r="AF605"/>
  <c r="AH605"/>
  <c r="AI605"/>
  <c r="AJ605"/>
  <c r="AK605"/>
  <c r="AL605"/>
  <c r="AM605"/>
  <c r="AN605"/>
  <c r="AO605"/>
  <c r="AP605"/>
  <c r="U606"/>
  <c r="V606"/>
  <c r="X606"/>
  <c r="Y606"/>
  <c r="Z606"/>
  <c r="AA606"/>
  <c r="AB606"/>
  <c r="AC606"/>
  <c r="AD606"/>
  <c r="AE606"/>
  <c r="AF606"/>
  <c r="AH606"/>
  <c r="AI606"/>
  <c r="AJ606"/>
  <c r="AK606"/>
  <c r="AL606"/>
  <c r="AM606"/>
  <c r="AN606"/>
  <c r="AO606"/>
  <c r="AP606"/>
  <c r="U607"/>
  <c r="W607"/>
  <c r="E607" s="1"/>
  <c r="X607"/>
  <c r="Y607"/>
  <c r="Z607"/>
  <c r="AA607"/>
  <c r="AB607"/>
  <c r="AC607"/>
  <c r="AD607"/>
  <c r="AE607"/>
  <c r="AF607"/>
  <c r="AH607"/>
  <c r="AI607"/>
  <c r="AJ607"/>
  <c r="AK607"/>
  <c r="AL607"/>
  <c r="AM607"/>
  <c r="AN607"/>
  <c r="AO607"/>
  <c r="AP607"/>
  <c r="U608"/>
  <c r="V608"/>
  <c r="W608"/>
  <c r="E608" s="1"/>
  <c r="X608"/>
  <c r="Y608"/>
  <c r="Z608"/>
  <c r="AA608"/>
  <c r="AB608"/>
  <c r="AC608"/>
  <c r="AD608"/>
  <c r="AE608"/>
  <c r="AF608"/>
  <c r="AH608"/>
  <c r="AI608"/>
  <c r="AJ608"/>
  <c r="AK608"/>
  <c r="AL608"/>
  <c r="AM608"/>
  <c r="AN608"/>
  <c r="AO608"/>
  <c r="AP608"/>
  <c r="U609"/>
  <c r="X609"/>
  <c r="Y609"/>
  <c r="Z609"/>
  <c r="AA609"/>
  <c r="AB609"/>
  <c r="AC609"/>
  <c r="AD609"/>
  <c r="AE609"/>
  <c r="AF609"/>
  <c r="AH609"/>
  <c r="AI609"/>
  <c r="AJ609"/>
  <c r="AK609"/>
  <c r="AL609"/>
  <c r="AM609"/>
  <c r="AN609"/>
  <c r="AO609"/>
  <c r="AP609"/>
  <c r="U610"/>
  <c r="V610"/>
  <c r="X610"/>
  <c r="Y610"/>
  <c r="Z610"/>
  <c r="AA610"/>
  <c r="AB610"/>
  <c r="AC610"/>
  <c r="AD610"/>
  <c r="AE610"/>
  <c r="AF610"/>
  <c r="AH610"/>
  <c r="AI610"/>
  <c r="AJ610"/>
  <c r="AK610"/>
  <c r="AL610"/>
  <c r="AM610"/>
  <c r="AN610"/>
  <c r="AO610"/>
  <c r="AP610"/>
  <c r="U611"/>
  <c r="W611"/>
  <c r="E611" s="1"/>
  <c r="X611"/>
  <c r="Y611"/>
  <c r="Z611"/>
  <c r="AA611"/>
  <c r="AB611"/>
  <c r="AC611"/>
  <c r="AD611"/>
  <c r="AE611"/>
  <c r="AF611"/>
  <c r="AH611"/>
  <c r="AI611"/>
  <c r="AJ611"/>
  <c r="AK611"/>
  <c r="AL611"/>
  <c r="AM611"/>
  <c r="AN611"/>
  <c r="AO611"/>
  <c r="AP611"/>
  <c r="U612"/>
  <c r="V612"/>
  <c r="W612"/>
  <c r="E612" s="1"/>
  <c r="X612"/>
  <c r="Y612"/>
  <c r="Z612"/>
  <c r="AA612"/>
  <c r="AB612"/>
  <c r="AC612"/>
  <c r="AD612"/>
  <c r="AE612"/>
  <c r="AF612"/>
  <c r="AH612"/>
  <c r="AI612"/>
  <c r="AJ612"/>
  <c r="AK612"/>
  <c r="AL612"/>
  <c r="AM612"/>
  <c r="AN612"/>
  <c r="AO612"/>
  <c r="AP612"/>
  <c r="U613"/>
  <c r="X613"/>
  <c r="Y613"/>
  <c r="Z613"/>
  <c r="AA613"/>
  <c r="AB613"/>
  <c r="AC613"/>
  <c r="AD613"/>
  <c r="AE613"/>
  <c r="AF613"/>
  <c r="AH613"/>
  <c r="AI613"/>
  <c r="AJ613"/>
  <c r="AK613"/>
  <c r="AL613"/>
  <c r="AM613"/>
  <c r="AN613"/>
  <c r="AO613"/>
  <c r="AP613"/>
  <c r="U614"/>
  <c r="V614"/>
  <c r="X614"/>
  <c r="Y614"/>
  <c r="Z614"/>
  <c r="AA614"/>
  <c r="AB614"/>
  <c r="AC614"/>
  <c r="AD614"/>
  <c r="AE614"/>
  <c r="AF614"/>
  <c r="AH614"/>
  <c r="AI614"/>
  <c r="AJ614"/>
  <c r="AK614"/>
  <c r="AL614"/>
  <c r="AM614"/>
  <c r="AN614"/>
  <c r="AO614"/>
  <c r="AP614"/>
  <c r="U615"/>
  <c r="W615"/>
  <c r="E615" s="1"/>
  <c r="X615"/>
  <c r="Y615"/>
  <c r="Z615"/>
  <c r="AA615"/>
  <c r="AB615"/>
  <c r="AC615"/>
  <c r="AD615"/>
  <c r="AE615"/>
  <c r="AF615"/>
  <c r="AH615"/>
  <c r="AI615"/>
  <c r="AJ615"/>
  <c r="AK615"/>
  <c r="AL615"/>
  <c r="AM615"/>
  <c r="AN615"/>
  <c r="AO615"/>
  <c r="AP615"/>
  <c r="U616"/>
  <c r="V616"/>
  <c r="W616"/>
  <c r="E616" s="1"/>
  <c r="X616"/>
  <c r="Y616"/>
  <c r="Z616"/>
  <c r="AA616"/>
  <c r="AB616"/>
  <c r="AC616"/>
  <c r="AD616"/>
  <c r="AE616"/>
  <c r="AF616"/>
  <c r="AH616"/>
  <c r="AI616"/>
  <c r="AJ616"/>
  <c r="AK616"/>
  <c r="AL616"/>
  <c r="AM616"/>
  <c r="AN616"/>
  <c r="AO616"/>
  <c r="AP616"/>
  <c r="U617"/>
  <c r="X617"/>
  <c r="Y617"/>
  <c r="Z617"/>
  <c r="AA617"/>
  <c r="AB617"/>
  <c r="AC617"/>
  <c r="AD617"/>
  <c r="AE617"/>
  <c r="AF617"/>
  <c r="AH617"/>
  <c r="AI617"/>
  <c r="AJ617"/>
  <c r="AK617"/>
  <c r="AL617"/>
  <c r="AM617"/>
  <c r="AN617"/>
  <c r="AO617"/>
  <c r="AP617"/>
  <c r="U618"/>
  <c r="V618"/>
  <c r="X618"/>
  <c r="Y618"/>
  <c r="Z618"/>
  <c r="AA618"/>
  <c r="AB618"/>
  <c r="AC618"/>
  <c r="AD618"/>
  <c r="AE618"/>
  <c r="AF618"/>
  <c r="AH618"/>
  <c r="AI618"/>
  <c r="AJ618"/>
  <c r="AK618"/>
  <c r="AL618"/>
  <c r="AM618"/>
  <c r="AN618"/>
  <c r="AO618"/>
  <c r="AP618"/>
  <c r="U619"/>
  <c r="W619"/>
  <c r="E619" s="1"/>
  <c r="X619"/>
  <c r="Y619"/>
  <c r="Z619"/>
  <c r="AA619"/>
  <c r="AB619"/>
  <c r="AC619"/>
  <c r="AD619"/>
  <c r="AE619"/>
  <c r="AF619"/>
  <c r="AH619"/>
  <c r="AI619"/>
  <c r="AJ619"/>
  <c r="AK619"/>
  <c r="AL619"/>
  <c r="AM619"/>
  <c r="AN619"/>
  <c r="AO619"/>
  <c r="AP619"/>
  <c r="U620"/>
  <c r="V620"/>
  <c r="W620"/>
  <c r="E620" s="1"/>
  <c r="X620"/>
  <c r="Y620"/>
  <c r="Z620"/>
  <c r="AA620"/>
  <c r="AB620"/>
  <c r="AC620"/>
  <c r="AD620"/>
  <c r="AE620"/>
  <c r="AF620"/>
  <c r="AH620"/>
  <c r="AI620"/>
  <c r="AJ620"/>
  <c r="AK620"/>
  <c r="AL620"/>
  <c r="AM620"/>
  <c r="AN620"/>
  <c r="AO620"/>
  <c r="AP620"/>
  <c r="U621"/>
  <c r="X621"/>
  <c r="Y621"/>
  <c r="Z621"/>
  <c r="AA621"/>
  <c r="AB621"/>
  <c r="AC621"/>
  <c r="AD621"/>
  <c r="AE621"/>
  <c r="AF621"/>
  <c r="AH621"/>
  <c r="AI621"/>
  <c r="AJ621"/>
  <c r="AK621"/>
  <c r="AL621"/>
  <c r="AM621"/>
  <c r="AN621"/>
  <c r="AO621"/>
  <c r="AP621"/>
  <c r="U622"/>
  <c r="V622"/>
  <c r="X622"/>
  <c r="Y622"/>
  <c r="Z622"/>
  <c r="AA622"/>
  <c r="AB622"/>
  <c r="AC622"/>
  <c r="AD622"/>
  <c r="AE622"/>
  <c r="AF622"/>
  <c r="AH622"/>
  <c r="AI622"/>
  <c r="AJ622"/>
  <c r="AK622"/>
  <c r="AL622"/>
  <c r="AM622"/>
  <c r="AN622"/>
  <c r="AO622"/>
  <c r="AP622"/>
  <c r="U623"/>
  <c r="W623"/>
  <c r="E623" s="1"/>
  <c r="X623"/>
  <c r="Y623"/>
  <c r="Z623"/>
  <c r="AA623"/>
  <c r="AB623"/>
  <c r="AC623"/>
  <c r="AD623"/>
  <c r="AE623"/>
  <c r="AF623"/>
  <c r="AH623"/>
  <c r="AI623"/>
  <c r="AJ623"/>
  <c r="AK623"/>
  <c r="AL623"/>
  <c r="AM623"/>
  <c r="AN623"/>
  <c r="AO623"/>
  <c r="AP623"/>
  <c r="U624"/>
  <c r="V624"/>
  <c r="W624"/>
  <c r="E624" s="1"/>
  <c r="X624"/>
  <c r="Y624"/>
  <c r="Z624"/>
  <c r="AA624"/>
  <c r="AB624"/>
  <c r="AC624"/>
  <c r="AD624"/>
  <c r="AE624"/>
  <c r="AF624"/>
  <c r="AH624"/>
  <c r="AI624"/>
  <c r="AJ624"/>
  <c r="AK624"/>
  <c r="AL624"/>
  <c r="AM624"/>
  <c r="AN624"/>
  <c r="AO624"/>
  <c r="AP624"/>
  <c r="U625"/>
  <c r="X625"/>
  <c r="Y625"/>
  <c r="Z625"/>
  <c r="AA625"/>
  <c r="AB625"/>
  <c r="AC625"/>
  <c r="AD625"/>
  <c r="AE625"/>
  <c r="AF625"/>
  <c r="AH625"/>
  <c r="AI625"/>
  <c r="AJ625"/>
  <c r="AK625"/>
  <c r="AL625"/>
  <c r="AM625"/>
  <c r="AN625"/>
  <c r="AO625"/>
  <c r="AP625"/>
  <c r="U626"/>
  <c r="V626"/>
  <c r="X626"/>
  <c r="Y626"/>
  <c r="Z626"/>
  <c r="AA626"/>
  <c r="AB626"/>
  <c r="AC626"/>
  <c r="AD626"/>
  <c r="AE626"/>
  <c r="AF626"/>
  <c r="AH626"/>
  <c r="AI626"/>
  <c r="AJ626"/>
  <c r="AK626"/>
  <c r="AL626"/>
  <c r="AM626"/>
  <c r="AN626"/>
  <c r="AO626"/>
  <c r="AP626"/>
  <c r="U627"/>
  <c r="W627"/>
  <c r="E627" s="1"/>
  <c r="X627"/>
  <c r="Y627"/>
  <c r="Z627"/>
  <c r="AA627"/>
  <c r="AB627"/>
  <c r="AC627"/>
  <c r="AD627"/>
  <c r="AE627"/>
  <c r="AF627"/>
  <c r="AH627"/>
  <c r="AI627"/>
  <c r="AJ627"/>
  <c r="AK627"/>
  <c r="AL627"/>
  <c r="AM627"/>
  <c r="AN627"/>
  <c r="AO627"/>
  <c r="AP627"/>
  <c r="U628"/>
  <c r="V628"/>
  <c r="W628"/>
  <c r="E628" s="1"/>
  <c r="X628"/>
  <c r="Y628"/>
  <c r="Z628"/>
  <c r="AA628"/>
  <c r="AB628"/>
  <c r="AC628"/>
  <c r="AD628"/>
  <c r="AE628"/>
  <c r="AF628"/>
  <c r="AH628"/>
  <c r="AI628"/>
  <c r="AJ628"/>
  <c r="AK628"/>
  <c r="AL628"/>
  <c r="AM628"/>
  <c r="AN628"/>
  <c r="AO628"/>
  <c r="AP628"/>
  <c r="U629"/>
  <c r="X629"/>
  <c r="Y629"/>
  <c r="Z629"/>
  <c r="AA629"/>
  <c r="AB629"/>
  <c r="AC629"/>
  <c r="AD629"/>
  <c r="AE629"/>
  <c r="AF629"/>
  <c r="AH629"/>
  <c r="AI629"/>
  <c r="AJ629"/>
  <c r="AK629"/>
  <c r="AL629"/>
  <c r="AM629"/>
  <c r="AN629"/>
  <c r="AO629"/>
  <c r="AP629"/>
  <c r="U630"/>
  <c r="V630"/>
  <c r="X630"/>
  <c r="Y630"/>
  <c r="Z630"/>
  <c r="AA630"/>
  <c r="AB630"/>
  <c r="AC630"/>
  <c r="AD630"/>
  <c r="AE630"/>
  <c r="AF630"/>
  <c r="AH630"/>
  <c r="AI630"/>
  <c r="AJ630"/>
  <c r="AK630"/>
  <c r="AL630"/>
  <c r="AM630"/>
  <c r="AN630"/>
  <c r="AO630"/>
  <c r="AP630"/>
  <c r="U631"/>
  <c r="W631"/>
  <c r="E631" s="1"/>
  <c r="X631"/>
  <c r="Y631"/>
  <c r="Z631"/>
  <c r="AA631"/>
  <c r="AB631"/>
  <c r="AC631"/>
  <c r="AD631"/>
  <c r="AE631"/>
  <c r="AF631"/>
  <c r="AH631"/>
  <c r="AI631"/>
  <c r="AJ631"/>
  <c r="AK631"/>
  <c r="AL631"/>
  <c r="AM631"/>
  <c r="AN631"/>
  <c r="AO631"/>
  <c r="AP631"/>
  <c r="V337"/>
  <c r="V256"/>
  <c r="V179"/>
  <c r="V312"/>
  <c r="V311"/>
  <c r="V141"/>
  <c r="V165"/>
  <c r="V156"/>
  <c r="V281"/>
  <c r="V208"/>
  <c r="V145"/>
  <c r="V316"/>
  <c r="V181"/>
  <c r="V152"/>
  <c r="V199"/>
  <c r="V330"/>
  <c r="V191"/>
  <c r="V268"/>
  <c r="V132"/>
  <c r="V328"/>
  <c r="V163"/>
  <c r="V336"/>
  <c r="V307"/>
  <c r="V128"/>
  <c r="V180"/>
  <c r="V251"/>
  <c r="V275"/>
  <c r="V151"/>
  <c r="V320"/>
  <c r="V233"/>
  <c r="V277"/>
  <c r="V269"/>
  <c r="V229"/>
  <c r="V324"/>
  <c r="V192"/>
  <c r="V189"/>
  <c r="V253"/>
  <c r="V284"/>
  <c r="V241"/>
  <c r="V168"/>
  <c r="V227"/>
  <c r="V280"/>
  <c r="V276"/>
  <c r="V203"/>
  <c r="V243"/>
  <c r="V247"/>
  <c r="V332"/>
  <c r="V329"/>
  <c r="V177"/>
  <c r="V255"/>
  <c r="V147"/>
  <c r="V185"/>
  <c r="V300"/>
  <c r="V235"/>
  <c r="V231"/>
  <c r="V161"/>
  <c r="V323"/>
  <c r="V136"/>
  <c r="V137"/>
  <c r="V260"/>
  <c r="V159"/>
  <c r="V204"/>
  <c r="V273"/>
  <c r="V237"/>
  <c r="V334"/>
  <c r="V184"/>
  <c r="V240"/>
  <c r="V236"/>
  <c r="V167"/>
  <c r="V149"/>
  <c r="V197"/>
  <c r="V171"/>
  <c r="V249"/>
  <c r="V207"/>
  <c r="V285"/>
  <c r="V289"/>
  <c r="V172"/>
  <c r="V263"/>
  <c r="V267"/>
  <c r="V220"/>
  <c r="V155"/>
  <c r="V157"/>
  <c r="V333"/>
  <c r="V338"/>
  <c r="V200"/>
  <c r="V232"/>
  <c r="V173"/>
  <c r="V291"/>
  <c r="V288"/>
  <c r="V148"/>
  <c r="V228"/>
  <c r="V296"/>
  <c r="V195"/>
  <c r="V303"/>
  <c r="V245"/>
  <c r="V299"/>
  <c r="V216"/>
  <c r="V259"/>
  <c r="V272"/>
  <c r="V133"/>
  <c r="V164"/>
  <c r="V239"/>
  <c r="V264"/>
  <c r="V295"/>
  <c r="V176"/>
  <c r="V287"/>
  <c r="V321"/>
  <c r="V271"/>
  <c r="V187"/>
  <c r="V304"/>
  <c r="V257"/>
  <c r="V193"/>
  <c r="V248"/>
  <c r="V211"/>
  <c r="V139"/>
  <c r="V212"/>
  <c r="V129"/>
  <c r="V244"/>
  <c r="V153"/>
  <c r="V315"/>
  <c r="V308"/>
  <c r="V223"/>
  <c r="V265"/>
  <c r="V279"/>
  <c r="V175"/>
  <c r="V219"/>
  <c r="V196"/>
  <c r="V127"/>
  <c r="V131"/>
  <c r="V283"/>
  <c r="V140"/>
  <c r="V327"/>
  <c r="V261"/>
  <c r="V292"/>
  <c r="V326"/>
  <c r="V252"/>
  <c r="V169"/>
  <c r="V322"/>
  <c r="V319"/>
  <c r="V183"/>
  <c r="V224"/>
  <c r="V135"/>
  <c r="V160"/>
  <c r="V144"/>
  <c r="V143"/>
  <c r="V215"/>
  <c r="V188"/>
  <c r="F314" l="1"/>
  <c r="W447"/>
  <c r="E447" s="1"/>
  <c r="V482"/>
  <c r="W481"/>
  <c r="E481" s="1"/>
  <c r="V480"/>
  <c r="V430"/>
  <c r="V398"/>
  <c r="V366"/>
  <c r="V350"/>
  <c r="C528"/>
  <c r="D528"/>
  <c r="F528"/>
  <c r="V528"/>
  <c r="W518"/>
  <c r="E518" s="1"/>
  <c r="C518"/>
  <c r="D518"/>
  <c r="F518"/>
  <c r="V518"/>
  <c r="C512"/>
  <c r="D512"/>
  <c r="F512"/>
  <c r="V512"/>
  <c r="W502"/>
  <c r="E502" s="1"/>
  <c r="C502"/>
  <c r="D502"/>
  <c r="F502"/>
  <c r="V502"/>
  <c r="W492"/>
  <c r="E492" s="1"/>
  <c r="C492"/>
  <c r="D492"/>
  <c r="V492"/>
  <c r="F492"/>
  <c r="V487"/>
  <c r="F487"/>
  <c r="C487"/>
  <c r="D487"/>
  <c r="W487"/>
  <c r="E487" s="1"/>
  <c r="F431"/>
  <c r="C431"/>
  <c r="D431"/>
  <c r="V393"/>
  <c r="F393"/>
  <c r="C393"/>
  <c r="D393"/>
  <c r="W393"/>
  <c r="E393" s="1"/>
  <c r="F367"/>
  <c r="C367"/>
  <c r="D367"/>
  <c r="F351"/>
  <c r="C351"/>
  <c r="D351"/>
  <c r="W530"/>
  <c r="E530" s="1"/>
  <c r="C530"/>
  <c r="D530"/>
  <c r="F530"/>
  <c r="V530"/>
  <c r="C524"/>
  <c r="D524"/>
  <c r="F524"/>
  <c r="V524"/>
  <c r="W514"/>
  <c r="E514" s="1"/>
  <c r="C514"/>
  <c r="D514"/>
  <c r="F514"/>
  <c r="V514"/>
  <c r="C508"/>
  <c r="D508"/>
  <c r="F508"/>
  <c r="V508"/>
  <c r="W498"/>
  <c r="E498" s="1"/>
  <c r="C498"/>
  <c r="D498"/>
  <c r="F498"/>
  <c r="V498"/>
  <c r="W476"/>
  <c r="E476" s="1"/>
  <c r="D476"/>
  <c r="C476"/>
  <c r="V476"/>
  <c r="F476"/>
  <c r="F335"/>
  <c r="C335"/>
  <c r="F331"/>
  <c r="C331"/>
  <c r="W327"/>
  <c r="E327" s="1"/>
  <c r="F327"/>
  <c r="C327"/>
  <c r="W324"/>
  <c r="E324" s="1"/>
  <c r="F323"/>
  <c r="C323"/>
  <c r="F319"/>
  <c r="C319"/>
  <c r="F315"/>
  <c r="C315"/>
  <c r="W311"/>
  <c r="E311" s="1"/>
  <c r="F311"/>
  <c r="C311"/>
  <c r="W307"/>
  <c r="E307" s="1"/>
  <c r="F307"/>
  <c r="C307"/>
  <c r="W304"/>
  <c r="E304" s="1"/>
  <c r="F303"/>
  <c r="C303"/>
  <c r="F299"/>
  <c r="C299"/>
  <c r="W295"/>
  <c r="E295" s="1"/>
  <c r="F295"/>
  <c r="C295"/>
  <c r="W291"/>
  <c r="E291" s="1"/>
  <c r="F291"/>
  <c r="C291"/>
  <c r="W287"/>
  <c r="E287" s="1"/>
  <c r="F287"/>
  <c r="C287"/>
  <c r="W283"/>
  <c r="E283" s="1"/>
  <c r="F283"/>
  <c r="C283"/>
  <c r="W279"/>
  <c r="E279" s="1"/>
  <c r="F279"/>
  <c r="C279"/>
  <c r="W275"/>
  <c r="E275" s="1"/>
  <c r="F275"/>
  <c r="C275"/>
  <c r="W271"/>
  <c r="E271" s="1"/>
  <c r="F271"/>
  <c r="C271"/>
  <c r="W267"/>
  <c r="E267" s="1"/>
  <c r="F267"/>
  <c r="C267"/>
  <c r="W263"/>
  <c r="E263" s="1"/>
  <c r="F263"/>
  <c r="C263"/>
  <c r="W259"/>
  <c r="E259" s="1"/>
  <c r="F259"/>
  <c r="C259"/>
  <c r="W255"/>
  <c r="E255" s="1"/>
  <c r="F255"/>
  <c r="C255"/>
  <c r="W251"/>
  <c r="E251" s="1"/>
  <c r="F251"/>
  <c r="C251"/>
  <c r="W247"/>
  <c r="E247" s="1"/>
  <c r="F247"/>
  <c r="C247"/>
  <c r="F243"/>
  <c r="C243"/>
  <c r="C239"/>
  <c r="F239"/>
  <c r="C235"/>
  <c r="F235"/>
  <c r="C231"/>
  <c r="F231"/>
  <c r="W227"/>
  <c r="E227" s="1"/>
  <c r="C227"/>
  <c r="F227"/>
  <c r="W223"/>
  <c r="E223" s="1"/>
  <c r="C223"/>
  <c r="F223"/>
  <c r="W219"/>
  <c r="E219" s="1"/>
  <c r="C219"/>
  <c r="F219"/>
  <c r="W215"/>
  <c r="E215" s="1"/>
  <c r="C215"/>
  <c r="F215"/>
  <c r="W211"/>
  <c r="E211" s="1"/>
  <c r="C211"/>
  <c r="F211"/>
  <c r="W207"/>
  <c r="E207" s="1"/>
  <c r="C207"/>
  <c r="F207"/>
  <c r="W203"/>
  <c r="E203" s="1"/>
  <c r="C203"/>
  <c r="F203"/>
  <c r="W199"/>
  <c r="E199" s="1"/>
  <c r="C199"/>
  <c r="F199"/>
  <c r="C195"/>
  <c r="F195"/>
  <c r="C191"/>
  <c r="F191"/>
  <c r="C187"/>
  <c r="F187"/>
  <c r="C183"/>
  <c r="F183"/>
  <c r="C179"/>
  <c r="F179"/>
  <c r="C175"/>
  <c r="F175"/>
  <c r="C171"/>
  <c r="F171"/>
  <c r="C167"/>
  <c r="F167"/>
  <c r="C163"/>
  <c r="F163"/>
  <c r="C159"/>
  <c r="F159"/>
  <c r="C155"/>
  <c r="F155"/>
  <c r="C151"/>
  <c r="F151"/>
  <c r="C147"/>
  <c r="F147"/>
  <c r="C143"/>
  <c r="F143"/>
  <c r="C139"/>
  <c r="F139"/>
  <c r="C135"/>
  <c r="F135"/>
  <c r="C131"/>
  <c r="F131"/>
  <c r="W534"/>
  <c r="E534" s="1"/>
  <c r="C534"/>
  <c r="D534"/>
  <c r="F534"/>
  <c r="V534"/>
  <c r="F399"/>
  <c r="C399"/>
  <c r="D399"/>
  <c r="C540"/>
  <c r="D540"/>
  <c r="F540"/>
  <c r="V540"/>
  <c r="V535"/>
  <c r="F535"/>
  <c r="C535"/>
  <c r="D535"/>
  <c r="W535"/>
  <c r="E535" s="1"/>
  <c r="V493"/>
  <c r="F493"/>
  <c r="C493"/>
  <c r="D493"/>
  <c r="W493"/>
  <c r="E493" s="1"/>
  <c r="V380"/>
  <c r="C380"/>
  <c r="D380"/>
  <c r="F380"/>
  <c r="F355"/>
  <c r="C355"/>
  <c r="D355"/>
  <c r="V629"/>
  <c r="F629"/>
  <c r="C629"/>
  <c r="D629"/>
  <c r="V621"/>
  <c r="F621"/>
  <c r="C621"/>
  <c r="D621"/>
  <c r="V597"/>
  <c r="F597"/>
  <c r="C597"/>
  <c r="D597"/>
  <c r="V593"/>
  <c r="F593"/>
  <c r="C593"/>
  <c r="D593"/>
  <c r="V589"/>
  <c r="F589"/>
  <c r="C589"/>
  <c r="D589"/>
  <c r="V585"/>
  <c r="F585"/>
  <c r="C585"/>
  <c r="D585"/>
  <c r="V581"/>
  <c r="F581"/>
  <c r="C581"/>
  <c r="D581"/>
  <c r="V577"/>
  <c r="F577"/>
  <c r="C577"/>
  <c r="D577"/>
  <c r="V573"/>
  <c r="F573"/>
  <c r="C573"/>
  <c r="D573"/>
  <c r="V569"/>
  <c r="F569"/>
  <c r="C569"/>
  <c r="D569"/>
  <c r="V565"/>
  <c r="F565"/>
  <c r="C565"/>
  <c r="D565"/>
  <c r="V561"/>
  <c r="F561"/>
  <c r="C561"/>
  <c r="D561"/>
  <c r="V557"/>
  <c r="F557"/>
  <c r="C557"/>
  <c r="D557"/>
  <c r="V553"/>
  <c r="F553"/>
  <c r="C553"/>
  <c r="D553"/>
  <c r="V549"/>
  <c r="F549"/>
  <c r="C549"/>
  <c r="D549"/>
  <c r="V545"/>
  <c r="F545"/>
  <c r="C545"/>
  <c r="D545"/>
  <c r="W542"/>
  <c r="E542" s="1"/>
  <c r="C542"/>
  <c r="D542"/>
  <c r="F542"/>
  <c r="V542"/>
  <c r="C536"/>
  <c r="D536"/>
  <c r="F536"/>
  <c r="V536"/>
  <c r="V531"/>
  <c r="F531"/>
  <c r="C531"/>
  <c r="D531"/>
  <c r="W531"/>
  <c r="E531" s="1"/>
  <c r="W526"/>
  <c r="E526" s="1"/>
  <c r="C526"/>
  <c r="D526"/>
  <c r="F526"/>
  <c r="V526"/>
  <c r="C520"/>
  <c r="D520"/>
  <c r="F520"/>
  <c r="V520"/>
  <c r="V515"/>
  <c r="F515"/>
  <c r="C515"/>
  <c r="D515"/>
  <c r="W515"/>
  <c r="E515" s="1"/>
  <c r="W510"/>
  <c r="E510" s="1"/>
  <c r="C510"/>
  <c r="D510"/>
  <c r="F510"/>
  <c r="V510"/>
  <c r="C504"/>
  <c r="D504"/>
  <c r="F504"/>
  <c r="V504"/>
  <c r="V499"/>
  <c r="F499"/>
  <c r="C499"/>
  <c r="D499"/>
  <c r="W499"/>
  <c r="E499" s="1"/>
  <c r="W494"/>
  <c r="E494" s="1"/>
  <c r="C494"/>
  <c r="D494"/>
  <c r="F494"/>
  <c r="V494"/>
  <c r="V489"/>
  <c r="F489"/>
  <c r="C489"/>
  <c r="D489"/>
  <c r="W489"/>
  <c r="E489" s="1"/>
  <c r="V477"/>
  <c r="F477"/>
  <c r="C477"/>
  <c r="D477"/>
  <c r="W477"/>
  <c r="E477" s="1"/>
  <c r="C470"/>
  <c r="D470"/>
  <c r="F470"/>
  <c r="V470"/>
  <c r="W470"/>
  <c r="E470" s="1"/>
  <c r="C438"/>
  <c r="D438"/>
  <c r="F438"/>
  <c r="V438"/>
  <c r="W438"/>
  <c r="E438" s="1"/>
  <c r="F415"/>
  <c r="C415"/>
  <c r="D415"/>
  <c r="V409"/>
  <c r="F409"/>
  <c r="C409"/>
  <c r="D409"/>
  <c r="W409"/>
  <c r="E409" s="1"/>
  <c r="F383"/>
  <c r="C383"/>
  <c r="D383"/>
  <c r="V377"/>
  <c r="F377"/>
  <c r="C377"/>
  <c r="D377"/>
  <c r="W377"/>
  <c r="E377" s="1"/>
  <c r="F359"/>
  <c r="C359"/>
  <c r="D359"/>
  <c r="F343"/>
  <c r="C343"/>
  <c r="D343"/>
  <c r="C276"/>
  <c r="V539"/>
  <c r="F539"/>
  <c r="C539"/>
  <c r="D539"/>
  <c r="W539"/>
  <c r="E539" s="1"/>
  <c r="V523"/>
  <c r="F523"/>
  <c r="C523"/>
  <c r="D523"/>
  <c r="W523"/>
  <c r="E523" s="1"/>
  <c r="V507"/>
  <c r="F507"/>
  <c r="C507"/>
  <c r="D507"/>
  <c r="W507"/>
  <c r="E507" s="1"/>
  <c r="C496"/>
  <c r="D496"/>
  <c r="F496"/>
  <c r="V496"/>
  <c r="D474"/>
  <c r="C474"/>
  <c r="V474"/>
  <c r="F474"/>
  <c r="C454"/>
  <c r="D454"/>
  <c r="F454"/>
  <c r="V454"/>
  <c r="W454"/>
  <c r="E454" s="1"/>
  <c r="V425"/>
  <c r="F425"/>
  <c r="C425"/>
  <c r="D425"/>
  <c r="W425"/>
  <c r="E425" s="1"/>
  <c r="V519"/>
  <c r="F519"/>
  <c r="C519"/>
  <c r="D519"/>
  <c r="W519"/>
  <c r="E519" s="1"/>
  <c r="V503"/>
  <c r="F503"/>
  <c r="C503"/>
  <c r="D503"/>
  <c r="W503"/>
  <c r="E503" s="1"/>
  <c r="W488"/>
  <c r="E488" s="1"/>
  <c r="C488"/>
  <c r="D488"/>
  <c r="V488"/>
  <c r="F488"/>
  <c r="C462"/>
  <c r="D462"/>
  <c r="F462"/>
  <c r="V462"/>
  <c r="W462"/>
  <c r="E462" s="1"/>
  <c r="C426"/>
  <c r="D426"/>
  <c r="F426"/>
  <c r="V426"/>
  <c r="W426"/>
  <c r="E426" s="1"/>
  <c r="V412"/>
  <c r="C412"/>
  <c r="D412"/>
  <c r="F412"/>
  <c r="C394"/>
  <c r="D394"/>
  <c r="F394"/>
  <c r="V394"/>
  <c r="W394"/>
  <c r="E394" s="1"/>
  <c r="F339"/>
  <c r="C339"/>
  <c r="D339"/>
  <c r="V625"/>
  <c r="F625"/>
  <c r="C625"/>
  <c r="D625"/>
  <c r="V617"/>
  <c r="F617"/>
  <c r="C617"/>
  <c r="D617"/>
  <c r="V613"/>
  <c r="F613"/>
  <c r="C613"/>
  <c r="D613"/>
  <c r="V609"/>
  <c r="F609"/>
  <c r="C609"/>
  <c r="D609"/>
  <c r="V605"/>
  <c r="F605"/>
  <c r="C605"/>
  <c r="D605"/>
  <c r="V601"/>
  <c r="F601"/>
  <c r="C601"/>
  <c r="D601"/>
  <c r="V631"/>
  <c r="F631"/>
  <c r="C631"/>
  <c r="D631"/>
  <c r="W630"/>
  <c r="E630" s="1"/>
  <c r="D630"/>
  <c r="F630"/>
  <c r="C630"/>
  <c r="D628"/>
  <c r="F628"/>
  <c r="C628"/>
  <c r="V627"/>
  <c r="F627"/>
  <c r="C627"/>
  <c r="D627"/>
  <c r="W626"/>
  <c r="E626" s="1"/>
  <c r="D626"/>
  <c r="F626"/>
  <c r="C626"/>
  <c r="D624"/>
  <c r="F624"/>
  <c r="C624"/>
  <c r="V623"/>
  <c r="F623"/>
  <c r="C623"/>
  <c r="D623"/>
  <c r="W622"/>
  <c r="E622" s="1"/>
  <c r="D622"/>
  <c r="F622"/>
  <c r="C622"/>
  <c r="D620"/>
  <c r="F620"/>
  <c r="C620"/>
  <c r="V619"/>
  <c r="F619"/>
  <c r="C619"/>
  <c r="D619"/>
  <c r="W618"/>
  <c r="E618" s="1"/>
  <c r="D618"/>
  <c r="F618"/>
  <c r="C618"/>
  <c r="D616"/>
  <c r="F616"/>
  <c r="C616"/>
  <c r="V615"/>
  <c r="F615"/>
  <c r="C615"/>
  <c r="D615"/>
  <c r="W614"/>
  <c r="E614" s="1"/>
  <c r="D614"/>
  <c r="F614"/>
  <c r="C614"/>
  <c r="D612"/>
  <c r="F612"/>
  <c r="C612"/>
  <c r="V611"/>
  <c r="F611"/>
  <c r="C611"/>
  <c r="D611"/>
  <c r="W610"/>
  <c r="E610" s="1"/>
  <c r="D610"/>
  <c r="F610"/>
  <c r="C610"/>
  <c r="D608"/>
  <c r="F608"/>
  <c r="C608"/>
  <c r="V607"/>
  <c r="F607"/>
  <c r="C607"/>
  <c r="D607"/>
  <c r="W606"/>
  <c r="E606" s="1"/>
  <c r="C606"/>
  <c r="D606"/>
  <c r="F606"/>
  <c r="C604"/>
  <c r="D604"/>
  <c r="F604"/>
  <c r="V603"/>
  <c r="F603"/>
  <c r="C603"/>
  <c r="D603"/>
  <c r="W602"/>
  <c r="E602" s="1"/>
  <c r="C602"/>
  <c r="D602"/>
  <c r="F602"/>
  <c r="C600"/>
  <c r="D600"/>
  <c r="F600"/>
  <c r="V599"/>
  <c r="F599"/>
  <c r="C599"/>
  <c r="D599"/>
  <c r="W598"/>
  <c r="E598" s="1"/>
  <c r="C598"/>
  <c r="D598"/>
  <c r="F598"/>
  <c r="C596"/>
  <c r="D596"/>
  <c r="F596"/>
  <c r="V595"/>
  <c r="F595"/>
  <c r="C595"/>
  <c r="D595"/>
  <c r="W594"/>
  <c r="E594" s="1"/>
  <c r="C594"/>
  <c r="D594"/>
  <c r="F594"/>
  <c r="C592"/>
  <c r="D592"/>
  <c r="F592"/>
  <c r="V591"/>
  <c r="F591"/>
  <c r="C591"/>
  <c r="D591"/>
  <c r="W590"/>
  <c r="E590" s="1"/>
  <c r="C590"/>
  <c r="D590"/>
  <c r="F590"/>
  <c r="C588"/>
  <c r="D588"/>
  <c r="F588"/>
  <c r="V587"/>
  <c r="F587"/>
  <c r="C587"/>
  <c r="D587"/>
  <c r="W586"/>
  <c r="E586" s="1"/>
  <c r="C586"/>
  <c r="D586"/>
  <c r="F586"/>
  <c r="C584"/>
  <c r="D584"/>
  <c r="F584"/>
  <c r="V583"/>
  <c r="F583"/>
  <c r="C583"/>
  <c r="D583"/>
  <c r="W582"/>
  <c r="E582" s="1"/>
  <c r="C582"/>
  <c r="D582"/>
  <c r="F582"/>
  <c r="C580"/>
  <c r="D580"/>
  <c r="F580"/>
  <c r="V579"/>
  <c r="F579"/>
  <c r="C579"/>
  <c r="D579"/>
  <c r="W578"/>
  <c r="E578" s="1"/>
  <c r="C578"/>
  <c r="D578"/>
  <c r="F578"/>
  <c r="C576"/>
  <c r="D576"/>
  <c r="F576"/>
  <c r="V575"/>
  <c r="F575"/>
  <c r="C575"/>
  <c r="D575"/>
  <c r="W574"/>
  <c r="E574" s="1"/>
  <c r="C574"/>
  <c r="D574"/>
  <c r="F574"/>
  <c r="C572"/>
  <c r="D572"/>
  <c r="F572"/>
  <c r="V571"/>
  <c r="F571"/>
  <c r="C571"/>
  <c r="D571"/>
  <c r="W570"/>
  <c r="E570" s="1"/>
  <c r="C570"/>
  <c r="D570"/>
  <c r="F570"/>
  <c r="C568"/>
  <c r="D568"/>
  <c r="F568"/>
  <c r="V567"/>
  <c r="F567"/>
  <c r="C567"/>
  <c r="D567"/>
  <c r="W566"/>
  <c r="E566" s="1"/>
  <c r="C566"/>
  <c r="D566"/>
  <c r="F566"/>
  <c r="C564"/>
  <c r="D564"/>
  <c r="F564"/>
  <c r="V563"/>
  <c r="F563"/>
  <c r="C563"/>
  <c r="D563"/>
  <c r="W562"/>
  <c r="E562" s="1"/>
  <c r="C562"/>
  <c r="D562"/>
  <c r="F562"/>
  <c r="C560"/>
  <c r="D560"/>
  <c r="F560"/>
  <c r="V559"/>
  <c r="F559"/>
  <c r="C559"/>
  <c r="D559"/>
  <c r="W558"/>
  <c r="E558" s="1"/>
  <c r="C558"/>
  <c r="D558"/>
  <c r="F558"/>
  <c r="C556"/>
  <c r="D556"/>
  <c r="F556"/>
  <c r="V555"/>
  <c r="F555"/>
  <c r="C555"/>
  <c r="D555"/>
  <c r="W554"/>
  <c r="E554" s="1"/>
  <c r="C554"/>
  <c r="D554"/>
  <c r="F554"/>
  <c r="C552"/>
  <c r="D552"/>
  <c r="F552"/>
  <c r="V551"/>
  <c r="F551"/>
  <c r="C551"/>
  <c r="D551"/>
  <c r="W550"/>
  <c r="E550" s="1"/>
  <c r="C550"/>
  <c r="D550"/>
  <c r="F550"/>
  <c r="C548"/>
  <c r="D548"/>
  <c r="F548"/>
  <c r="V547"/>
  <c r="F547"/>
  <c r="C547"/>
  <c r="D547"/>
  <c r="W546"/>
  <c r="E546" s="1"/>
  <c r="C546"/>
  <c r="D546"/>
  <c r="F546"/>
  <c r="C544"/>
  <c r="D544"/>
  <c r="F544"/>
  <c r="V543"/>
  <c r="F543"/>
  <c r="C543"/>
  <c r="D543"/>
  <c r="W538"/>
  <c r="E538" s="1"/>
  <c r="C538"/>
  <c r="D538"/>
  <c r="F538"/>
  <c r="V538"/>
  <c r="C532"/>
  <c r="D532"/>
  <c r="F532"/>
  <c r="V532"/>
  <c r="W528"/>
  <c r="E528" s="1"/>
  <c r="V527"/>
  <c r="F527"/>
  <c r="C527"/>
  <c r="D527"/>
  <c r="W527"/>
  <c r="E527" s="1"/>
  <c r="W522"/>
  <c r="E522" s="1"/>
  <c r="C522"/>
  <c r="D522"/>
  <c r="F522"/>
  <c r="V522"/>
  <c r="C516"/>
  <c r="D516"/>
  <c r="F516"/>
  <c r="V516"/>
  <c r="W512"/>
  <c r="E512" s="1"/>
  <c r="V511"/>
  <c r="F511"/>
  <c r="C511"/>
  <c r="D511"/>
  <c r="W511"/>
  <c r="E511" s="1"/>
  <c r="W506"/>
  <c r="E506" s="1"/>
  <c r="C506"/>
  <c r="D506"/>
  <c r="F506"/>
  <c r="V506"/>
  <c r="C500"/>
  <c r="D500"/>
  <c r="F500"/>
  <c r="V500"/>
  <c r="W496"/>
  <c r="E496" s="1"/>
  <c r="V495"/>
  <c r="F495"/>
  <c r="C495"/>
  <c r="D495"/>
  <c r="W495"/>
  <c r="E495" s="1"/>
  <c r="C490"/>
  <c r="D490"/>
  <c r="F490"/>
  <c r="V490"/>
  <c r="V483"/>
  <c r="F483"/>
  <c r="C483"/>
  <c r="D483"/>
  <c r="D478"/>
  <c r="C478"/>
  <c r="V478"/>
  <c r="F478"/>
  <c r="W474"/>
  <c r="E474" s="1"/>
  <c r="V473"/>
  <c r="F473"/>
  <c r="C473"/>
  <c r="D473"/>
  <c r="W473"/>
  <c r="E473" s="1"/>
  <c r="C446"/>
  <c r="D446"/>
  <c r="F446"/>
  <c r="V446"/>
  <c r="W446"/>
  <c r="E446" s="1"/>
  <c r="V428"/>
  <c r="C428"/>
  <c r="D428"/>
  <c r="F428"/>
  <c r="C410"/>
  <c r="D410"/>
  <c r="F410"/>
  <c r="V410"/>
  <c r="W410"/>
  <c r="E410" s="1"/>
  <c r="V396"/>
  <c r="C396"/>
  <c r="D396"/>
  <c r="F396"/>
  <c r="C378"/>
  <c r="D378"/>
  <c r="F378"/>
  <c r="V378"/>
  <c r="W378"/>
  <c r="E378" s="1"/>
  <c r="F363"/>
  <c r="C363"/>
  <c r="D363"/>
  <c r="F347"/>
  <c r="C347"/>
  <c r="D347"/>
  <c r="W472"/>
  <c r="E472" s="1"/>
  <c r="C472"/>
  <c r="D472"/>
  <c r="W468"/>
  <c r="E468" s="1"/>
  <c r="C468"/>
  <c r="D468"/>
  <c r="C466"/>
  <c r="D466"/>
  <c r="F466"/>
  <c r="V465"/>
  <c r="F465"/>
  <c r="C465"/>
  <c r="D465"/>
  <c r="W464"/>
  <c r="E464" s="1"/>
  <c r="C464"/>
  <c r="D464"/>
  <c r="W460"/>
  <c r="E460" s="1"/>
  <c r="C460"/>
  <c r="D460"/>
  <c r="C458"/>
  <c r="D458"/>
  <c r="F458"/>
  <c r="V457"/>
  <c r="F457"/>
  <c r="C457"/>
  <c r="D457"/>
  <c r="W456"/>
  <c r="E456" s="1"/>
  <c r="C456"/>
  <c r="D456"/>
  <c r="W452"/>
  <c r="E452" s="1"/>
  <c r="C452"/>
  <c r="D452"/>
  <c r="C450"/>
  <c r="D450"/>
  <c r="F450"/>
  <c r="V449"/>
  <c r="F449"/>
  <c r="C449"/>
  <c r="D449"/>
  <c r="W448"/>
  <c r="E448" s="1"/>
  <c r="C448"/>
  <c r="D448"/>
  <c r="W444"/>
  <c r="E444" s="1"/>
  <c r="C444"/>
  <c r="D444"/>
  <c r="C442"/>
  <c r="D442"/>
  <c r="F442"/>
  <c r="V441"/>
  <c r="F441"/>
  <c r="C441"/>
  <c r="D441"/>
  <c r="W440"/>
  <c r="E440" s="1"/>
  <c r="C440"/>
  <c r="D440"/>
  <c r="W436"/>
  <c r="E436" s="1"/>
  <c r="C436"/>
  <c r="D436"/>
  <c r="C434"/>
  <c r="D434"/>
  <c r="F434"/>
  <c r="V433"/>
  <c r="F433"/>
  <c r="C433"/>
  <c r="D433"/>
  <c r="F423"/>
  <c r="C423"/>
  <c r="D423"/>
  <c r="V420"/>
  <c r="C420"/>
  <c r="D420"/>
  <c r="C418"/>
  <c r="D418"/>
  <c r="F418"/>
  <c r="V417"/>
  <c r="F417"/>
  <c r="C417"/>
  <c r="D417"/>
  <c r="F407"/>
  <c r="C407"/>
  <c r="D407"/>
  <c r="V404"/>
  <c r="C404"/>
  <c r="D404"/>
  <c r="C402"/>
  <c r="D402"/>
  <c r="F402"/>
  <c r="V401"/>
  <c r="F401"/>
  <c r="C401"/>
  <c r="D401"/>
  <c r="F391"/>
  <c r="C391"/>
  <c r="D391"/>
  <c r="V388"/>
  <c r="C388"/>
  <c r="D388"/>
  <c r="C386"/>
  <c r="D386"/>
  <c r="F386"/>
  <c r="V385"/>
  <c r="F385"/>
  <c r="C385"/>
  <c r="D385"/>
  <c r="F375"/>
  <c r="C375"/>
  <c r="D375"/>
  <c r="V372"/>
  <c r="C372"/>
  <c r="D372"/>
  <c r="C370"/>
  <c r="D370"/>
  <c r="F370"/>
  <c r="V369"/>
  <c r="F369"/>
  <c r="C369"/>
  <c r="D369"/>
  <c r="W337"/>
  <c r="E337" s="1"/>
  <c r="C337"/>
  <c r="F337"/>
  <c r="W333"/>
  <c r="E333" s="1"/>
  <c r="C333"/>
  <c r="F333"/>
  <c r="W329"/>
  <c r="E329" s="1"/>
  <c r="C329"/>
  <c r="F329"/>
  <c r="C325"/>
  <c r="F325"/>
  <c r="C321"/>
  <c r="F321"/>
  <c r="C317"/>
  <c r="F317"/>
  <c r="C313"/>
  <c r="F313"/>
  <c r="C309"/>
  <c r="F309"/>
  <c r="C305"/>
  <c r="F305"/>
  <c r="C301"/>
  <c r="F301"/>
  <c r="C297"/>
  <c r="F297"/>
  <c r="C293"/>
  <c r="F293"/>
  <c r="C289"/>
  <c r="F289"/>
  <c r="C285"/>
  <c r="F285"/>
  <c r="C281"/>
  <c r="F281"/>
  <c r="C277"/>
  <c r="F277"/>
  <c r="C273"/>
  <c r="F273"/>
  <c r="C269"/>
  <c r="F269"/>
  <c r="C265"/>
  <c r="F265"/>
  <c r="C261"/>
  <c r="F261"/>
  <c r="C257"/>
  <c r="F257"/>
  <c r="C253"/>
  <c r="F253"/>
  <c r="C249"/>
  <c r="F249"/>
  <c r="C245"/>
  <c r="F245"/>
  <c r="W243"/>
  <c r="E243" s="1"/>
  <c r="F241"/>
  <c r="C241"/>
  <c r="W239"/>
  <c r="E239" s="1"/>
  <c r="F237"/>
  <c r="C237"/>
  <c r="W235"/>
  <c r="E235" s="1"/>
  <c r="F233"/>
  <c r="C233"/>
  <c r="W231"/>
  <c r="E231" s="1"/>
  <c r="F229"/>
  <c r="C229"/>
  <c r="F225"/>
  <c r="C225"/>
  <c r="F221"/>
  <c r="C221"/>
  <c r="F217"/>
  <c r="C217"/>
  <c r="F213"/>
  <c r="C213"/>
  <c r="F209"/>
  <c r="C209"/>
  <c r="F205"/>
  <c r="C205"/>
  <c r="F201"/>
  <c r="C201"/>
  <c r="W200"/>
  <c r="E200" s="1"/>
  <c r="F197"/>
  <c r="C197"/>
  <c r="F193"/>
  <c r="C193"/>
  <c r="F189"/>
  <c r="C189"/>
  <c r="F185"/>
  <c r="C185"/>
  <c r="F181"/>
  <c r="C181"/>
  <c r="F177"/>
  <c r="C177"/>
  <c r="F173"/>
  <c r="C173"/>
  <c r="F169"/>
  <c r="C169"/>
  <c r="F165"/>
  <c r="C165"/>
  <c r="F161"/>
  <c r="C161"/>
  <c r="F157"/>
  <c r="C157"/>
  <c r="F153"/>
  <c r="C153"/>
  <c r="F149"/>
  <c r="C149"/>
  <c r="F145"/>
  <c r="C145"/>
  <c r="F141"/>
  <c r="C141"/>
  <c r="F137"/>
  <c r="C137"/>
  <c r="F133"/>
  <c r="C133"/>
  <c r="F129"/>
  <c r="C129"/>
  <c r="F472"/>
  <c r="F456"/>
  <c r="F440"/>
  <c r="V541"/>
  <c r="F541"/>
  <c r="V537"/>
  <c r="F537"/>
  <c r="V533"/>
  <c r="F533"/>
  <c r="V529"/>
  <c r="F529"/>
  <c r="V525"/>
  <c r="F525"/>
  <c r="V521"/>
  <c r="F521"/>
  <c r="V517"/>
  <c r="F517"/>
  <c r="V513"/>
  <c r="F513"/>
  <c r="V509"/>
  <c r="F509"/>
  <c r="V505"/>
  <c r="F505"/>
  <c r="V501"/>
  <c r="F501"/>
  <c r="V497"/>
  <c r="F497"/>
  <c r="V491"/>
  <c r="F491"/>
  <c r="C491"/>
  <c r="W486"/>
  <c r="E486" s="1"/>
  <c r="W482"/>
  <c r="E482" s="1"/>
  <c r="F471"/>
  <c r="C471"/>
  <c r="D471"/>
  <c r="V469"/>
  <c r="F469"/>
  <c r="C469"/>
  <c r="D469"/>
  <c r="F463"/>
  <c r="C463"/>
  <c r="D463"/>
  <c r="V461"/>
  <c r="F461"/>
  <c r="C461"/>
  <c r="D461"/>
  <c r="F455"/>
  <c r="C455"/>
  <c r="D455"/>
  <c r="V453"/>
  <c r="F453"/>
  <c r="C453"/>
  <c r="D453"/>
  <c r="F447"/>
  <c r="C447"/>
  <c r="D447"/>
  <c r="V445"/>
  <c r="F445"/>
  <c r="C445"/>
  <c r="D445"/>
  <c r="F439"/>
  <c r="C439"/>
  <c r="D439"/>
  <c r="V437"/>
  <c r="F437"/>
  <c r="C437"/>
  <c r="D437"/>
  <c r="F427"/>
  <c r="C427"/>
  <c r="D427"/>
  <c r="V424"/>
  <c r="C424"/>
  <c r="D424"/>
  <c r="C422"/>
  <c r="D422"/>
  <c r="F422"/>
  <c r="V421"/>
  <c r="F421"/>
  <c r="C421"/>
  <c r="D421"/>
  <c r="F411"/>
  <c r="C411"/>
  <c r="D411"/>
  <c r="V408"/>
  <c r="C408"/>
  <c r="D408"/>
  <c r="C406"/>
  <c r="D406"/>
  <c r="F406"/>
  <c r="V405"/>
  <c r="F405"/>
  <c r="C405"/>
  <c r="D405"/>
  <c r="F395"/>
  <c r="C395"/>
  <c r="D395"/>
  <c r="V392"/>
  <c r="C392"/>
  <c r="D392"/>
  <c r="C390"/>
  <c r="D390"/>
  <c r="F390"/>
  <c r="V389"/>
  <c r="F389"/>
  <c r="C389"/>
  <c r="D389"/>
  <c r="F379"/>
  <c r="C379"/>
  <c r="D379"/>
  <c r="V376"/>
  <c r="C376"/>
  <c r="D376"/>
  <c r="C374"/>
  <c r="D374"/>
  <c r="F374"/>
  <c r="V373"/>
  <c r="F373"/>
  <c r="C373"/>
  <c r="D373"/>
  <c r="C338"/>
  <c r="F338"/>
  <c r="C334"/>
  <c r="F334"/>
  <c r="C330"/>
  <c r="C326"/>
  <c r="F326"/>
  <c r="W323"/>
  <c r="E323" s="1"/>
  <c r="C322"/>
  <c r="F322"/>
  <c r="C318"/>
  <c r="F318"/>
  <c r="W315"/>
  <c r="E315" s="1"/>
  <c r="C314"/>
  <c r="C310"/>
  <c r="F310"/>
  <c r="C306"/>
  <c r="F306"/>
  <c r="W303"/>
  <c r="E303" s="1"/>
  <c r="C302"/>
  <c r="F302"/>
  <c r="W299"/>
  <c r="E299" s="1"/>
  <c r="C298"/>
  <c r="F298"/>
  <c r="C294"/>
  <c r="F294"/>
  <c r="C290"/>
  <c r="F290"/>
  <c r="C286"/>
  <c r="F286"/>
  <c r="C282"/>
  <c r="F282"/>
  <c r="C278"/>
  <c r="F278"/>
  <c r="C274"/>
  <c r="F274"/>
  <c r="C270"/>
  <c r="F270"/>
  <c r="C266"/>
  <c r="F266"/>
  <c r="C262"/>
  <c r="F262"/>
  <c r="C258"/>
  <c r="F258"/>
  <c r="C254"/>
  <c r="F254"/>
  <c r="C250"/>
  <c r="C246"/>
  <c r="F246"/>
  <c r="C242"/>
  <c r="F242"/>
  <c r="F238"/>
  <c r="C238"/>
  <c r="F234"/>
  <c r="C234"/>
  <c r="F230"/>
  <c r="C230"/>
  <c r="F226"/>
  <c r="C226"/>
  <c r="F222"/>
  <c r="C222"/>
  <c r="F218"/>
  <c r="C218"/>
  <c r="F214"/>
  <c r="C214"/>
  <c r="F210"/>
  <c r="C210"/>
  <c r="F206"/>
  <c r="C206"/>
  <c r="F202"/>
  <c r="C202"/>
  <c r="F198"/>
  <c r="C198"/>
  <c r="W197"/>
  <c r="E197" s="1"/>
  <c r="F194"/>
  <c r="C194"/>
  <c r="W193"/>
  <c r="E193" s="1"/>
  <c r="F190"/>
  <c r="C190"/>
  <c r="F186"/>
  <c r="C186"/>
  <c r="F182"/>
  <c r="C182"/>
  <c r="F178"/>
  <c r="C178"/>
  <c r="F174"/>
  <c r="C174"/>
  <c r="F170"/>
  <c r="C170"/>
  <c r="F166"/>
  <c r="C166"/>
  <c r="F162"/>
  <c r="C162"/>
  <c r="F158"/>
  <c r="C158"/>
  <c r="F154"/>
  <c r="C154"/>
  <c r="F150"/>
  <c r="C150"/>
  <c r="F146"/>
  <c r="C146"/>
  <c r="W145"/>
  <c r="E145" s="1"/>
  <c r="F142"/>
  <c r="C142"/>
  <c r="W141"/>
  <c r="E141" s="1"/>
  <c r="F138"/>
  <c r="C138"/>
  <c r="W137"/>
  <c r="E137" s="1"/>
  <c r="F134"/>
  <c r="C134"/>
  <c r="W133"/>
  <c r="E133" s="1"/>
  <c r="F130"/>
  <c r="C130"/>
  <c r="D541"/>
  <c r="D537"/>
  <c r="D533"/>
  <c r="D529"/>
  <c r="D525"/>
  <c r="D521"/>
  <c r="D517"/>
  <c r="D513"/>
  <c r="D509"/>
  <c r="D505"/>
  <c r="D501"/>
  <c r="D497"/>
  <c r="F468"/>
  <c r="F452"/>
  <c r="F436"/>
  <c r="F420"/>
  <c r="F404"/>
  <c r="F388"/>
  <c r="F372"/>
  <c r="C541"/>
  <c r="C537"/>
  <c r="C533"/>
  <c r="C529"/>
  <c r="C525"/>
  <c r="C521"/>
  <c r="C517"/>
  <c r="C513"/>
  <c r="C509"/>
  <c r="C505"/>
  <c r="C501"/>
  <c r="C497"/>
  <c r="F464"/>
  <c r="F448"/>
  <c r="F330"/>
  <c r="C486"/>
  <c r="D486"/>
  <c r="V485"/>
  <c r="F485"/>
  <c r="C485"/>
  <c r="W484"/>
  <c r="E484" s="1"/>
  <c r="C484"/>
  <c r="D484"/>
  <c r="C482"/>
  <c r="D482"/>
  <c r="V481"/>
  <c r="F481"/>
  <c r="C481"/>
  <c r="W480"/>
  <c r="E480" s="1"/>
  <c r="C480"/>
  <c r="D480"/>
  <c r="V479"/>
  <c r="F479"/>
  <c r="C479"/>
  <c r="V475"/>
  <c r="F475"/>
  <c r="C475"/>
  <c r="D475"/>
  <c r="V472"/>
  <c r="V467"/>
  <c r="F467"/>
  <c r="C467"/>
  <c r="D467"/>
  <c r="V466"/>
  <c r="W465"/>
  <c r="E465" s="1"/>
  <c r="V464"/>
  <c r="V459"/>
  <c r="F459"/>
  <c r="C459"/>
  <c r="D459"/>
  <c r="V458"/>
  <c r="W457"/>
  <c r="E457" s="1"/>
  <c r="V456"/>
  <c r="V451"/>
  <c r="F451"/>
  <c r="C451"/>
  <c r="D451"/>
  <c r="V450"/>
  <c r="W449"/>
  <c r="E449" s="1"/>
  <c r="V448"/>
  <c r="V443"/>
  <c r="F443"/>
  <c r="C443"/>
  <c r="D443"/>
  <c r="V442"/>
  <c r="W441"/>
  <c r="E441" s="1"/>
  <c r="V440"/>
  <c r="V435"/>
  <c r="F435"/>
  <c r="C435"/>
  <c r="D435"/>
  <c r="V434"/>
  <c r="W433"/>
  <c r="E433" s="1"/>
  <c r="C432"/>
  <c r="D432"/>
  <c r="C430"/>
  <c r="D430"/>
  <c r="F430"/>
  <c r="V429"/>
  <c r="F429"/>
  <c r="C429"/>
  <c r="D429"/>
  <c r="F419"/>
  <c r="C419"/>
  <c r="D419"/>
  <c r="V418"/>
  <c r="W417"/>
  <c r="E417" s="1"/>
  <c r="V416"/>
  <c r="C416"/>
  <c r="D416"/>
  <c r="C414"/>
  <c r="D414"/>
  <c r="F414"/>
  <c r="V413"/>
  <c r="F413"/>
  <c r="C413"/>
  <c r="D413"/>
  <c r="F403"/>
  <c r="C403"/>
  <c r="D403"/>
  <c r="V402"/>
  <c r="W401"/>
  <c r="E401" s="1"/>
  <c r="V400"/>
  <c r="C400"/>
  <c r="D400"/>
  <c r="C398"/>
  <c r="D398"/>
  <c r="F398"/>
  <c r="V397"/>
  <c r="F397"/>
  <c r="C397"/>
  <c r="D397"/>
  <c r="F387"/>
  <c r="C387"/>
  <c r="D387"/>
  <c r="V386"/>
  <c r="W385"/>
  <c r="E385" s="1"/>
  <c r="V384"/>
  <c r="C384"/>
  <c r="D384"/>
  <c r="C382"/>
  <c r="D382"/>
  <c r="F382"/>
  <c r="V381"/>
  <c r="F381"/>
  <c r="C381"/>
  <c r="D381"/>
  <c r="F371"/>
  <c r="C371"/>
  <c r="D371"/>
  <c r="V370"/>
  <c r="W369"/>
  <c r="E369" s="1"/>
  <c r="V368"/>
  <c r="C368"/>
  <c r="D368"/>
  <c r="C366"/>
  <c r="D366"/>
  <c r="F366"/>
  <c r="V365"/>
  <c r="F365"/>
  <c r="C365"/>
  <c r="D365"/>
  <c r="W364"/>
  <c r="E364" s="1"/>
  <c r="C364"/>
  <c r="D364"/>
  <c r="C362"/>
  <c r="D362"/>
  <c r="F362"/>
  <c r="V361"/>
  <c r="F361"/>
  <c r="C361"/>
  <c r="D361"/>
  <c r="W360"/>
  <c r="E360" s="1"/>
  <c r="C360"/>
  <c r="D360"/>
  <c r="C358"/>
  <c r="D358"/>
  <c r="F358"/>
  <c r="V357"/>
  <c r="F357"/>
  <c r="C357"/>
  <c r="D357"/>
  <c r="W356"/>
  <c r="E356" s="1"/>
  <c r="C356"/>
  <c r="D356"/>
  <c r="C354"/>
  <c r="D354"/>
  <c r="F354"/>
  <c r="V353"/>
  <c r="F353"/>
  <c r="C353"/>
  <c r="D353"/>
  <c r="W352"/>
  <c r="E352" s="1"/>
  <c r="C352"/>
  <c r="D352"/>
  <c r="C350"/>
  <c r="D350"/>
  <c r="F350"/>
  <c r="V349"/>
  <c r="F349"/>
  <c r="C349"/>
  <c r="D349"/>
  <c r="W348"/>
  <c r="E348" s="1"/>
  <c r="C348"/>
  <c r="D348"/>
  <c r="C346"/>
  <c r="D346"/>
  <c r="F346"/>
  <c r="V345"/>
  <c r="F345"/>
  <c r="C345"/>
  <c r="D345"/>
  <c r="W344"/>
  <c r="E344" s="1"/>
  <c r="C344"/>
  <c r="D344"/>
  <c r="C342"/>
  <c r="D342"/>
  <c r="F342"/>
  <c r="V341"/>
  <c r="F341"/>
  <c r="C341"/>
  <c r="D341"/>
  <c r="W340"/>
  <c r="E340" s="1"/>
  <c r="C340"/>
  <c r="D340"/>
  <c r="F336"/>
  <c r="C336"/>
  <c r="F332"/>
  <c r="C332"/>
  <c r="C328"/>
  <c r="F328"/>
  <c r="F324"/>
  <c r="C324"/>
  <c r="W321"/>
  <c r="E321" s="1"/>
  <c r="F320"/>
  <c r="C320"/>
  <c r="W316"/>
  <c r="E316" s="1"/>
  <c r="F316"/>
  <c r="C316"/>
  <c r="W312"/>
  <c r="E312" s="1"/>
  <c r="F312"/>
  <c r="C312"/>
  <c r="F308"/>
  <c r="C308"/>
  <c r="F304"/>
  <c r="C304"/>
  <c r="W300"/>
  <c r="E300" s="1"/>
  <c r="F300"/>
  <c r="C300"/>
  <c r="W296"/>
  <c r="E296" s="1"/>
  <c r="F296"/>
  <c r="C296"/>
  <c r="F292"/>
  <c r="C292"/>
  <c r="F288"/>
  <c r="C288"/>
  <c r="F284"/>
  <c r="C284"/>
  <c r="F280"/>
  <c r="C280"/>
  <c r="F276"/>
  <c r="F272"/>
  <c r="C272"/>
  <c r="F268"/>
  <c r="C268"/>
  <c r="F264"/>
  <c r="C264"/>
  <c r="F260"/>
  <c r="C260"/>
  <c r="F256"/>
  <c r="C256"/>
  <c r="F252"/>
  <c r="C252"/>
  <c r="F248"/>
  <c r="C248"/>
  <c r="W244"/>
  <c r="E244" s="1"/>
  <c r="F244"/>
  <c r="C244"/>
  <c r="W240"/>
  <c r="E240" s="1"/>
  <c r="C240"/>
  <c r="F240"/>
  <c r="W236"/>
  <c r="E236" s="1"/>
  <c r="C236"/>
  <c r="F236"/>
  <c r="W232"/>
  <c r="E232" s="1"/>
  <c r="C232"/>
  <c r="F232"/>
  <c r="C228"/>
  <c r="F228"/>
  <c r="W224"/>
  <c r="E224" s="1"/>
  <c r="C224"/>
  <c r="F224"/>
  <c r="W220"/>
  <c r="E220" s="1"/>
  <c r="C220"/>
  <c r="F220"/>
  <c r="W216"/>
  <c r="E216" s="1"/>
  <c r="C216"/>
  <c r="F216"/>
  <c r="W212"/>
  <c r="E212" s="1"/>
  <c r="C212"/>
  <c r="F212"/>
  <c r="W208"/>
  <c r="E208" s="1"/>
  <c r="C208"/>
  <c r="F208"/>
  <c r="W204"/>
  <c r="E204" s="1"/>
  <c r="C204"/>
  <c r="F204"/>
  <c r="C200"/>
  <c r="F200"/>
  <c r="W196"/>
  <c r="E196" s="1"/>
  <c r="C196"/>
  <c r="F196"/>
  <c r="W192"/>
  <c r="E192" s="1"/>
  <c r="C192"/>
  <c r="F192"/>
  <c r="W189"/>
  <c r="E189" s="1"/>
  <c r="W188"/>
  <c r="E188" s="1"/>
  <c r="C188"/>
  <c r="F188"/>
  <c r="W185"/>
  <c r="E185" s="1"/>
  <c r="W184"/>
  <c r="E184" s="1"/>
  <c r="C184"/>
  <c r="F184"/>
  <c r="W181"/>
  <c r="E181" s="1"/>
  <c r="W180"/>
  <c r="E180" s="1"/>
  <c r="C180"/>
  <c r="F180"/>
  <c r="W177"/>
  <c r="E177" s="1"/>
  <c r="W176"/>
  <c r="E176" s="1"/>
  <c r="C176"/>
  <c r="F176"/>
  <c r="W173"/>
  <c r="E173" s="1"/>
  <c r="W172"/>
  <c r="E172" s="1"/>
  <c r="C172"/>
  <c r="F172"/>
  <c r="W169"/>
  <c r="E169" s="1"/>
  <c r="W168"/>
  <c r="E168" s="1"/>
  <c r="C168"/>
  <c r="F168"/>
  <c r="W165"/>
  <c r="E165" s="1"/>
  <c r="W164"/>
  <c r="E164" s="1"/>
  <c r="C164"/>
  <c r="F164"/>
  <c r="W161"/>
  <c r="E161" s="1"/>
  <c r="W160"/>
  <c r="E160" s="1"/>
  <c r="C160"/>
  <c r="F160"/>
  <c r="W157"/>
  <c r="E157" s="1"/>
  <c r="W156"/>
  <c r="E156" s="1"/>
  <c r="C156"/>
  <c r="F156"/>
  <c r="W153"/>
  <c r="E153" s="1"/>
  <c r="W152"/>
  <c r="E152" s="1"/>
  <c r="C152"/>
  <c r="F152"/>
  <c r="W149"/>
  <c r="E149" s="1"/>
  <c r="W148"/>
  <c r="E148" s="1"/>
  <c r="C148"/>
  <c r="F148"/>
  <c r="W144"/>
  <c r="E144" s="1"/>
  <c r="C144"/>
  <c r="F144"/>
  <c r="W140"/>
  <c r="E140" s="1"/>
  <c r="C140"/>
  <c r="F140"/>
  <c r="W136"/>
  <c r="E136" s="1"/>
  <c r="C136"/>
  <c r="F136"/>
  <c r="W132"/>
  <c r="E132" s="1"/>
  <c r="C132"/>
  <c r="F132"/>
  <c r="D491"/>
  <c r="D479"/>
  <c r="F460"/>
  <c r="F444"/>
  <c r="F364"/>
  <c r="F348"/>
  <c r="F250"/>
  <c r="D129"/>
  <c r="D220"/>
  <c r="D200"/>
  <c r="D189"/>
  <c r="D187"/>
  <c r="D181"/>
  <c r="D175"/>
  <c r="D171"/>
  <c r="D165"/>
  <c r="D163"/>
  <c r="D161"/>
  <c r="D159"/>
  <c r="D149"/>
  <c r="D143"/>
  <c r="D139"/>
  <c r="D137"/>
  <c r="D135"/>
  <c r="D133"/>
  <c r="D131"/>
  <c r="D223"/>
  <c r="D219"/>
  <c r="D215"/>
  <c r="D211"/>
  <c r="D207"/>
  <c r="D203"/>
  <c r="D199"/>
  <c r="D196"/>
  <c r="D192"/>
  <c r="D188"/>
  <c r="D184"/>
  <c r="D180"/>
  <c r="D176"/>
  <c r="D172"/>
  <c r="D168"/>
  <c r="D164"/>
  <c r="D160"/>
  <c r="D156"/>
  <c r="D152"/>
  <c r="D148"/>
  <c r="D144"/>
  <c r="D140"/>
  <c r="D136"/>
  <c r="D132"/>
  <c r="D224"/>
  <c r="D208"/>
  <c r="D204"/>
  <c r="D197"/>
  <c r="D195"/>
  <c r="D193"/>
  <c r="D191"/>
  <c r="D179"/>
  <c r="D173"/>
  <c r="D167"/>
  <c r="D155"/>
  <c r="D145"/>
  <c r="D141"/>
  <c r="D216"/>
  <c r="D212"/>
  <c r="D185"/>
  <c r="D183"/>
  <c r="D177"/>
  <c r="D169"/>
  <c r="D157"/>
  <c r="D153"/>
  <c r="D151"/>
  <c r="D147"/>
  <c r="D320"/>
  <c r="D308"/>
  <c r="D292"/>
  <c r="D288"/>
  <c r="D280"/>
  <c r="D272"/>
  <c r="D264"/>
  <c r="D256"/>
  <c r="D248"/>
  <c r="D228"/>
  <c r="D257"/>
  <c r="D253"/>
  <c r="D249"/>
  <c r="D245"/>
  <c r="D241"/>
  <c r="D237"/>
  <c r="D233"/>
  <c r="D229"/>
  <c r="D284"/>
  <c r="D276"/>
  <c r="D268"/>
  <c r="D260"/>
  <c r="D252"/>
  <c r="D326"/>
  <c r="D324"/>
  <c r="D322"/>
  <c r="D315"/>
  <c r="D304"/>
  <c r="D299"/>
  <c r="D289"/>
  <c r="D285"/>
  <c r="D281"/>
  <c r="D277"/>
  <c r="D273"/>
  <c r="D269"/>
  <c r="D265"/>
  <c r="D261"/>
  <c r="D316"/>
  <c r="D311"/>
  <c r="D300"/>
  <c r="D295"/>
  <c r="D323"/>
  <c r="D321"/>
  <c r="D319"/>
  <c r="D303"/>
  <c r="D244"/>
  <c r="D240"/>
  <c r="D236"/>
  <c r="D232"/>
  <c r="D312"/>
  <c r="D307"/>
  <c r="D296"/>
  <c r="D291"/>
  <c r="D287"/>
  <c r="D283"/>
  <c r="D279"/>
  <c r="D275"/>
  <c r="D271"/>
  <c r="D267"/>
  <c r="D263"/>
  <c r="D259"/>
  <c r="D255"/>
  <c r="D251"/>
  <c r="D247"/>
  <c r="D243"/>
  <c r="D239"/>
  <c r="D235"/>
  <c r="D231"/>
  <c r="D227"/>
  <c r="D336"/>
  <c r="D328"/>
  <c r="D332"/>
  <c r="D338"/>
  <c r="D334"/>
  <c r="D330"/>
  <c r="D337"/>
  <c r="D333"/>
  <c r="D329"/>
  <c r="D327"/>
  <c r="W338"/>
  <c r="E338" s="1"/>
  <c r="W334"/>
  <c r="E334" s="1"/>
  <c r="W330"/>
  <c r="E330" s="1"/>
  <c r="W336"/>
  <c r="E336" s="1"/>
  <c r="W332"/>
  <c r="E332" s="1"/>
  <c r="W328"/>
  <c r="E328" s="1"/>
  <c r="W320"/>
  <c r="E320" s="1"/>
  <c r="W318"/>
  <c r="E318" s="1"/>
  <c r="W308"/>
  <c r="E308" s="1"/>
  <c r="W292"/>
  <c r="E292" s="1"/>
  <c r="W288"/>
  <c r="E288" s="1"/>
  <c r="W284"/>
  <c r="E284" s="1"/>
  <c r="W280"/>
  <c r="E280" s="1"/>
  <c r="W276"/>
  <c r="E276" s="1"/>
  <c r="W272"/>
  <c r="E272" s="1"/>
  <c r="W268"/>
  <c r="E268" s="1"/>
  <c r="W264"/>
  <c r="E264" s="1"/>
  <c r="W260"/>
  <c r="E260" s="1"/>
  <c r="W256"/>
  <c r="E256" s="1"/>
  <c r="W252"/>
  <c r="E252" s="1"/>
  <c r="W248"/>
  <c r="E248" s="1"/>
  <c r="W228"/>
  <c r="E228" s="1"/>
  <c r="W326"/>
  <c r="E326" s="1"/>
  <c r="W322"/>
  <c r="E322" s="1"/>
  <c r="W289"/>
  <c r="E289" s="1"/>
  <c r="W285"/>
  <c r="E285" s="1"/>
  <c r="W281"/>
  <c r="E281" s="1"/>
  <c r="W277"/>
  <c r="E277" s="1"/>
  <c r="W273"/>
  <c r="E273" s="1"/>
  <c r="W269"/>
  <c r="E269" s="1"/>
  <c r="W265"/>
  <c r="E265" s="1"/>
  <c r="W261"/>
  <c r="E261" s="1"/>
  <c r="W257"/>
  <c r="E257" s="1"/>
  <c r="W253"/>
  <c r="E253" s="1"/>
  <c r="W249"/>
  <c r="E249" s="1"/>
  <c r="W245"/>
  <c r="E245" s="1"/>
  <c r="W241"/>
  <c r="E241" s="1"/>
  <c r="W237"/>
  <c r="E237" s="1"/>
  <c r="W233"/>
  <c r="E233" s="1"/>
  <c r="W229"/>
  <c r="E229" s="1"/>
  <c r="W225"/>
  <c r="E225" s="1"/>
  <c r="W209"/>
  <c r="E209" s="1"/>
  <c r="W195"/>
  <c r="E195" s="1"/>
  <c r="W191"/>
  <c r="E191" s="1"/>
  <c r="W187"/>
  <c r="E187" s="1"/>
  <c r="W183"/>
  <c r="E183" s="1"/>
  <c r="W179"/>
  <c r="E179" s="1"/>
  <c r="W175"/>
  <c r="E175" s="1"/>
  <c r="W171"/>
  <c r="E171" s="1"/>
  <c r="W167"/>
  <c r="E167" s="1"/>
  <c r="W163"/>
  <c r="E163" s="1"/>
  <c r="W159"/>
  <c r="E159" s="1"/>
  <c r="W155"/>
  <c r="E155" s="1"/>
  <c r="W151"/>
  <c r="E151" s="1"/>
  <c r="W147"/>
  <c r="E147" s="1"/>
  <c r="W143"/>
  <c r="E143" s="1"/>
  <c r="W139"/>
  <c r="E139" s="1"/>
  <c r="W135"/>
  <c r="E135" s="1"/>
  <c r="W217"/>
  <c r="E217" s="1"/>
  <c r="W213"/>
  <c r="E213" s="1"/>
  <c r="W129"/>
  <c r="E129" s="1"/>
  <c r="W221"/>
  <c r="E221" s="1"/>
  <c r="W205"/>
  <c r="E205" s="1"/>
  <c r="W201"/>
  <c r="E201" s="1"/>
  <c r="W128"/>
  <c r="V432"/>
  <c r="W432"/>
  <c r="E432" s="1"/>
  <c r="V403"/>
  <c r="W403"/>
  <c r="E403" s="1"/>
  <c r="V387"/>
  <c r="W387"/>
  <c r="E387" s="1"/>
  <c r="V371"/>
  <c r="W371"/>
  <c r="E371" s="1"/>
  <c r="W306"/>
  <c r="E306" s="1"/>
  <c r="W278"/>
  <c r="E278" s="1"/>
  <c r="W270"/>
  <c r="E270" s="1"/>
  <c r="W266"/>
  <c r="E266" s="1"/>
  <c r="W262"/>
  <c r="E262" s="1"/>
  <c r="W254"/>
  <c r="E254" s="1"/>
  <c r="W226"/>
  <c r="E226" s="1"/>
  <c r="W218"/>
  <c r="E218" s="1"/>
  <c r="W210"/>
  <c r="E210" s="1"/>
  <c r="W202"/>
  <c r="E202" s="1"/>
  <c r="W194"/>
  <c r="E194" s="1"/>
  <c r="W190"/>
  <c r="E190" s="1"/>
  <c r="W186"/>
  <c r="E186" s="1"/>
  <c r="W170"/>
  <c r="E170" s="1"/>
  <c r="W158"/>
  <c r="E158" s="1"/>
  <c r="W154"/>
  <c r="E154" s="1"/>
  <c r="W150"/>
  <c r="E150" s="1"/>
  <c r="W146"/>
  <c r="E146" s="1"/>
  <c r="W138"/>
  <c r="E138" s="1"/>
  <c r="W134"/>
  <c r="E134" s="1"/>
  <c r="V423"/>
  <c r="W423"/>
  <c r="E423" s="1"/>
  <c r="V407"/>
  <c r="W407"/>
  <c r="E407" s="1"/>
  <c r="V391"/>
  <c r="W391"/>
  <c r="E391" s="1"/>
  <c r="V375"/>
  <c r="W375"/>
  <c r="E375" s="1"/>
  <c r="W313"/>
  <c r="E313" s="1"/>
  <c r="W310"/>
  <c r="E310" s="1"/>
  <c r="W297"/>
  <c r="E297" s="1"/>
  <c r="W294"/>
  <c r="E294" s="1"/>
  <c r="V419"/>
  <c r="W419"/>
  <c r="E419" s="1"/>
  <c r="W290"/>
  <c r="E290" s="1"/>
  <c r="W286"/>
  <c r="E286" s="1"/>
  <c r="W282"/>
  <c r="E282" s="1"/>
  <c r="W274"/>
  <c r="E274" s="1"/>
  <c r="W250"/>
  <c r="E250" s="1"/>
  <c r="W230"/>
  <c r="E230" s="1"/>
  <c r="W222"/>
  <c r="E222" s="1"/>
  <c r="W214"/>
  <c r="E214" s="1"/>
  <c r="W206"/>
  <c r="E206" s="1"/>
  <c r="W198"/>
  <c r="E198" s="1"/>
  <c r="W174"/>
  <c r="E174" s="1"/>
  <c r="W166"/>
  <c r="E166" s="1"/>
  <c r="W162"/>
  <c r="E162" s="1"/>
  <c r="W617"/>
  <c r="E617" s="1"/>
  <c r="W609"/>
  <c r="E609" s="1"/>
  <c r="W605"/>
  <c r="E605" s="1"/>
  <c r="W601"/>
  <c r="E601" s="1"/>
  <c r="W597"/>
  <c r="E597" s="1"/>
  <c r="W593"/>
  <c r="E593" s="1"/>
  <c r="W589"/>
  <c r="E589" s="1"/>
  <c r="W585"/>
  <c r="E585" s="1"/>
  <c r="W581"/>
  <c r="E581" s="1"/>
  <c r="W577"/>
  <c r="E577" s="1"/>
  <c r="W573"/>
  <c r="E573" s="1"/>
  <c r="W569"/>
  <c r="E569" s="1"/>
  <c r="W565"/>
  <c r="E565" s="1"/>
  <c r="W561"/>
  <c r="E561" s="1"/>
  <c r="W557"/>
  <c r="E557" s="1"/>
  <c r="W553"/>
  <c r="E553" s="1"/>
  <c r="W549"/>
  <c r="E549" s="1"/>
  <c r="W545"/>
  <c r="E545" s="1"/>
  <c r="W541"/>
  <c r="E541" s="1"/>
  <c r="W537"/>
  <c r="E537" s="1"/>
  <c r="W533"/>
  <c r="E533" s="1"/>
  <c r="W529"/>
  <c r="E529" s="1"/>
  <c r="W525"/>
  <c r="E525" s="1"/>
  <c r="W521"/>
  <c r="E521" s="1"/>
  <c r="W517"/>
  <c r="E517" s="1"/>
  <c r="W513"/>
  <c r="E513" s="1"/>
  <c r="W509"/>
  <c r="E509" s="1"/>
  <c r="W505"/>
  <c r="E505" s="1"/>
  <c r="W501"/>
  <c r="E501" s="1"/>
  <c r="W497"/>
  <c r="E497" s="1"/>
  <c r="W491"/>
  <c r="E491" s="1"/>
  <c r="W483"/>
  <c r="E483" s="1"/>
  <c r="W475"/>
  <c r="E475" s="1"/>
  <c r="W469"/>
  <c r="E469" s="1"/>
  <c r="V468"/>
  <c r="W467"/>
  <c r="E467" s="1"/>
  <c r="W461"/>
  <c r="E461" s="1"/>
  <c r="V460"/>
  <c r="W459"/>
  <c r="E459" s="1"/>
  <c r="W453"/>
  <c r="E453" s="1"/>
  <c r="V452"/>
  <c r="W451"/>
  <c r="E451" s="1"/>
  <c r="W445"/>
  <c r="E445" s="1"/>
  <c r="V444"/>
  <c r="W443"/>
  <c r="E443" s="1"/>
  <c r="W437"/>
  <c r="E437" s="1"/>
  <c r="V436"/>
  <c r="W435"/>
  <c r="E435" s="1"/>
  <c r="V427"/>
  <c r="W427"/>
  <c r="E427" s="1"/>
  <c r="V411"/>
  <c r="W411"/>
  <c r="E411" s="1"/>
  <c r="V395"/>
  <c r="W395"/>
  <c r="E395" s="1"/>
  <c r="V379"/>
  <c r="W379"/>
  <c r="E379" s="1"/>
  <c r="W317"/>
  <c r="E317" s="1"/>
  <c r="W314"/>
  <c r="E314" s="1"/>
  <c r="W301"/>
  <c r="E301" s="1"/>
  <c r="W298"/>
  <c r="E298" s="1"/>
  <c r="W309"/>
  <c r="E309" s="1"/>
  <c r="W293"/>
  <c r="E293" s="1"/>
  <c r="W258"/>
  <c r="E258" s="1"/>
  <c r="W246"/>
  <c r="E246" s="1"/>
  <c r="W242"/>
  <c r="E242" s="1"/>
  <c r="W238"/>
  <c r="E238" s="1"/>
  <c r="W234"/>
  <c r="E234" s="1"/>
  <c r="W182"/>
  <c r="E182" s="1"/>
  <c r="W178"/>
  <c r="E178" s="1"/>
  <c r="W142"/>
  <c r="E142" s="1"/>
  <c r="W629"/>
  <c r="E629" s="1"/>
  <c r="W625"/>
  <c r="E625" s="1"/>
  <c r="W621"/>
  <c r="E621" s="1"/>
  <c r="W613"/>
  <c r="E613" s="1"/>
  <c r="V431"/>
  <c r="W431"/>
  <c r="E431" s="1"/>
  <c r="V415"/>
  <c r="W415"/>
  <c r="E415" s="1"/>
  <c r="V399"/>
  <c r="W399"/>
  <c r="E399" s="1"/>
  <c r="V383"/>
  <c r="W383"/>
  <c r="E383" s="1"/>
  <c r="V367"/>
  <c r="W367"/>
  <c r="E367" s="1"/>
  <c r="V363"/>
  <c r="W363"/>
  <c r="E363" s="1"/>
  <c r="V359"/>
  <c r="W359"/>
  <c r="E359" s="1"/>
  <c r="V355"/>
  <c r="W355"/>
  <c r="E355" s="1"/>
  <c r="V351"/>
  <c r="W351"/>
  <c r="E351" s="1"/>
  <c r="V347"/>
  <c r="W347"/>
  <c r="E347" s="1"/>
  <c r="V343"/>
  <c r="W343"/>
  <c r="E343" s="1"/>
  <c r="V339"/>
  <c r="W339"/>
  <c r="E339" s="1"/>
  <c r="W335"/>
  <c r="E335" s="1"/>
  <c r="W331"/>
  <c r="E331" s="1"/>
  <c r="W325"/>
  <c r="E325" s="1"/>
  <c r="W305"/>
  <c r="E305" s="1"/>
  <c r="W302"/>
  <c r="E302" s="1"/>
  <c r="W428"/>
  <c r="E428" s="1"/>
  <c r="W424"/>
  <c r="E424" s="1"/>
  <c r="W420"/>
  <c r="E420" s="1"/>
  <c r="W416"/>
  <c r="E416" s="1"/>
  <c r="W412"/>
  <c r="E412" s="1"/>
  <c r="W408"/>
  <c r="E408" s="1"/>
  <c r="W404"/>
  <c r="E404" s="1"/>
  <c r="W400"/>
  <c r="E400" s="1"/>
  <c r="W396"/>
  <c r="E396" s="1"/>
  <c r="W392"/>
  <c r="E392" s="1"/>
  <c r="W388"/>
  <c r="E388" s="1"/>
  <c r="W384"/>
  <c r="E384" s="1"/>
  <c r="W380"/>
  <c r="E380" s="1"/>
  <c r="W376"/>
  <c r="E376" s="1"/>
  <c r="W372"/>
  <c r="E372" s="1"/>
  <c r="W368"/>
  <c r="E368" s="1"/>
  <c r="W319"/>
  <c r="E319" s="1"/>
  <c r="W130"/>
  <c r="E130" s="1"/>
  <c r="W131"/>
  <c r="E131" s="1"/>
  <c r="W127"/>
  <c r="V309"/>
  <c r="V174"/>
  <c r="V242"/>
  <c r="V282"/>
  <c r="V258"/>
  <c r="V230"/>
  <c r="V130"/>
  <c r="V226"/>
  <c r="V214"/>
  <c r="V297"/>
  <c r="V166"/>
  <c r="V305"/>
  <c r="V250"/>
  <c r="V190"/>
  <c r="V298"/>
  <c r="V246"/>
  <c r="V213"/>
  <c r="V162"/>
  <c r="V335"/>
  <c r="V201"/>
  <c r="V198"/>
  <c r="V182"/>
  <c r="V301"/>
  <c r="V205"/>
  <c r="V314"/>
  <c r="V142"/>
  <c r="V210"/>
  <c r="V154"/>
  <c r="V331"/>
  <c r="V306"/>
  <c r="V318"/>
  <c r="V270"/>
  <c r="V290"/>
  <c r="V317"/>
  <c r="V266"/>
  <c r="V202"/>
  <c r="V150"/>
  <c r="V302"/>
  <c r="V278"/>
  <c r="V222"/>
  <c r="V310"/>
  <c r="V325"/>
  <c r="V146"/>
  <c r="V158"/>
  <c r="V186"/>
  <c r="V293"/>
  <c r="V262"/>
  <c r="V274"/>
  <c r="V209"/>
  <c r="V234"/>
  <c r="V221"/>
  <c r="V225"/>
  <c r="V238"/>
  <c r="V294"/>
  <c r="V170"/>
  <c r="V218"/>
  <c r="V254"/>
  <c r="V194"/>
  <c r="V134"/>
  <c r="V313"/>
  <c r="V217"/>
  <c r="V138"/>
  <c r="V206"/>
  <c r="V178"/>
  <c r="V286"/>
  <c r="D142" l="1"/>
  <c r="D182"/>
  <c r="D162"/>
  <c r="D174"/>
  <c r="D206"/>
  <c r="D222"/>
  <c r="D134"/>
  <c r="D146"/>
  <c r="D154"/>
  <c r="D170"/>
  <c r="D190"/>
  <c r="D202"/>
  <c r="D218"/>
  <c r="D201"/>
  <c r="D217"/>
  <c r="D205"/>
  <c r="D221"/>
  <c r="D213"/>
  <c r="D130"/>
  <c r="D178"/>
  <c r="D166"/>
  <c r="D198"/>
  <c r="D214"/>
  <c r="D138"/>
  <c r="D150"/>
  <c r="D158"/>
  <c r="D186"/>
  <c r="D194"/>
  <c r="D210"/>
  <c r="D226"/>
  <c r="D209"/>
  <c r="D225"/>
  <c r="D325"/>
  <c r="D250"/>
  <c r="D290"/>
  <c r="D270"/>
  <c r="D318"/>
  <c r="D305"/>
  <c r="D234"/>
  <c r="D242"/>
  <c r="D258"/>
  <c r="D317"/>
  <c r="D297"/>
  <c r="D313"/>
  <c r="D302"/>
  <c r="D301"/>
  <c r="D282"/>
  <c r="D310"/>
  <c r="D306"/>
  <c r="D293"/>
  <c r="D230"/>
  <c r="D274"/>
  <c r="D286"/>
  <c r="D254"/>
  <c r="D266"/>
  <c r="D278"/>
  <c r="D309"/>
  <c r="D294"/>
  <c r="D262"/>
  <c r="D238"/>
  <c r="D246"/>
  <c r="D298"/>
  <c r="D314"/>
  <c r="D335"/>
  <c r="D331"/>
  <c r="E127" l="1"/>
  <c r="E128"/>
  <c r="A26" l="1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27"/>
  <c r="U27"/>
  <c r="X27"/>
  <c r="Y27"/>
  <c r="Z27"/>
  <c r="AA27"/>
  <c r="AB27"/>
  <c r="AC27"/>
  <c r="AD27"/>
  <c r="AE27"/>
  <c r="AF27"/>
  <c r="AH27"/>
  <c r="AI27"/>
  <c r="AJ27"/>
  <c r="AK27"/>
  <c r="AL27"/>
  <c r="AM27"/>
  <c r="AN27"/>
  <c r="AO27"/>
  <c r="AP27"/>
  <c r="U28"/>
  <c r="X28"/>
  <c r="Y28"/>
  <c r="Z28"/>
  <c r="AA28"/>
  <c r="AB28"/>
  <c r="AC28"/>
  <c r="AD28"/>
  <c r="AE28"/>
  <c r="AF28"/>
  <c r="AH28"/>
  <c r="AI28"/>
  <c r="AJ28"/>
  <c r="AK28"/>
  <c r="AL28"/>
  <c r="AM28"/>
  <c r="AN28"/>
  <c r="AO28"/>
  <c r="AP28"/>
  <c r="U29"/>
  <c r="X29"/>
  <c r="Y29"/>
  <c r="Z29"/>
  <c r="AA29"/>
  <c r="AB29"/>
  <c r="AC29"/>
  <c r="AD29"/>
  <c r="AE29"/>
  <c r="AF29"/>
  <c r="AH29"/>
  <c r="AI29"/>
  <c r="AJ29"/>
  <c r="AK29"/>
  <c r="AL29"/>
  <c r="AM29"/>
  <c r="AN29"/>
  <c r="AO29"/>
  <c r="AP29"/>
  <c r="U30"/>
  <c r="X30"/>
  <c r="Y30"/>
  <c r="Z30"/>
  <c r="AA30"/>
  <c r="AB30"/>
  <c r="AC30"/>
  <c r="AD30"/>
  <c r="AE30"/>
  <c r="AF30"/>
  <c r="AH30"/>
  <c r="AI30"/>
  <c r="AJ30"/>
  <c r="AK30"/>
  <c r="AL30"/>
  <c r="AM30"/>
  <c r="AN30"/>
  <c r="AO30"/>
  <c r="AP30"/>
  <c r="U31"/>
  <c r="X31"/>
  <c r="Y31"/>
  <c r="Z31"/>
  <c r="AA31"/>
  <c r="AB31"/>
  <c r="AC31"/>
  <c r="AD31"/>
  <c r="AE31"/>
  <c r="AF31"/>
  <c r="AH31"/>
  <c r="AI31"/>
  <c r="AJ31"/>
  <c r="AK31"/>
  <c r="AL31"/>
  <c r="AM31"/>
  <c r="AN31"/>
  <c r="AO31"/>
  <c r="AP31"/>
  <c r="U32"/>
  <c r="X32"/>
  <c r="Y32"/>
  <c r="Z32"/>
  <c r="AA32"/>
  <c r="AB32"/>
  <c r="AC32"/>
  <c r="AD32"/>
  <c r="AE32"/>
  <c r="AF32"/>
  <c r="AH32"/>
  <c r="AI32"/>
  <c r="AJ32"/>
  <c r="AK32"/>
  <c r="AL32"/>
  <c r="AM32"/>
  <c r="AN32"/>
  <c r="AO32"/>
  <c r="AP32"/>
  <c r="U33"/>
  <c r="X33"/>
  <c r="Y33"/>
  <c r="Z33"/>
  <c r="AA33"/>
  <c r="AB33"/>
  <c r="AC33"/>
  <c r="AD33"/>
  <c r="AE33"/>
  <c r="AF33"/>
  <c r="AH33"/>
  <c r="AI33"/>
  <c r="AJ33"/>
  <c r="AK33"/>
  <c r="AL33"/>
  <c r="AM33"/>
  <c r="AN33"/>
  <c r="AO33"/>
  <c r="AP33"/>
  <c r="U34"/>
  <c r="X34"/>
  <c r="Y34"/>
  <c r="Z34"/>
  <c r="AA34"/>
  <c r="AB34"/>
  <c r="AC34"/>
  <c r="AD34"/>
  <c r="AE34"/>
  <c r="AF34"/>
  <c r="AH34"/>
  <c r="AI34"/>
  <c r="AJ34"/>
  <c r="AK34"/>
  <c r="AL34"/>
  <c r="AM34"/>
  <c r="AN34"/>
  <c r="AO34"/>
  <c r="AP34"/>
  <c r="U35"/>
  <c r="X35"/>
  <c r="Y35"/>
  <c r="Z35"/>
  <c r="AA35"/>
  <c r="AB35"/>
  <c r="AC35"/>
  <c r="AD35"/>
  <c r="AE35"/>
  <c r="AF35"/>
  <c r="AH35"/>
  <c r="AI35"/>
  <c r="AJ35"/>
  <c r="AK35"/>
  <c r="AL35"/>
  <c r="AM35"/>
  <c r="AN35"/>
  <c r="AO35"/>
  <c r="AP35"/>
  <c r="U36"/>
  <c r="X36"/>
  <c r="Y36"/>
  <c r="Z36"/>
  <c r="AA36"/>
  <c r="AB36"/>
  <c r="AC36"/>
  <c r="AD36"/>
  <c r="AE36"/>
  <c r="AF36"/>
  <c r="AH36"/>
  <c r="AI36"/>
  <c r="AJ36"/>
  <c r="AK36"/>
  <c r="AL36"/>
  <c r="AM36"/>
  <c r="AN36"/>
  <c r="AO36"/>
  <c r="AP36"/>
  <c r="U37"/>
  <c r="X37"/>
  <c r="Y37"/>
  <c r="Z37"/>
  <c r="AA37"/>
  <c r="AB37"/>
  <c r="AC37"/>
  <c r="AD37"/>
  <c r="AE37"/>
  <c r="AF37"/>
  <c r="AH37"/>
  <c r="AI37"/>
  <c r="AJ37"/>
  <c r="AK37"/>
  <c r="AL37"/>
  <c r="AM37"/>
  <c r="AN37"/>
  <c r="AO37"/>
  <c r="AP37"/>
  <c r="U38"/>
  <c r="X38"/>
  <c r="Y38"/>
  <c r="Z38"/>
  <c r="AA38"/>
  <c r="AB38"/>
  <c r="AC38"/>
  <c r="AD38"/>
  <c r="AE38"/>
  <c r="AF38"/>
  <c r="AH38"/>
  <c r="AI38"/>
  <c r="AJ38"/>
  <c r="AK38"/>
  <c r="AL38"/>
  <c r="AM38"/>
  <c r="AN38"/>
  <c r="AO38"/>
  <c r="AP38"/>
  <c r="U39"/>
  <c r="X39"/>
  <c r="Y39"/>
  <c r="Z39"/>
  <c r="AA39"/>
  <c r="AB39"/>
  <c r="AC39"/>
  <c r="AD39"/>
  <c r="AE39"/>
  <c r="AF39"/>
  <c r="AH39"/>
  <c r="AI39"/>
  <c r="AJ39"/>
  <c r="AK39"/>
  <c r="AL39"/>
  <c r="AM39"/>
  <c r="AN39"/>
  <c r="AO39"/>
  <c r="AP39"/>
  <c r="U40"/>
  <c r="X40"/>
  <c r="Y40"/>
  <c r="Z40"/>
  <c r="AA40"/>
  <c r="AB40"/>
  <c r="AC40"/>
  <c r="AD40"/>
  <c r="AE40"/>
  <c r="AF40"/>
  <c r="AH40"/>
  <c r="AI40"/>
  <c r="AJ40"/>
  <c r="AK40"/>
  <c r="AL40"/>
  <c r="AM40"/>
  <c r="AN40"/>
  <c r="AO40"/>
  <c r="AP40"/>
  <c r="U41"/>
  <c r="X41"/>
  <c r="Y41"/>
  <c r="Z41"/>
  <c r="AA41"/>
  <c r="AB41"/>
  <c r="AC41"/>
  <c r="AD41"/>
  <c r="AE41"/>
  <c r="AF41"/>
  <c r="AH41"/>
  <c r="AI41"/>
  <c r="AJ41"/>
  <c r="AK41"/>
  <c r="AL41"/>
  <c r="AM41"/>
  <c r="AN41"/>
  <c r="AO41"/>
  <c r="AP41"/>
  <c r="U42"/>
  <c r="X42"/>
  <c r="Y42"/>
  <c r="Z42"/>
  <c r="AA42"/>
  <c r="AB42"/>
  <c r="AC42"/>
  <c r="AD42"/>
  <c r="AE42"/>
  <c r="AF42"/>
  <c r="AH42"/>
  <c r="AI42"/>
  <c r="AJ42"/>
  <c r="AK42"/>
  <c r="AL42"/>
  <c r="AM42"/>
  <c r="AN42"/>
  <c r="AO42"/>
  <c r="AP42"/>
  <c r="U43"/>
  <c r="X43"/>
  <c r="Y43"/>
  <c r="Z43"/>
  <c r="AA43"/>
  <c r="AB43"/>
  <c r="AC43"/>
  <c r="AD43"/>
  <c r="AE43"/>
  <c r="AF43"/>
  <c r="AH43"/>
  <c r="AI43"/>
  <c r="AJ43"/>
  <c r="AK43"/>
  <c r="AL43"/>
  <c r="AM43"/>
  <c r="AN43"/>
  <c r="AO43"/>
  <c r="AP43"/>
  <c r="U44"/>
  <c r="X44"/>
  <c r="Y44"/>
  <c r="Z44"/>
  <c r="AA44"/>
  <c r="AB44"/>
  <c r="AC44"/>
  <c r="AD44"/>
  <c r="AE44"/>
  <c r="AF44"/>
  <c r="AH44"/>
  <c r="AI44"/>
  <c r="AJ44"/>
  <c r="AK44"/>
  <c r="AL44"/>
  <c r="AM44"/>
  <c r="AN44"/>
  <c r="AO44"/>
  <c r="AP44"/>
  <c r="U45"/>
  <c r="X45"/>
  <c r="Y45"/>
  <c r="Z45"/>
  <c r="AA45"/>
  <c r="AB45"/>
  <c r="AC45"/>
  <c r="AD45"/>
  <c r="AE45"/>
  <c r="AF45"/>
  <c r="AH45"/>
  <c r="AI45"/>
  <c r="AJ45"/>
  <c r="AK45"/>
  <c r="AL45"/>
  <c r="AM45"/>
  <c r="AN45"/>
  <c r="AO45"/>
  <c r="AP45"/>
  <c r="U46"/>
  <c r="X46"/>
  <c r="Y46"/>
  <c r="Z46"/>
  <c r="AA46"/>
  <c r="AB46"/>
  <c r="AC46"/>
  <c r="AD46"/>
  <c r="AE46"/>
  <c r="AF46"/>
  <c r="AH46"/>
  <c r="AI46"/>
  <c r="AJ46"/>
  <c r="AK46"/>
  <c r="AL46"/>
  <c r="AM46"/>
  <c r="AN46"/>
  <c r="AO46"/>
  <c r="AP46"/>
  <c r="U47"/>
  <c r="X47"/>
  <c r="Y47"/>
  <c r="Z47"/>
  <c r="AA47"/>
  <c r="AB47"/>
  <c r="AC47"/>
  <c r="AD47"/>
  <c r="AE47"/>
  <c r="AF47"/>
  <c r="AH47"/>
  <c r="AI47"/>
  <c r="AJ47"/>
  <c r="AK47"/>
  <c r="AL47"/>
  <c r="AM47"/>
  <c r="AN47"/>
  <c r="AO47"/>
  <c r="AP47"/>
  <c r="U48"/>
  <c r="X48"/>
  <c r="Y48"/>
  <c r="Z48"/>
  <c r="AA48"/>
  <c r="AB48"/>
  <c r="AC48"/>
  <c r="AD48"/>
  <c r="AE48"/>
  <c r="AF48"/>
  <c r="AH48"/>
  <c r="AI48"/>
  <c r="AJ48"/>
  <c r="AK48"/>
  <c r="AL48"/>
  <c r="AM48"/>
  <c r="AN48"/>
  <c r="AO48"/>
  <c r="AP48"/>
  <c r="U49"/>
  <c r="X49"/>
  <c r="Y49"/>
  <c r="Z49"/>
  <c r="AA49"/>
  <c r="AB49"/>
  <c r="AC49"/>
  <c r="AD49"/>
  <c r="AE49"/>
  <c r="AF49"/>
  <c r="AH49"/>
  <c r="AI49"/>
  <c r="AJ49"/>
  <c r="AK49"/>
  <c r="AL49"/>
  <c r="AM49"/>
  <c r="AN49"/>
  <c r="AO49"/>
  <c r="AP49"/>
  <c r="U50"/>
  <c r="X50"/>
  <c r="Y50"/>
  <c r="Z50"/>
  <c r="AA50"/>
  <c r="AB50"/>
  <c r="AC50"/>
  <c r="AD50"/>
  <c r="AE50"/>
  <c r="AF50"/>
  <c r="AH50"/>
  <c r="AI50"/>
  <c r="AJ50"/>
  <c r="AK50"/>
  <c r="AL50"/>
  <c r="AM50"/>
  <c r="AN50"/>
  <c r="AO50"/>
  <c r="AP50"/>
  <c r="U51"/>
  <c r="X51"/>
  <c r="Y51"/>
  <c r="Z51"/>
  <c r="AA51"/>
  <c r="AB51"/>
  <c r="AC51"/>
  <c r="AD51"/>
  <c r="AE51"/>
  <c r="AF51"/>
  <c r="AH51"/>
  <c r="AI51"/>
  <c r="AJ51"/>
  <c r="AK51"/>
  <c r="AL51"/>
  <c r="AM51"/>
  <c r="AN51"/>
  <c r="AO51"/>
  <c r="AP51"/>
  <c r="U52"/>
  <c r="X52"/>
  <c r="Y52"/>
  <c r="Z52"/>
  <c r="AA52"/>
  <c r="AB52"/>
  <c r="AC52"/>
  <c r="AD52"/>
  <c r="AE52"/>
  <c r="AF52"/>
  <c r="AH52"/>
  <c r="AI52"/>
  <c r="AJ52"/>
  <c r="AK52"/>
  <c r="AL52"/>
  <c r="AM52"/>
  <c r="AN52"/>
  <c r="AO52"/>
  <c r="AP52"/>
  <c r="U53"/>
  <c r="X53"/>
  <c r="Y53"/>
  <c r="Z53"/>
  <c r="AA53"/>
  <c r="AB53"/>
  <c r="AC53"/>
  <c r="AD53"/>
  <c r="AE53"/>
  <c r="AF53"/>
  <c r="AH53"/>
  <c r="AI53"/>
  <c r="AJ53"/>
  <c r="AK53"/>
  <c r="AL53"/>
  <c r="AM53"/>
  <c r="AN53"/>
  <c r="AO53"/>
  <c r="AP53"/>
  <c r="U54"/>
  <c r="X54"/>
  <c r="Y54"/>
  <c r="Z54"/>
  <c r="AA54"/>
  <c r="AB54"/>
  <c r="AC54"/>
  <c r="AD54"/>
  <c r="AE54"/>
  <c r="AF54"/>
  <c r="AH54"/>
  <c r="AI54"/>
  <c r="AJ54"/>
  <c r="AK54"/>
  <c r="AL54"/>
  <c r="AM54"/>
  <c r="AN54"/>
  <c r="AO54"/>
  <c r="AP54"/>
  <c r="U55"/>
  <c r="X55"/>
  <c r="Y55"/>
  <c r="Z55"/>
  <c r="AA55"/>
  <c r="AB55"/>
  <c r="AC55"/>
  <c r="AD55"/>
  <c r="AE55"/>
  <c r="AF55"/>
  <c r="AH55"/>
  <c r="AI55"/>
  <c r="AJ55"/>
  <c r="AK55"/>
  <c r="AL55"/>
  <c r="AM55"/>
  <c r="AN55"/>
  <c r="AO55"/>
  <c r="AP55"/>
  <c r="U56"/>
  <c r="X56"/>
  <c r="Y56"/>
  <c r="Z56"/>
  <c r="AA56"/>
  <c r="AB56"/>
  <c r="AC56"/>
  <c r="AD56"/>
  <c r="AE56"/>
  <c r="AF56"/>
  <c r="AH56"/>
  <c r="AI56"/>
  <c r="AJ56"/>
  <c r="AK56"/>
  <c r="AL56"/>
  <c r="AM56"/>
  <c r="AN56"/>
  <c r="AO56"/>
  <c r="AP56"/>
  <c r="U57"/>
  <c r="X57"/>
  <c r="Y57"/>
  <c r="Z57"/>
  <c r="AA57"/>
  <c r="AB57"/>
  <c r="AC57"/>
  <c r="AD57"/>
  <c r="AE57"/>
  <c r="AF57"/>
  <c r="AH57"/>
  <c r="AI57"/>
  <c r="AJ57"/>
  <c r="AK57"/>
  <c r="AL57"/>
  <c r="AM57"/>
  <c r="AN57"/>
  <c r="AO57"/>
  <c r="AP57"/>
  <c r="U58"/>
  <c r="X58"/>
  <c r="Y58"/>
  <c r="Z58"/>
  <c r="AA58"/>
  <c r="AB58"/>
  <c r="AC58"/>
  <c r="AD58"/>
  <c r="AE58"/>
  <c r="AF58"/>
  <c r="AH58"/>
  <c r="AI58"/>
  <c r="AJ58"/>
  <c r="AK58"/>
  <c r="AL58"/>
  <c r="AM58"/>
  <c r="AN58"/>
  <c r="AO58"/>
  <c r="AP58"/>
  <c r="U59"/>
  <c r="X59"/>
  <c r="Y59"/>
  <c r="Z59"/>
  <c r="AA59"/>
  <c r="AB59"/>
  <c r="AC59"/>
  <c r="AD59"/>
  <c r="AE59"/>
  <c r="AF59"/>
  <c r="AH59"/>
  <c r="AI59"/>
  <c r="AJ59"/>
  <c r="AK59"/>
  <c r="AL59"/>
  <c r="AM59"/>
  <c r="AN59"/>
  <c r="AO59"/>
  <c r="AP59"/>
  <c r="U60"/>
  <c r="X60"/>
  <c r="Y60"/>
  <c r="Z60"/>
  <c r="AA60"/>
  <c r="AB60"/>
  <c r="AC60"/>
  <c r="AD60"/>
  <c r="AE60"/>
  <c r="AF60"/>
  <c r="AH60"/>
  <c r="AI60"/>
  <c r="AJ60"/>
  <c r="AK60"/>
  <c r="AL60"/>
  <c r="AM60"/>
  <c r="AN60"/>
  <c r="AO60"/>
  <c r="AP60"/>
  <c r="U61"/>
  <c r="X61"/>
  <c r="Y61"/>
  <c r="Z61"/>
  <c r="AA61"/>
  <c r="AB61"/>
  <c r="AC61"/>
  <c r="AD61"/>
  <c r="AE61"/>
  <c r="AF61"/>
  <c r="AH61"/>
  <c r="AI61"/>
  <c r="AJ61"/>
  <c r="AK61"/>
  <c r="AL61"/>
  <c r="AM61"/>
  <c r="AN61"/>
  <c r="AO61"/>
  <c r="AP61"/>
  <c r="U62"/>
  <c r="X62"/>
  <c r="Y62"/>
  <c r="Z62"/>
  <c r="AA62"/>
  <c r="AB62"/>
  <c r="AC62"/>
  <c r="AD62"/>
  <c r="AE62"/>
  <c r="AF62"/>
  <c r="AH62"/>
  <c r="AI62"/>
  <c r="AJ62"/>
  <c r="AK62"/>
  <c r="AL62"/>
  <c r="AM62"/>
  <c r="AN62"/>
  <c r="AO62"/>
  <c r="AP62"/>
  <c r="U63"/>
  <c r="X63"/>
  <c r="Y63"/>
  <c r="Z63"/>
  <c r="AA63"/>
  <c r="AB63"/>
  <c r="AC63"/>
  <c r="AD63"/>
  <c r="AE63"/>
  <c r="AF63"/>
  <c r="AH63"/>
  <c r="AI63"/>
  <c r="AJ63"/>
  <c r="AK63"/>
  <c r="AL63"/>
  <c r="AM63"/>
  <c r="AN63"/>
  <c r="AO63"/>
  <c r="AP63"/>
  <c r="U64"/>
  <c r="X64"/>
  <c r="Y64"/>
  <c r="Z64"/>
  <c r="AA64"/>
  <c r="AB64"/>
  <c r="AC64"/>
  <c r="AD64"/>
  <c r="AE64"/>
  <c r="AF64"/>
  <c r="AH64"/>
  <c r="AI64"/>
  <c r="AJ64"/>
  <c r="AK64"/>
  <c r="AL64"/>
  <c r="AM64"/>
  <c r="AN64"/>
  <c r="AO64"/>
  <c r="AP64"/>
  <c r="U65"/>
  <c r="X65"/>
  <c r="Y65"/>
  <c r="Z65"/>
  <c r="AA65"/>
  <c r="AB65"/>
  <c r="AC65"/>
  <c r="AD65"/>
  <c r="AE65"/>
  <c r="AF65"/>
  <c r="AH65"/>
  <c r="AI65"/>
  <c r="AJ65"/>
  <c r="AK65"/>
  <c r="AL65"/>
  <c r="AM65"/>
  <c r="AN65"/>
  <c r="AO65"/>
  <c r="AP65"/>
  <c r="U66"/>
  <c r="X66"/>
  <c r="Y66"/>
  <c r="Z66"/>
  <c r="AA66"/>
  <c r="AB66"/>
  <c r="AC66"/>
  <c r="AD66"/>
  <c r="AE66"/>
  <c r="AF66"/>
  <c r="AH66"/>
  <c r="AI66"/>
  <c r="AJ66"/>
  <c r="AK66"/>
  <c r="AL66"/>
  <c r="AM66"/>
  <c r="AN66"/>
  <c r="AO66"/>
  <c r="AP66"/>
  <c r="U67"/>
  <c r="X67"/>
  <c r="Y67"/>
  <c r="Z67"/>
  <c r="AA67"/>
  <c r="AB67"/>
  <c r="AC67"/>
  <c r="AD67"/>
  <c r="AE67"/>
  <c r="AF67"/>
  <c r="AH67"/>
  <c r="AI67"/>
  <c r="AJ67"/>
  <c r="AK67"/>
  <c r="AL67"/>
  <c r="AM67"/>
  <c r="AN67"/>
  <c r="AO67"/>
  <c r="AP67"/>
  <c r="U68"/>
  <c r="X68"/>
  <c r="Y68"/>
  <c r="Z68"/>
  <c r="AA68"/>
  <c r="AB68"/>
  <c r="AC68"/>
  <c r="AD68"/>
  <c r="AE68"/>
  <c r="AF68"/>
  <c r="AH68"/>
  <c r="AI68"/>
  <c r="AJ68"/>
  <c r="AK68"/>
  <c r="AL68"/>
  <c r="AM68"/>
  <c r="AN68"/>
  <c r="AO68"/>
  <c r="AP68"/>
  <c r="U69"/>
  <c r="X69"/>
  <c r="Y69"/>
  <c r="Z69"/>
  <c r="AA69"/>
  <c r="AB69"/>
  <c r="AC69"/>
  <c r="AD69"/>
  <c r="AE69"/>
  <c r="AF69"/>
  <c r="AH69"/>
  <c r="AI69"/>
  <c r="AJ69"/>
  <c r="AK69"/>
  <c r="AL69"/>
  <c r="AM69"/>
  <c r="AN69"/>
  <c r="AO69"/>
  <c r="AP69"/>
  <c r="U70"/>
  <c r="X70"/>
  <c r="Y70"/>
  <c r="Z70"/>
  <c r="AA70"/>
  <c r="AB70"/>
  <c r="AC70"/>
  <c r="AD70"/>
  <c r="AE70"/>
  <c r="AF70"/>
  <c r="AH70"/>
  <c r="AI70"/>
  <c r="AJ70"/>
  <c r="AK70"/>
  <c r="AL70"/>
  <c r="AM70"/>
  <c r="AN70"/>
  <c r="AO70"/>
  <c r="AP70"/>
  <c r="U71"/>
  <c r="X71"/>
  <c r="Y71"/>
  <c r="Z71"/>
  <c r="AA71"/>
  <c r="AB71"/>
  <c r="AC71"/>
  <c r="AD71"/>
  <c r="AE71"/>
  <c r="AF71"/>
  <c r="AH71"/>
  <c r="AI71"/>
  <c r="AJ71"/>
  <c r="AK71"/>
  <c r="AL71"/>
  <c r="AM71"/>
  <c r="AN71"/>
  <c r="AO71"/>
  <c r="AP71"/>
  <c r="U72"/>
  <c r="X72"/>
  <c r="Y72"/>
  <c r="Z72"/>
  <c r="AA72"/>
  <c r="AB72"/>
  <c r="AC72"/>
  <c r="AD72"/>
  <c r="AE72"/>
  <c r="AF72"/>
  <c r="AH72"/>
  <c r="AI72"/>
  <c r="AJ72"/>
  <c r="AK72"/>
  <c r="AL72"/>
  <c r="AM72"/>
  <c r="AN72"/>
  <c r="AO72"/>
  <c r="AP72"/>
  <c r="U73"/>
  <c r="X73"/>
  <c r="Y73"/>
  <c r="Z73"/>
  <c r="AA73"/>
  <c r="AB73"/>
  <c r="AC73"/>
  <c r="AD73"/>
  <c r="AE73"/>
  <c r="AF73"/>
  <c r="AH73"/>
  <c r="AI73"/>
  <c r="AJ73"/>
  <c r="AK73"/>
  <c r="AL73"/>
  <c r="AM73"/>
  <c r="AN73"/>
  <c r="AO73"/>
  <c r="AP73"/>
  <c r="U74"/>
  <c r="X74"/>
  <c r="Y74"/>
  <c r="Z74"/>
  <c r="AA74"/>
  <c r="AB74"/>
  <c r="AC74"/>
  <c r="AD74"/>
  <c r="AE74"/>
  <c r="AF74"/>
  <c r="AH74"/>
  <c r="AI74"/>
  <c r="AJ74"/>
  <c r="AK74"/>
  <c r="AL74"/>
  <c r="AM74"/>
  <c r="AN74"/>
  <c r="AO74"/>
  <c r="AP74"/>
  <c r="U75"/>
  <c r="X75"/>
  <c r="Y75"/>
  <c r="Z75"/>
  <c r="AA75"/>
  <c r="AB75"/>
  <c r="AC75"/>
  <c r="AD75"/>
  <c r="AE75"/>
  <c r="AF75"/>
  <c r="AH75"/>
  <c r="AI75"/>
  <c r="AJ75"/>
  <c r="AK75"/>
  <c r="AL75"/>
  <c r="AM75"/>
  <c r="AN75"/>
  <c r="AO75"/>
  <c r="AP75"/>
  <c r="U76"/>
  <c r="X76"/>
  <c r="Y76"/>
  <c r="Z76"/>
  <c r="AA76"/>
  <c r="AB76"/>
  <c r="AC76"/>
  <c r="AD76"/>
  <c r="AE76"/>
  <c r="AF76"/>
  <c r="AH76"/>
  <c r="AI76"/>
  <c r="AJ76"/>
  <c r="AK76"/>
  <c r="AL76"/>
  <c r="AM76"/>
  <c r="AN76"/>
  <c r="AO76"/>
  <c r="AP76"/>
  <c r="U77"/>
  <c r="X77"/>
  <c r="Y77"/>
  <c r="Z77"/>
  <c r="AA77"/>
  <c r="AB77"/>
  <c r="AC77"/>
  <c r="AD77"/>
  <c r="AE77"/>
  <c r="AF77"/>
  <c r="AH77"/>
  <c r="AI77"/>
  <c r="AJ77"/>
  <c r="AK77"/>
  <c r="AL77"/>
  <c r="AM77"/>
  <c r="AN77"/>
  <c r="AO77"/>
  <c r="AP77"/>
  <c r="U78"/>
  <c r="X78"/>
  <c r="Y78"/>
  <c r="Z78"/>
  <c r="AA78"/>
  <c r="AB78"/>
  <c r="AC78"/>
  <c r="AD78"/>
  <c r="AE78"/>
  <c r="AF78"/>
  <c r="AH78"/>
  <c r="AI78"/>
  <c r="AJ78"/>
  <c r="AK78"/>
  <c r="AL78"/>
  <c r="AM78"/>
  <c r="AN78"/>
  <c r="AO78"/>
  <c r="AP78"/>
  <c r="U79"/>
  <c r="X79"/>
  <c r="Y79"/>
  <c r="Z79"/>
  <c r="AA79"/>
  <c r="AB79"/>
  <c r="AC79"/>
  <c r="AD79"/>
  <c r="AE79"/>
  <c r="AF79"/>
  <c r="AH79"/>
  <c r="AI79"/>
  <c r="AJ79"/>
  <c r="AK79"/>
  <c r="AL79"/>
  <c r="AM79"/>
  <c r="AN79"/>
  <c r="AO79"/>
  <c r="AP79"/>
  <c r="U80"/>
  <c r="X80"/>
  <c r="Y80"/>
  <c r="Z80"/>
  <c r="AA80"/>
  <c r="AB80"/>
  <c r="AC80"/>
  <c r="AD80"/>
  <c r="AE80"/>
  <c r="AF80"/>
  <c r="AH80"/>
  <c r="AI80"/>
  <c r="AJ80"/>
  <c r="AK80"/>
  <c r="AL80"/>
  <c r="AM80"/>
  <c r="AN80"/>
  <c r="AO80"/>
  <c r="AP80"/>
  <c r="U81"/>
  <c r="X81"/>
  <c r="Y81"/>
  <c r="Z81"/>
  <c r="AA81"/>
  <c r="AB81"/>
  <c r="AC81"/>
  <c r="AD81"/>
  <c r="AE81"/>
  <c r="AF81"/>
  <c r="AH81"/>
  <c r="AI81"/>
  <c r="AJ81"/>
  <c r="AK81"/>
  <c r="AL81"/>
  <c r="AM81"/>
  <c r="AN81"/>
  <c r="AO81"/>
  <c r="AP81"/>
  <c r="U82"/>
  <c r="X82"/>
  <c r="Y82"/>
  <c r="Z82"/>
  <c r="AA82"/>
  <c r="AB82"/>
  <c r="AC82"/>
  <c r="AD82"/>
  <c r="AE82"/>
  <c r="AF82"/>
  <c r="AH82"/>
  <c r="AI82"/>
  <c r="AJ82"/>
  <c r="AK82"/>
  <c r="AL82"/>
  <c r="AM82"/>
  <c r="AN82"/>
  <c r="AO82"/>
  <c r="AP82"/>
  <c r="U83"/>
  <c r="X83"/>
  <c r="Y83"/>
  <c r="Z83"/>
  <c r="AA83"/>
  <c r="AB83"/>
  <c r="AC83"/>
  <c r="AD83"/>
  <c r="AE83"/>
  <c r="AF83"/>
  <c r="AH83"/>
  <c r="AI83"/>
  <c r="AJ83"/>
  <c r="AK83"/>
  <c r="AL83"/>
  <c r="AM83"/>
  <c r="AN83"/>
  <c r="AO83"/>
  <c r="AP83"/>
  <c r="U84"/>
  <c r="X84"/>
  <c r="Y84"/>
  <c r="Z84"/>
  <c r="AA84"/>
  <c r="AB84"/>
  <c r="AC84"/>
  <c r="AD84"/>
  <c r="AE84"/>
  <c r="AF84"/>
  <c r="AH84"/>
  <c r="AI84"/>
  <c r="AJ84"/>
  <c r="AK84"/>
  <c r="AL84"/>
  <c r="AM84"/>
  <c r="AN84"/>
  <c r="AO84"/>
  <c r="AP84"/>
  <c r="U85"/>
  <c r="X85"/>
  <c r="Y85"/>
  <c r="Z85"/>
  <c r="AA85"/>
  <c r="AB85"/>
  <c r="AC85"/>
  <c r="AD85"/>
  <c r="AE85"/>
  <c r="AF85"/>
  <c r="AH85"/>
  <c r="AI85"/>
  <c r="AJ85"/>
  <c r="AK85"/>
  <c r="AL85"/>
  <c r="AM85"/>
  <c r="AN85"/>
  <c r="AO85"/>
  <c r="AP85"/>
  <c r="U86"/>
  <c r="X86"/>
  <c r="Y86"/>
  <c r="Z86"/>
  <c r="AA86"/>
  <c r="AB86"/>
  <c r="AC86"/>
  <c r="AD86"/>
  <c r="AE86"/>
  <c r="AF86"/>
  <c r="AH86"/>
  <c r="AI86"/>
  <c r="AJ86"/>
  <c r="AK86"/>
  <c r="AL86"/>
  <c r="AM86"/>
  <c r="AN86"/>
  <c r="AO86"/>
  <c r="AP86"/>
  <c r="U87"/>
  <c r="X87"/>
  <c r="Y87"/>
  <c r="Z87"/>
  <c r="AA87"/>
  <c r="AB87"/>
  <c r="AC87"/>
  <c r="AD87"/>
  <c r="AE87"/>
  <c r="AF87"/>
  <c r="AH87"/>
  <c r="AI87"/>
  <c r="AJ87"/>
  <c r="AK87"/>
  <c r="AL87"/>
  <c r="AM87"/>
  <c r="AN87"/>
  <c r="AO87"/>
  <c r="AP87"/>
  <c r="U88"/>
  <c r="X88"/>
  <c r="Y88"/>
  <c r="Z88"/>
  <c r="AA88"/>
  <c r="AB88"/>
  <c r="AC88"/>
  <c r="AD88"/>
  <c r="AE88"/>
  <c r="AF88"/>
  <c r="AH88"/>
  <c r="AI88"/>
  <c r="AJ88"/>
  <c r="AK88"/>
  <c r="AL88"/>
  <c r="AM88"/>
  <c r="AN88"/>
  <c r="AO88"/>
  <c r="AP88"/>
  <c r="U89"/>
  <c r="X89"/>
  <c r="Y89"/>
  <c r="Z89"/>
  <c r="AA89"/>
  <c r="AB89"/>
  <c r="AC89"/>
  <c r="AD89"/>
  <c r="AE89"/>
  <c r="AF89"/>
  <c r="AH89"/>
  <c r="AI89"/>
  <c r="AJ89"/>
  <c r="AK89"/>
  <c r="AL89"/>
  <c r="AM89"/>
  <c r="AN89"/>
  <c r="AO89"/>
  <c r="AP89"/>
  <c r="U90"/>
  <c r="X90"/>
  <c r="Y90"/>
  <c r="Z90"/>
  <c r="AA90"/>
  <c r="AB90"/>
  <c r="AC90"/>
  <c r="AD90"/>
  <c r="AE90"/>
  <c r="AF90"/>
  <c r="AH90"/>
  <c r="AI90"/>
  <c r="AJ90"/>
  <c r="AK90"/>
  <c r="AL90"/>
  <c r="AM90"/>
  <c r="AN90"/>
  <c r="AO90"/>
  <c r="AP90"/>
  <c r="U91"/>
  <c r="X91"/>
  <c r="Y91"/>
  <c r="Z91"/>
  <c r="AA91"/>
  <c r="AB91"/>
  <c r="AC91"/>
  <c r="AD91"/>
  <c r="AE91"/>
  <c r="AF91"/>
  <c r="AH91"/>
  <c r="AI91"/>
  <c r="AJ91"/>
  <c r="AK91"/>
  <c r="AL91"/>
  <c r="AM91"/>
  <c r="AN91"/>
  <c r="AO91"/>
  <c r="AP91"/>
  <c r="U92"/>
  <c r="X92"/>
  <c r="Y92"/>
  <c r="Z92"/>
  <c r="AA92"/>
  <c r="AB92"/>
  <c r="AC92"/>
  <c r="AD92"/>
  <c r="AE92"/>
  <c r="AF92"/>
  <c r="AH92"/>
  <c r="AI92"/>
  <c r="AJ92"/>
  <c r="AK92"/>
  <c r="AL92"/>
  <c r="AM92"/>
  <c r="AN92"/>
  <c r="AO92"/>
  <c r="AP92"/>
  <c r="U93"/>
  <c r="X93"/>
  <c r="Y93"/>
  <c r="Z93"/>
  <c r="AA93"/>
  <c r="AB93"/>
  <c r="AC93"/>
  <c r="AD93"/>
  <c r="AE93"/>
  <c r="AF93"/>
  <c r="AH93"/>
  <c r="AI93"/>
  <c r="AJ93"/>
  <c r="AK93"/>
  <c r="AL93"/>
  <c r="AM93"/>
  <c r="AN93"/>
  <c r="AO93"/>
  <c r="AP93"/>
  <c r="U94"/>
  <c r="X94"/>
  <c r="Y94"/>
  <c r="Z94"/>
  <c r="AA94"/>
  <c r="AB94"/>
  <c r="AC94"/>
  <c r="AD94"/>
  <c r="AE94"/>
  <c r="AF94"/>
  <c r="AH94"/>
  <c r="AI94"/>
  <c r="AJ94"/>
  <c r="AK94"/>
  <c r="AL94"/>
  <c r="AM94"/>
  <c r="AN94"/>
  <c r="AO94"/>
  <c r="AP94"/>
  <c r="U95"/>
  <c r="X95"/>
  <c r="Y95"/>
  <c r="Z95"/>
  <c r="AA95"/>
  <c r="AB95"/>
  <c r="AC95"/>
  <c r="AD95"/>
  <c r="AE95"/>
  <c r="AF95"/>
  <c r="AH95"/>
  <c r="AI95"/>
  <c r="AJ95"/>
  <c r="AK95"/>
  <c r="AL95"/>
  <c r="AM95"/>
  <c r="AN95"/>
  <c r="AO95"/>
  <c r="AP95"/>
  <c r="U96"/>
  <c r="X96"/>
  <c r="Y96"/>
  <c r="Z96"/>
  <c r="AA96"/>
  <c r="AB96"/>
  <c r="AC96"/>
  <c r="AD96"/>
  <c r="AE96"/>
  <c r="AF96"/>
  <c r="AH96"/>
  <c r="AI96"/>
  <c r="AJ96"/>
  <c r="AK96"/>
  <c r="AL96"/>
  <c r="AM96"/>
  <c r="AN96"/>
  <c r="AO96"/>
  <c r="AP96"/>
  <c r="U97"/>
  <c r="X97"/>
  <c r="Y97"/>
  <c r="Z97"/>
  <c r="AA97"/>
  <c r="AB97"/>
  <c r="AC97"/>
  <c r="AD97"/>
  <c r="AE97"/>
  <c r="AF97"/>
  <c r="AH97"/>
  <c r="AI97"/>
  <c r="AJ97"/>
  <c r="AK97"/>
  <c r="AL97"/>
  <c r="AM97"/>
  <c r="AN97"/>
  <c r="AO97"/>
  <c r="AP97"/>
  <c r="U98"/>
  <c r="X98"/>
  <c r="Y98"/>
  <c r="Z98"/>
  <c r="AA98"/>
  <c r="AB98"/>
  <c r="AC98"/>
  <c r="AD98"/>
  <c r="AE98"/>
  <c r="AF98"/>
  <c r="AH98"/>
  <c r="AI98"/>
  <c r="AJ98"/>
  <c r="AK98"/>
  <c r="AL98"/>
  <c r="AM98"/>
  <c r="AN98"/>
  <c r="AO98"/>
  <c r="AP98"/>
  <c r="U99"/>
  <c r="X99"/>
  <c r="Y99"/>
  <c r="Z99"/>
  <c r="AA99"/>
  <c r="AB99"/>
  <c r="AC99"/>
  <c r="AD99"/>
  <c r="AE99"/>
  <c r="AF99"/>
  <c r="AH99"/>
  <c r="AI99"/>
  <c r="AJ99"/>
  <c r="AK99"/>
  <c r="AL99"/>
  <c r="AM99"/>
  <c r="AN99"/>
  <c r="AO99"/>
  <c r="AP99"/>
  <c r="U100"/>
  <c r="X100"/>
  <c r="Y100"/>
  <c r="Z100"/>
  <c r="AA100"/>
  <c r="AB100"/>
  <c r="AC100"/>
  <c r="AD100"/>
  <c r="AE100"/>
  <c r="AF100"/>
  <c r="AH100"/>
  <c r="AI100"/>
  <c r="AJ100"/>
  <c r="AK100"/>
  <c r="AL100"/>
  <c r="AM100"/>
  <c r="AN100"/>
  <c r="AO100"/>
  <c r="AP100"/>
  <c r="U101"/>
  <c r="X101"/>
  <c r="Y101"/>
  <c r="Z101"/>
  <c r="AA101"/>
  <c r="AB101"/>
  <c r="AC101"/>
  <c r="AD101"/>
  <c r="AE101"/>
  <c r="AF101"/>
  <c r="AH101"/>
  <c r="AI101"/>
  <c r="AJ101"/>
  <c r="AK101"/>
  <c r="AL101"/>
  <c r="AM101"/>
  <c r="AN101"/>
  <c r="AO101"/>
  <c r="AP101"/>
  <c r="U102"/>
  <c r="X102"/>
  <c r="Y102"/>
  <c r="Z102"/>
  <c r="AA102"/>
  <c r="AB102"/>
  <c r="AC102"/>
  <c r="AD102"/>
  <c r="AE102"/>
  <c r="AF102"/>
  <c r="AH102"/>
  <c r="AI102"/>
  <c r="AJ102"/>
  <c r="AK102"/>
  <c r="AL102"/>
  <c r="AM102"/>
  <c r="AN102"/>
  <c r="AO102"/>
  <c r="AP102"/>
  <c r="U103"/>
  <c r="X103"/>
  <c r="Y103"/>
  <c r="Z103"/>
  <c r="AA103"/>
  <c r="AB103"/>
  <c r="AC103"/>
  <c r="AD103"/>
  <c r="AE103"/>
  <c r="AF103"/>
  <c r="AH103"/>
  <c r="AI103"/>
  <c r="AJ103"/>
  <c r="AK103"/>
  <c r="AL103"/>
  <c r="AM103"/>
  <c r="AN103"/>
  <c r="AO103"/>
  <c r="AP103"/>
  <c r="U104"/>
  <c r="X104"/>
  <c r="Y104"/>
  <c r="Z104"/>
  <c r="AA104"/>
  <c r="AB104"/>
  <c r="AC104"/>
  <c r="AD104"/>
  <c r="AE104"/>
  <c r="AF104"/>
  <c r="AH104"/>
  <c r="AI104"/>
  <c r="AJ104"/>
  <c r="AK104"/>
  <c r="AL104"/>
  <c r="AM104"/>
  <c r="AN104"/>
  <c r="AO104"/>
  <c r="AP104"/>
  <c r="U105"/>
  <c r="X105"/>
  <c r="Y105"/>
  <c r="Z105"/>
  <c r="AA105"/>
  <c r="AB105"/>
  <c r="AC105"/>
  <c r="AD105"/>
  <c r="AE105"/>
  <c r="AF105"/>
  <c r="AH105"/>
  <c r="AI105"/>
  <c r="AJ105"/>
  <c r="AK105"/>
  <c r="AL105"/>
  <c r="AM105"/>
  <c r="AN105"/>
  <c r="AO105"/>
  <c r="AP105"/>
  <c r="U106"/>
  <c r="X106"/>
  <c r="Y106"/>
  <c r="Z106"/>
  <c r="AA106"/>
  <c r="AB106"/>
  <c r="AC106"/>
  <c r="AD106"/>
  <c r="AE106"/>
  <c r="AF106"/>
  <c r="AH106"/>
  <c r="AI106"/>
  <c r="AJ106"/>
  <c r="AK106"/>
  <c r="AL106"/>
  <c r="AM106"/>
  <c r="AN106"/>
  <c r="AO106"/>
  <c r="AP106"/>
  <c r="U107"/>
  <c r="X107"/>
  <c r="Y107"/>
  <c r="Z107"/>
  <c r="AA107"/>
  <c r="AB107"/>
  <c r="AC107"/>
  <c r="AD107"/>
  <c r="AE107"/>
  <c r="AF107"/>
  <c r="AH107"/>
  <c r="AI107"/>
  <c r="AJ107"/>
  <c r="AK107"/>
  <c r="AL107"/>
  <c r="AM107"/>
  <c r="AN107"/>
  <c r="AO107"/>
  <c r="AP107"/>
  <c r="U108"/>
  <c r="X108"/>
  <c r="Y108"/>
  <c r="Z108"/>
  <c r="AA108"/>
  <c r="AB108"/>
  <c r="AC108"/>
  <c r="AD108"/>
  <c r="AE108"/>
  <c r="AF108"/>
  <c r="AH108"/>
  <c r="AI108"/>
  <c r="AJ108"/>
  <c r="AK108"/>
  <c r="AL108"/>
  <c r="AM108"/>
  <c r="AN108"/>
  <c r="AO108"/>
  <c r="AP108"/>
  <c r="U109"/>
  <c r="X109"/>
  <c r="Y109"/>
  <c r="Z109"/>
  <c r="AA109"/>
  <c r="AB109"/>
  <c r="AC109"/>
  <c r="AD109"/>
  <c r="AE109"/>
  <c r="AF109"/>
  <c r="AH109"/>
  <c r="AI109"/>
  <c r="AJ109"/>
  <c r="AK109"/>
  <c r="AL109"/>
  <c r="AM109"/>
  <c r="AN109"/>
  <c r="AO109"/>
  <c r="AP109"/>
  <c r="U110"/>
  <c r="X110"/>
  <c r="Y110"/>
  <c r="Z110"/>
  <c r="AA110"/>
  <c r="AB110"/>
  <c r="AC110"/>
  <c r="AD110"/>
  <c r="AE110"/>
  <c r="AF110"/>
  <c r="AH110"/>
  <c r="AI110"/>
  <c r="AJ110"/>
  <c r="AK110"/>
  <c r="AL110"/>
  <c r="AM110"/>
  <c r="AN110"/>
  <c r="AO110"/>
  <c r="AP110"/>
  <c r="U111"/>
  <c r="X111"/>
  <c r="Y111"/>
  <c r="Z111"/>
  <c r="AA111"/>
  <c r="AB111"/>
  <c r="AC111"/>
  <c r="AD111"/>
  <c r="AE111"/>
  <c r="AF111"/>
  <c r="AH111"/>
  <c r="AI111"/>
  <c r="AJ111"/>
  <c r="AK111"/>
  <c r="AL111"/>
  <c r="AM111"/>
  <c r="AN111"/>
  <c r="AO111"/>
  <c r="AP111"/>
  <c r="U112"/>
  <c r="X112"/>
  <c r="Y112"/>
  <c r="Z112"/>
  <c r="AA112"/>
  <c r="AB112"/>
  <c r="AC112"/>
  <c r="AD112"/>
  <c r="AE112"/>
  <c r="AF112"/>
  <c r="AH112"/>
  <c r="AI112"/>
  <c r="AJ112"/>
  <c r="AK112"/>
  <c r="AL112"/>
  <c r="AM112"/>
  <c r="AN112"/>
  <c r="AO112"/>
  <c r="AP112"/>
  <c r="U113"/>
  <c r="X113"/>
  <c r="Y113"/>
  <c r="Z113"/>
  <c r="AA113"/>
  <c r="AB113"/>
  <c r="AC113"/>
  <c r="AD113"/>
  <c r="AE113"/>
  <c r="AF113"/>
  <c r="AH113"/>
  <c r="AI113"/>
  <c r="AJ113"/>
  <c r="AK113"/>
  <c r="AL113"/>
  <c r="AM113"/>
  <c r="AN113"/>
  <c r="AO113"/>
  <c r="AP113"/>
  <c r="U114"/>
  <c r="X114"/>
  <c r="Y114"/>
  <c r="Z114"/>
  <c r="AA114"/>
  <c r="AB114"/>
  <c r="AC114"/>
  <c r="AD114"/>
  <c r="AE114"/>
  <c r="AF114"/>
  <c r="AH114"/>
  <c r="AI114"/>
  <c r="AJ114"/>
  <c r="AK114"/>
  <c r="AL114"/>
  <c r="AM114"/>
  <c r="AN114"/>
  <c r="AO114"/>
  <c r="AP114"/>
  <c r="U115"/>
  <c r="X115"/>
  <c r="Y115"/>
  <c r="Z115"/>
  <c r="AA115"/>
  <c r="AB115"/>
  <c r="AC115"/>
  <c r="AD115"/>
  <c r="AE115"/>
  <c r="AF115"/>
  <c r="AH115"/>
  <c r="AI115"/>
  <c r="AJ115"/>
  <c r="AK115"/>
  <c r="AL115"/>
  <c r="AM115"/>
  <c r="AN115"/>
  <c r="AO115"/>
  <c r="AP115"/>
  <c r="U116"/>
  <c r="X116"/>
  <c r="Y116"/>
  <c r="Z116"/>
  <c r="AA116"/>
  <c r="AB116"/>
  <c r="AC116"/>
  <c r="AD116"/>
  <c r="AE116"/>
  <c r="AF116"/>
  <c r="AH116"/>
  <c r="AI116"/>
  <c r="AJ116"/>
  <c r="AK116"/>
  <c r="AL116"/>
  <c r="AM116"/>
  <c r="AN116"/>
  <c r="AO116"/>
  <c r="AP116"/>
  <c r="U117"/>
  <c r="X117"/>
  <c r="Y117"/>
  <c r="Z117"/>
  <c r="AA117"/>
  <c r="AB117"/>
  <c r="AC117"/>
  <c r="AD117"/>
  <c r="AE117"/>
  <c r="AF117"/>
  <c r="AH117"/>
  <c r="AI117"/>
  <c r="AJ117"/>
  <c r="AK117"/>
  <c r="AL117"/>
  <c r="AM117"/>
  <c r="AN117"/>
  <c r="AO117"/>
  <c r="AP117"/>
  <c r="U118"/>
  <c r="X118"/>
  <c r="Y118"/>
  <c r="Z118"/>
  <c r="AA118"/>
  <c r="AB118"/>
  <c r="AC118"/>
  <c r="AD118"/>
  <c r="AE118"/>
  <c r="AF118"/>
  <c r="AH118"/>
  <c r="AI118"/>
  <c r="AJ118"/>
  <c r="AK118"/>
  <c r="AL118"/>
  <c r="AM118"/>
  <c r="AN118"/>
  <c r="AO118"/>
  <c r="AP118"/>
  <c r="U119"/>
  <c r="X119"/>
  <c r="Y119"/>
  <c r="Z119"/>
  <c r="AA119"/>
  <c r="AB119"/>
  <c r="AC119"/>
  <c r="AD119"/>
  <c r="AE119"/>
  <c r="AF119"/>
  <c r="AH119"/>
  <c r="AI119"/>
  <c r="AJ119"/>
  <c r="AK119"/>
  <c r="AL119"/>
  <c r="AM119"/>
  <c r="AN119"/>
  <c r="AO119"/>
  <c r="AP119"/>
  <c r="U120"/>
  <c r="X120"/>
  <c r="Y120"/>
  <c r="Z120"/>
  <c r="AA120"/>
  <c r="AB120"/>
  <c r="AC120"/>
  <c r="AD120"/>
  <c r="AE120"/>
  <c r="AF120"/>
  <c r="AH120"/>
  <c r="AI120"/>
  <c r="AJ120"/>
  <c r="AK120"/>
  <c r="AL120"/>
  <c r="AM120"/>
  <c r="AN120"/>
  <c r="AO120"/>
  <c r="AP120"/>
  <c r="U121"/>
  <c r="X121"/>
  <c r="Y121"/>
  <c r="Z121"/>
  <c r="AA121"/>
  <c r="AB121"/>
  <c r="AC121"/>
  <c r="AD121"/>
  <c r="AE121"/>
  <c r="AF121"/>
  <c r="AH121"/>
  <c r="AI121"/>
  <c r="AJ121"/>
  <c r="AK121"/>
  <c r="AL121"/>
  <c r="AM121"/>
  <c r="AN121"/>
  <c r="AO121"/>
  <c r="AP121"/>
  <c r="U122"/>
  <c r="X122"/>
  <c r="Y122"/>
  <c r="Z122"/>
  <c r="AA122"/>
  <c r="AB122"/>
  <c r="AC122"/>
  <c r="AD122"/>
  <c r="AE122"/>
  <c r="AF122"/>
  <c r="AH122"/>
  <c r="AI122"/>
  <c r="AJ122"/>
  <c r="AK122"/>
  <c r="AL122"/>
  <c r="AM122"/>
  <c r="AN122"/>
  <c r="AO122"/>
  <c r="AP122"/>
  <c r="U123"/>
  <c r="X123"/>
  <c r="Y123"/>
  <c r="Z123"/>
  <c r="AA123"/>
  <c r="AB123"/>
  <c r="AC123"/>
  <c r="AD123"/>
  <c r="AE123"/>
  <c r="AF123"/>
  <c r="AH123"/>
  <c r="AI123"/>
  <c r="AJ123"/>
  <c r="AK123"/>
  <c r="AL123"/>
  <c r="AM123"/>
  <c r="AN123"/>
  <c r="AO123"/>
  <c r="AP123"/>
  <c r="U124"/>
  <c r="X124"/>
  <c r="Y124"/>
  <c r="Z124"/>
  <c r="AA124"/>
  <c r="AB124"/>
  <c r="AC124"/>
  <c r="AD124"/>
  <c r="AE124"/>
  <c r="AF124"/>
  <c r="AH124"/>
  <c r="AI124"/>
  <c r="AJ124"/>
  <c r="AK124"/>
  <c r="AL124"/>
  <c r="AM124"/>
  <c r="AN124"/>
  <c r="AO124"/>
  <c r="AP124"/>
  <c r="U125"/>
  <c r="X125"/>
  <c r="Y125"/>
  <c r="Z125"/>
  <c r="AA125"/>
  <c r="AB125"/>
  <c r="AC125"/>
  <c r="AD125"/>
  <c r="AE125"/>
  <c r="AF125"/>
  <c r="AH125"/>
  <c r="AI125"/>
  <c r="AJ125"/>
  <c r="AK125"/>
  <c r="AL125"/>
  <c r="AM125"/>
  <c r="AN125"/>
  <c r="AO125"/>
  <c r="AP125"/>
  <c r="U126"/>
  <c r="X126"/>
  <c r="Y126"/>
  <c r="Z126"/>
  <c r="AA126"/>
  <c r="AB126"/>
  <c r="AC126"/>
  <c r="AD126"/>
  <c r="AE126"/>
  <c r="AF126"/>
  <c r="AH126"/>
  <c r="AI126"/>
  <c r="AJ126"/>
  <c r="AK126"/>
  <c r="AL126"/>
  <c r="AM126"/>
  <c r="AN126"/>
  <c r="AO126"/>
  <c r="AP126"/>
  <c r="D128"/>
  <c r="V29"/>
  <c r="V36"/>
  <c r="V77"/>
  <c r="V60"/>
  <c r="V102"/>
  <c r="V115"/>
  <c r="V97"/>
  <c r="V35"/>
  <c r="V66"/>
  <c r="V98"/>
  <c r="V41"/>
  <c r="V88"/>
  <c r="V52"/>
  <c r="V30"/>
  <c r="V51"/>
  <c r="V76"/>
  <c r="V90"/>
  <c r="V87"/>
  <c r="V75"/>
  <c r="V47"/>
  <c r="V119"/>
  <c r="V83"/>
  <c r="V59"/>
  <c r="V84"/>
  <c r="V53"/>
  <c r="V57"/>
  <c r="V100"/>
  <c r="V58"/>
  <c r="V71"/>
  <c r="V34"/>
  <c r="V33"/>
  <c r="V78"/>
  <c r="V80"/>
  <c r="V125"/>
  <c r="V49"/>
  <c r="V55"/>
  <c r="V93"/>
  <c r="V92"/>
  <c r="V65"/>
  <c r="V73"/>
  <c r="V23"/>
  <c r="V67"/>
  <c r="V37"/>
  <c r="V74"/>
  <c r="V61"/>
  <c r="V28"/>
  <c r="V46"/>
  <c r="V91"/>
  <c r="V64"/>
  <c r="V45"/>
  <c r="V50"/>
  <c r="V39"/>
  <c r="V79"/>
  <c r="V72"/>
  <c r="V38"/>
  <c r="V54"/>
  <c r="V69"/>
  <c r="V32"/>
  <c r="V96"/>
  <c r="V82"/>
  <c r="V31"/>
  <c r="V42"/>
  <c r="V70"/>
  <c r="V40"/>
  <c r="V81"/>
  <c r="V43"/>
  <c r="V44"/>
  <c r="V94"/>
  <c r="V63"/>
  <c r="V68"/>
  <c r="V86"/>
  <c r="V56"/>
  <c r="V85"/>
  <c r="V89"/>
  <c r="V62"/>
  <c r="V48"/>
  <c r="V99"/>
  <c r="V95"/>
  <c r="V27"/>
  <c r="A24" l="1"/>
  <c r="B24"/>
  <c r="F113"/>
  <c r="C121"/>
  <c r="C118"/>
  <c r="F123"/>
  <c r="F124"/>
  <c r="W120"/>
  <c r="E120" s="1"/>
  <c r="C116"/>
  <c r="F108"/>
  <c r="C104"/>
  <c r="W126"/>
  <c r="E126" s="1"/>
  <c r="C114"/>
  <c r="C110"/>
  <c r="C106"/>
  <c r="F103"/>
  <c r="F39"/>
  <c r="W108"/>
  <c r="E108" s="1"/>
  <c r="C113"/>
  <c r="F104"/>
  <c r="F33"/>
  <c r="W32"/>
  <c r="E32" s="1"/>
  <c r="C81"/>
  <c r="W73"/>
  <c r="E73" s="1"/>
  <c r="C49"/>
  <c r="W41"/>
  <c r="E41" s="1"/>
  <c r="C48"/>
  <c r="F121"/>
  <c r="W105"/>
  <c r="E105" s="1"/>
  <c r="C125"/>
  <c r="F125"/>
  <c r="F105"/>
  <c r="C51"/>
  <c r="C27"/>
  <c r="C43"/>
  <c r="C60"/>
  <c r="W36"/>
  <c r="E36" s="1"/>
  <c r="W92"/>
  <c r="E92" s="1"/>
  <c r="F81"/>
  <c r="F65"/>
  <c r="F49"/>
  <c r="W40"/>
  <c r="E40" s="1"/>
  <c r="C32"/>
  <c r="F87"/>
  <c r="W82"/>
  <c r="E82" s="1"/>
  <c r="C62"/>
  <c r="W58"/>
  <c r="E58" s="1"/>
  <c r="W50"/>
  <c r="E50" s="1"/>
  <c r="W42"/>
  <c r="E42" s="1"/>
  <c r="W34"/>
  <c r="E34" s="1"/>
  <c r="C90"/>
  <c r="C86"/>
  <c r="C78"/>
  <c r="W74"/>
  <c r="E74" s="1"/>
  <c r="W66"/>
  <c r="E66" s="1"/>
  <c r="C128"/>
  <c r="F64"/>
  <c r="W27"/>
  <c r="E27" s="1"/>
  <c r="W83"/>
  <c r="E83" s="1"/>
  <c r="W112"/>
  <c r="E112" s="1"/>
  <c r="F128"/>
  <c r="C112"/>
  <c r="C108"/>
  <c r="W104"/>
  <c r="E104" s="1"/>
  <c r="F112"/>
  <c r="F30"/>
  <c r="F98"/>
  <c r="F97"/>
  <c r="W93"/>
  <c r="E93" s="1"/>
  <c r="F89"/>
  <c r="C77"/>
  <c r="C65"/>
  <c r="W61"/>
  <c r="E61" s="1"/>
  <c r="F75"/>
  <c r="C67"/>
  <c r="W59"/>
  <c r="E59" s="1"/>
  <c r="C55"/>
  <c r="W51"/>
  <c r="E51" s="1"/>
  <c r="C39"/>
  <c r="C31"/>
  <c r="C100"/>
  <c r="F78"/>
  <c r="F73"/>
  <c r="W57"/>
  <c r="E57" s="1"/>
  <c r="C45"/>
  <c r="F41"/>
  <c r="C33"/>
  <c r="W29"/>
  <c r="E29" s="1"/>
  <c r="W113"/>
  <c r="E113" s="1"/>
  <c r="C105"/>
  <c r="F59"/>
  <c r="F86"/>
  <c r="F126"/>
  <c r="F111"/>
  <c r="W119"/>
  <c r="E119" s="1"/>
  <c r="D125"/>
  <c r="C122"/>
  <c r="F120"/>
  <c r="W98"/>
  <c r="E98" s="1"/>
  <c r="W125"/>
  <c r="E125" s="1"/>
  <c r="W102"/>
  <c r="E102" s="1"/>
  <c r="C126"/>
  <c r="F62"/>
  <c r="F90"/>
  <c r="C98"/>
  <c r="W90"/>
  <c r="E90" s="1"/>
  <c r="C74"/>
  <c r="C124"/>
  <c r="C88"/>
  <c r="W72"/>
  <c r="E72" s="1"/>
  <c r="C40"/>
  <c r="C36"/>
  <c r="C28"/>
  <c r="W124"/>
  <c r="E124" s="1"/>
  <c r="C38"/>
  <c r="F34"/>
  <c r="C34"/>
  <c r="F44"/>
  <c r="W45"/>
  <c r="E45" s="1"/>
  <c r="W77"/>
  <c r="E77" s="1"/>
  <c r="W117"/>
  <c r="E117" s="1"/>
  <c r="C61"/>
  <c r="C109"/>
  <c r="C117"/>
  <c r="W116"/>
  <c r="E116" s="1"/>
  <c r="W89"/>
  <c r="E89" s="1"/>
  <c r="F57"/>
  <c r="F58"/>
  <c r="F116"/>
  <c r="C120"/>
  <c r="F45"/>
  <c r="C29"/>
  <c r="C93"/>
  <c r="F109"/>
  <c r="F127"/>
  <c r="W109"/>
  <c r="E109" s="1"/>
  <c r="C97"/>
  <c r="W121"/>
  <c r="E121" s="1"/>
  <c r="F117"/>
  <c r="C41"/>
  <c r="F37"/>
  <c r="W37"/>
  <c r="E37" s="1"/>
  <c r="W33"/>
  <c r="E33" s="1"/>
  <c r="F29"/>
  <c r="C123"/>
  <c r="W123"/>
  <c r="E123" s="1"/>
  <c r="W118"/>
  <c r="E118" s="1"/>
  <c r="F118"/>
  <c r="F94"/>
  <c r="F93"/>
  <c r="F85"/>
  <c r="F84"/>
  <c r="F79"/>
  <c r="F77"/>
  <c r="F72"/>
  <c r="F70"/>
  <c r="F69"/>
  <c r="F68"/>
  <c r="F61"/>
  <c r="F60"/>
  <c r="F56"/>
  <c r="F53"/>
  <c r="F51"/>
  <c r="F50"/>
  <c r="C107"/>
  <c r="F107"/>
  <c r="W107"/>
  <c r="E107" s="1"/>
  <c r="C119"/>
  <c r="F119"/>
  <c r="D119"/>
  <c r="F102"/>
  <c r="C102"/>
  <c r="D102"/>
  <c r="W101"/>
  <c r="E101" s="1"/>
  <c r="F101"/>
  <c r="C101"/>
  <c r="F100"/>
  <c r="C99"/>
  <c r="W99"/>
  <c r="E99" s="1"/>
  <c r="W97"/>
  <c r="E97" s="1"/>
  <c r="C96"/>
  <c r="W96"/>
  <c r="E96" s="1"/>
  <c r="C95"/>
  <c r="W95"/>
  <c r="E95" s="1"/>
  <c r="C94"/>
  <c r="W94"/>
  <c r="E94" s="1"/>
  <c r="C92"/>
  <c r="C91"/>
  <c r="W91"/>
  <c r="E91" s="1"/>
  <c r="C89"/>
  <c r="W88"/>
  <c r="E88" s="1"/>
  <c r="W87"/>
  <c r="E87" s="1"/>
  <c r="C87"/>
  <c r="W86"/>
  <c r="E86" s="1"/>
  <c r="W85"/>
  <c r="E85" s="1"/>
  <c r="C85"/>
  <c r="W84"/>
  <c r="E84" s="1"/>
  <c r="C84"/>
  <c r="C83"/>
  <c r="C82"/>
  <c r="W81"/>
  <c r="E81" s="1"/>
  <c r="C80"/>
  <c r="W80"/>
  <c r="E80" s="1"/>
  <c r="W79"/>
  <c r="E79" s="1"/>
  <c r="C79"/>
  <c r="W78"/>
  <c r="E78" s="1"/>
  <c r="C76"/>
  <c r="W76"/>
  <c r="E76" s="1"/>
  <c r="C75"/>
  <c r="W75"/>
  <c r="E75" s="1"/>
  <c r="C73"/>
  <c r="C72"/>
  <c r="C71"/>
  <c r="W71"/>
  <c r="E71" s="1"/>
  <c r="C70"/>
  <c r="W70"/>
  <c r="E70" s="1"/>
  <c r="W69"/>
  <c r="E69" s="1"/>
  <c r="C69"/>
  <c r="W68"/>
  <c r="E68" s="1"/>
  <c r="C68"/>
  <c r="W67"/>
  <c r="E67" s="1"/>
  <c r="C66"/>
  <c r="W65"/>
  <c r="E65" s="1"/>
  <c r="C64"/>
  <c r="W64"/>
  <c r="E64" s="1"/>
  <c r="C63"/>
  <c r="W63"/>
  <c r="E63" s="1"/>
  <c r="W62"/>
  <c r="E62" s="1"/>
  <c r="W60"/>
  <c r="E60" s="1"/>
  <c r="C59"/>
  <c r="C58"/>
  <c r="C57"/>
  <c r="C56"/>
  <c r="W56"/>
  <c r="E56" s="1"/>
  <c r="W55"/>
  <c r="E55" s="1"/>
  <c r="C54"/>
  <c r="W54"/>
  <c r="E54" s="1"/>
  <c r="W53"/>
  <c r="E53" s="1"/>
  <c r="C53"/>
  <c r="C52"/>
  <c r="W52"/>
  <c r="E52" s="1"/>
  <c r="C50"/>
  <c r="W49"/>
  <c r="E49" s="1"/>
  <c r="W48"/>
  <c r="E48" s="1"/>
  <c r="C47"/>
  <c r="C46"/>
  <c r="C42"/>
  <c r="W39"/>
  <c r="E39" s="1"/>
  <c r="W31"/>
  <c r="E31" s="1"/>
  <c r="C37"/>
  <c r="F122"/>
  <c r="W122"/>
  <c r="E122" s="1"/>
  <c r="C111"/>
  <c r="W111"/>
  <c r="E111" s="1"/>
  <c r="F106"/>
  <c r="W106"/>
  <c r="E106" s="1"/>
  <c r="C44"/>
  <c r="W44"/>
  <c r="E44" s="1"/>
  <c r="W43"/>
  <c r="E43" s="1"/>
  <c r="W35"/>
  <c r="E35" s="1"/>
  <c r="C35"/>
  <c r="C30"/>
  <c r="W28"/>
  <c r="E28" s="1"/>
  <c r="W30"/>
  <c r="E30" s="1"/>
  <c r="W38"/>
  <c r="E38" s="1"/>
  <c r="W46"/>
  <c r="E46" s="1"/>
  <c r="W47"/>
  <c r="E47" s="1"/>
  <c r="C127"/>
  <c r="D127"/>
  <c r="C115"/>
  <c r="D115"/>
  <c r="F115"/>
  <c r="W115"/>
  <c r="E115" s="1"/>
  <c r="F110"/>
  <c r="W110"/>
  <c r="E110" s="1"/>
  <c r="F114"/>
  <c r="W114"/>
  <c r="E114" s="1"/>
  <c r="C103"/>
  <c r="W103"/>
  <c r="E103" s="1"/>
  <c r="W100"/>
  <c r="E100" s="1"/>
  <c r="F99"/>
  <c r="F96"/>
  <c r="F95"/>
  <c r="F92"/>
  <c r="F91"/>
  <c r="F88"/>
  <c r="F83"/>
  <c r="F82"/>
  <c r="F80"/>
  <c r="F76"/>
  <c r="F74"/>
  <c r="F71"/>
  <c r="F67"/>
  <c r="F66"/>
  <c r="F63"/>
  <c r="F55"/>
  <c r="F54"/>
  <c r="F52"/>
  <c r="F48"/>
  <c r="F47"/>
  <c r="F46"/>
  <c r="F43"/>
  <c r="F42"/>
  <c r="F40"/>
  <c r="F38"/>
  <c r="F36"/>
  <c r="F35"/>
  <c r="F32"/>
  <c r="F31"/>
  <c r="F28"/>
  <c r="F27"/>
  <c r="D33"/>
  <c r="D44"/>
  <c r="D40"/>
  <c r="D63"/>
  <c r="D69"/>
  <c r="D42"/>
  <c r="D64"/>
  <c r="D71"/>
  <c r="D58"/>
  <c r="D48"/>
  <c r="D55"/>
  <c r="D53"/>
  <c r="D68"/>
  <c r="D72"/>
  <c r="D59"/>
  <c r="D34"/>
  <c r="D62"/>
  <c r="D32"/>
  <c r="D51"/>
  <c r="D45"/>
  <c r="D52"/>
  <c r="D76"/>
  <c r="D30"/>
  <c r="D99"/>
  <c r="D47"/>
  <c r="D96"/>
  <c r="D57"/>
  <c r="D77"/>
  <c r="D83"/>
  <c r="D50"/>
  <c r="D80"/>
  <c r="D86"/>
  <c r="D92"/>
  <c r="D84"/>
  <c r="D43"/>
  <c r="D29"/>
  <c r="D100"/>
  <c r="D28"/>
  <c r="D60"/>
  <c r="D70"/>
  <c r="D38"/>
  <c r="D95"/>
  <c r="D91"/>
  <c r="D39"/>
  <c r="D98"/>
  <c r="D94"/>
  <c r="D97"/>
  <c r="D31"/>
  <c r="D78"/>
  <c r="D87"/>
  <c r="D35"/>
  <c r="D90"/>
  <c r="D56"/>
  <c r="D85"/>
  <c r="D82"/>
  <c r="D54"/>
  <c r="D81"/>
  <c r="D88"/>
  <c r="D79"/>
  <c r="D61"/>
  <c r="D46"/>
  <c r="D74"/>
  <c r="D27"/>
  <c r="D73"/>
  <c r="D36"/>
  <c r="D75"/>
  <c r="D93"/>
  <c r="D66"/>
  <c r="D65"/>
  <c r="D37"/>
  <c r="D67"/>
  <c r="D89"/>
  <c r="D49"/>
  <c r="D41"/>
  <c r="V103"/>
  <c r="V105"/>
  <c r="V108"/>
  <c r="V117"/>
  <c r="V111"/>
  <c r="V118"/>
  <c r="V113"/>
  <c r="V110"/>
  <c r="V106"/>
  <c r="V123"/>
  <c r="V107"/>
  <c r="V126"/>
  <c r="V124"/>
  <c r="V122"/>
  <c r="V104"/>
  <c r="V120"/>
  <c r="V121"/>
  <c r="V101"/>
  <c r="V116"/>
  <c r="V112"/>
  <c r="V114"/>
  <c r="V109"/>
  <c r="F24" l="1"/>
  <c r="C24"/>
  <c r="E24"/>
  <c r="D24"/>
  <c r="D117"/>
  <c r="D107"/>
  <c r="D111"/>
  <c r="D122"/>
  <c r="D123"/>
  <c r="D106"/>
  <c r="D121"/>
  <c r="D120"/>
  <c r="D114"/>
  <c r="D126"/>
  <c r="D108"/>
  <c r="D118"/>
  <c r="D113"/>
  <c r="D104"/>
  <c r="D116"/>
  <c r="D103"/>
  <c r="D110"/>
  <c r="D109"/>
  <c r="D124"/>
  <c r="D105"/>
  <c r="D112"/>
  <c r="D101"/>
</calcChain>
</file>

<file path=xl/comments1.xml><?xml version="1.0" encoding="utf-8"?>
<comments xmlns="http://schemas.openxmlformats.org/spreadsheetml/2006/main">
  <authors>
    <author/>
  </authors>
  <commentList>
    <comment ref="B2" authorId="0">
      <text>
        <r>
          <rPr>
            <b/>
            <sz val="9"/>
            <color indexed="8"/>
            <rFont val="Tahoma"/>
            <family val="2"/>
            <charset val="204"/>
          </rPr>
          <t>Put information about observer, observation place etc. here</t>
        </r>
      </text>
    </comment>
    <comment ref="B16" authorId="0">
      <text>
        <r>
          <rPr>
            <b/>
            <sz val="9"/>
            <color indexed="8"/>
            <rFont val="Tahoma"/>
            <family val="2"/>
            <charset val="204"/>
          </rPr>
          <t>Information concerning target object, time of observation and filter</t>
        </r>
        <r>
          <rPr>
            <sz val="9"/>
            <color indexed="8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<sst xmlns="http://schemas.openxmlformats.org/spreadsheetml/2006/main" count="85" uniqueCount="85">
  <si>
    <t>N</t>
  </si>
  <si>
    <t>0,95</t>
  </si>
  <si>
    <t>0,99</t>
  </si>
  <si>
    <t>Observer</t>
  </si>
  <si>
    <t>PMAK</t>
  </si>
  <si>
    <t>Time Zone</t>
  </si>
  <si>
    <t>Observatory Coordinates (deg)</t>
  </si>
  <si>
    <t xml:space="preserve">  Latitude</t>
  </si>
  <si>
    <t xml:space="preserve">  Longitude</t>
  </si>
  <si>
    <t>Telescope</t>
  </si>
  <si>
    <t>SkyWatcher 15075 OTAW</t>
  </si>
  <si>
    <t>Camera</t>
  </si>
  <si>
    <t>Canon EOS 600D</t>
  </si>
  <si>
    <t>Photometry Software</t>
  </si>
  <si>
    <t>Comment1</t>
  </si>
  <si>
    <t>Comment2</t>
  </si>
  <si>
    <t>Comment3</t>
  </si>
  <si>
    <t>Comment4</t>
  </si>
  <si>
    <t>Comment5</t>
  </si>
  <si>
    <t>Target Object</t>
  </si>
  <si>
    <t>Filter</t>
  </si>
  <si>
    <t>TG</t>
  </si>
  <si>
    <t>Comment</t>
  </si>
  <si>
    <t>AAVSO CHART</t>
  </si>
  <si>
    <t>Average Date</t>
  </si>
  <si>
    <t>Average JD</t>
  </si>
  <si>
    <t>Labels-&gt;</t>
  </si>
  <si>
    <t>catalog magnitudes-&gt;</t>
  </si>
  <si>
    <t>JD</t>
  </si>
  <si>
    <t>#TARGET</t>
  </si>
  <si>
    <t>#Check</t>
  </si>
  <si>
    <t>Comp1</t>
  </si>
  <si>
    <t>Comp2</t>
  </si>
  <si>
    <t>Comp3</t>
  </si>
  <si>
    <t>Comp4</t>
  </si>
  <si>
    <t>Comp5</t>
  </si>
  <si>
    <t>Comp6</t>
  </si>
  <si>
    <t>Comp7</t>
  </si>
  <si>
    <t>Comp8</t>
  </si>
  <si>
    <t>Comp9</t>
  </si>
  <si>
    <t>N coms</t>
  </si>
  <si>
    <t>S-factor</t>
  </si>
  <si>
    <t>STDEV</t>
  </si>
  <si>
    <t>VstdM1</t>
  </si>
  <si>
    <t>VstdM2</t>
  </si>
  <si>
    <t>VstdM3</t>
  </si>
  <si>
    <t>VstdM4</t>
  </si>
  <si>
    <t>VstdM5</t>
  </si>
  <si>
    <t>VstdM6</t>
  </si>
  <si>
    <t>VstdM7</t>
  </si>
  <si>
    <t>VstdM8</t>
  </si>
  <si>
    <t>VstdM9</t>
  </si>
  <si>
    <t>KstdM1</t>
  </si>
  <si>
    <t>KstdM2</t>
  </si>
  <si>
    <t>KstdM3</t>
  </si>
  <si>
    <t>KstdM4</t>
  </si>
  <si>
    <t>KstdM5</t>
  </si>
  <si>
    <t>KstdM6</t>
  </si>
  <si>
    <t>KstdM7</t>
  </si>
  <si>
    <t>KstdM8</t>
  </si>
  <si>
    <t>KstdM9</t>
  </si>
  <si>
    <t>30s</t>
  </si>
  <si>
    <t>ISO 200</t>
  </si>
  <si>
    <t>SZ Lyn</t>
  </si>
  <si>
    <t>CHECK Avg</t>
  </si>
  <si>
    <t>TARGET Avg. All Obs</t>
  </si>
  <si>
    <t>TARGET Avg.Std.Magnitude</t>
  </si>
  <si>
    <t>TARGET Error</t>
  </si>
  <si>
    <t>ERROR of Avg</t>
  </si>
  <si>
    <t>CHECK Avg.Std.Magnitude</t>
  </si>
  <si>
    <t>TARGET STDEV</t>
  </si>
  <si>
    <t>STDEV of Avg</t>
  </si>
  <si>
    <t>Date (UTC)</t>
  </si>
  <si>
    <t>X22649OU</t>
  </si>
  <si>
    <t>T -9..-11*C, light pollution, haze, NO clouds</t>
  </si>
  <si>
    <t>iconvraw(libraw): CR2-&gt;FIT; IRIS: calibration(bias, dark, flat); IRIS: CFA-&gt;RGB; FitsRGB: G channel extraction; IRIS: G channel alignment</t>
  </si>
  <si>
    <t>slight defocus</t>
  </si>
  <si>
    <t>AstroImageJ</t>
  </si>
  <si>
    <t>$Photometry$Worksheet$Version3</t>
  </si>
  <si>
    <t>109</t>
  </si>
  <si>
    <t>85</t>
  </si>
  <si>
    <t>97</t>
  </si>
  <si>
    <t>95</t>
  </si>
  <si>
    <t>99</t>
  </si>
  <si>
    <t>Photometry apertures 13/23/35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</si>
</sst>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dd/mm/yyyy\ hh:mm"/>
    <numFmt numFmtId="167" formatCode="0.0000"/>
    <numFmt numFmtId="168" formatCode="dd/mm/yyyy\ h:mm:ss"/>
  </numFmts>
  <fonts count="24">
    <font>
      <sz val="10"/>
      <color indexed="8"/>
      <name val="Arial"/>
      <charset val="204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11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8"/>
      <color indexed="21"/>
      <name val="Cambria"/>
      <family val="1"/>
      <charset val="204"/>
    </font>
    <font>
      <b/>
      <sz val="15"/>
      <color indexed="21"/>
      <name val="Calibri"/>
      <family val="2"/>
      <charset val="204"/>
    </font>
    <font>
      <b/>
      <sz val="13"/>
      <color indexed="21"/>
      <name val="Calibri"/>
      <family val="2"/>
      <charset val="204"/>
    </font>
    <font>
      <b/>
      <sz val="11"/>
      <color indexed="21"/>
      <name val="Calibri"/>
      <family val="2"/>
      <charset val="204"/>
    </font>
    <font>
      <sz val="11"/>
      <color indexed="12"/>
      <name val="Calibri"/>
      <family val="2"/>
      <charset val="204"/>
    </font>
    <font>
      <sz val="11"/>
      <color indexed="36"/>
      <name val="Calibri"/>
      <family val="2"/>
      <charset val="204"/>
    </font>
    <font>
      <sz val="11"/>
      <color indexed="40"/>
      <name val="Calibri"/>
      <family val="2"/>
      <charset val="204"/>
    </font>
    <font>
      <sz val="11"/>
      <color indexed="21"/>
      <name val="Calibri"/>
      <family val="2"/>
      <charset val="204"/>
    </font>
    <font>
      <b/>
      <sz val="11"/>
      <color indexed="20"/>
      <name val="Calibri"/>
      <family val="2"/>
      <charset val="204"/>
    </font>
    <font>
      <b/>
      <sz val="11"/>
      <color indexed="41"/>
      <name val="Calibri"/>
      <family val="2"/>
      <charset val="204"/>
    </font>
    <font>
      <sz val="11"/>
      <color indexed="41"/>
      <name val="Calibri"/>
      <family val="2"/>
      <charset val="204"/>
    </font>
    <font>
      <b/>
      <sz val="11"/>
      <color indexed="9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9"/>
      <name val="Calibri"/>
      <family val="2"/>
      <charset val="204"/>
    </font>
    <font>
      <b/>
      <sz val="10"/>
      <color indexed="8"/>
      <name val="Arial"/>
      <family val="2"/>
      <charset val="204"/>
    </font>
    <font>
      <b/>
      <sz val="9"/>
      <color indexed="8"/>
      <name val="Tahoma"/>
      <family val="2"/>
      <charset val="204"/>
    </font>
    <font>
      <sz val="9"/>
      <color indexed="8"/>
      <name val="Tahoma"/>
      <family val="2"/>
      <charset val="204"/>
    </font>
    <font>
      <b/>
      <sz val="10"/>
      <color indexed="8"/>
      <name val="Arial"/>
      <family val="2"/>
      <charset val="204"/>
    </font>
    <font>
      <sz val="10"/>
      <color rgb="FF000000"/>
      <name val="Arial"/>
      <family val="2"/>
      <charset val="204"/>
    </font>
  </fonts>
  <fills count="25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46"/>
      </patternFill>
    </fill>
    <fill>
      <patternFill patternType="solid">
        <fgColor indexed="16"/>
      </patternFill>
    </fill>
    <fill>
      <patternFill patternType="solid">
        <fgColor indexed="11"/>
      </patternFill>
    </fill>
    <fill>
      <patternFill patternType="solid">
        <fgColor indexed="47"/>
      </patternFill>
    </fill>
    <fill>
      <patternFill patternType="solid">
        <fgColor indexed="48"/>
      </patternFill>
    </fill>
    <fill>
      <patternFill patternType="solid">
        <fgColor indexed="49"/>
      </patternFill>
    </fill>
    <fill>
      <patternFill patternType="solid">
        <fgColor indexed="50"/>
      </patternFill>
    </fill>
    <fill>
      <patternFill patternType="solid">
        <fgColor indexed="17"/>
      </patternFill>
    </fill>
    <fill>
      <patternFill patternType="solid">
        <fgColor indexed="51"/>
      </patternFill>
    </fill>
    <fill>
      <patternFill patternType="solid">
        <fgColor indexed="5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20"/>
      </left>
      <right style="double">
        <color indexed="20"/>
      </right>
      <top style="double">
        <color indexed="20"/>
      </top>
      <bottom style="double">
        <color indexed="20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14"/>
      </bottom>
      <diagonal/>
    </border>
    <border>
      <left/>
      <right/>
      <top/>
      <bottom style="medium">
        <color indexed="46"/>
      </bottom>
      <diagonal/>
    </border>
    <border>
      <left/>
      <right/>
      <top/>
      <bottom style="double">
        <color indexed="41"/>
      </bottom>
      <diagonal/>
    </border>
    <border>
      <left style="thin">
        <color indexed="16"/>
      </left>
      <right style="thin">
        <color indexed="16"/>
      </right>
      <top style="thin">
        <color indexed="16"/>
      </top>
      <bottom style="thin">
        <color indexed="16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/>
      <right/>
      <top style="thin">
        <color indexed="46"/>
      </top>
      <bottom style="double">
        <color indexed="4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2" borderId="0"/>
    <xf numFmtId="0" fontId="2" fillId="3" borderId="0"/>
    <xf numFmtId="0" fontId="2" fillId="4" borderId="0"/>
    <xf numFmtId="0" fontId="2" fillId="2" borderId="0"/>
    <xf numFmtId="0" fontId="2" fillId="5" borderId="0"/>
    <xf numFmtId="0" fontId="2" fillId="3" borderId="0"/>
    <xf numFmtId="0" fontId="2" fillId="6" borderId="0"/>
    <xf numFmtId="0" fontId="2" fillId="7" borderId="0"/>
    <xf numFmtId="0" fontId="2" fillId="8" borderId="0"/>
    <xf numFmtId="0" fontId="2" fillId="6" borderId="0"/>
    <xf numFmtId="0" fontId="2" fillId="9" borderId="0"/>
    <xf numFmtId="0" fontId="2" fillId="3" borderId="0"/>
    <xf numFmtId="0" fontId="18" fillId="10" borderId="0"/>
    <xf numFmtId="0" fontId="18" fillId="7" borderId="0"/>
    <xf numFmtId="0" fontId="18" fillId="8" borderId="0"/>
    <xf numFmtId="0" fontId="18" fillId="11" borderId="0"/>
    <xf numFmtId="0" fontId="18" fillId="10" borderId="0"/>
    <xf numFmtId="0" fontId="18" fillId="3" borderId="0"/>
    <xf numFmtId="0" fontId="18" fillId="10" borderId="0"/>
    <xf numFmtId="0" fontId="18" fillId="12" borderId="0"/>
    <xf numFmtId="0" fontId="18" fillId="13" borderId="0"/>
    <xf numFmtId="0" fontId="18" fillId="14" borderId="0"/>
    <xf numFmtId="0" fontId="18" fillId="10" borderId="0"/>
    <xf numFmtId="0" fontId="18" fillId="15" borderId="0"/>
    <xf numFmtId="0" fontId="10" fillId="16" borderId="0"/>
    <xf numFmtId="0" fontId="14" fillId="2" borderId="1"/>
    <xf numFmtId="0" fontId="16" fillId="17" borderId="2"/>
    <xf numFmtId="0" fontId="17" fillId="0" borderId="0"/>
    <xf numFmtId="0" fontId="9" fillId="18" borderId="0"/>
    <xf numFmtId="0" fontId="6" fillId="0" borderId="3"/>
    <xf numFmtId="0" fontId="7" fillId="0" borderId="4"/>
    <xf numFmtId="0" fontId="8" fillId="0" borderId="5"/>
    <xf numFmtId="0" fontId="8" fillId="0" borderId="0"/>
    <xf numFmtId="0" fontId="12" fillId="3" borderId="1"/>
    <xf numFmtId="0" fontId="15" fillId="0" borderId="6"/>
    <xf numFmtId="0" fontId="11" fillId="8" borderId="0"/>
    <xf numFmtId="0" fontId="1" fillId="4" borderId="7"/>
    <xf numFmtId="0" fontId="13" fillId="2" borderId="8"/>
    <xf numFmtId="0" fontId="5" fillId="0" borderId="0"/>
    <xf numFmtId="0" fontId="4" fillId="0" borderId="9"/>
    <xf numFmtId="0" fontId="3" fillId="0" borderId="0"/>
  </cellStyleXfs>
  <cellXfs count="43">
    <xf numFmtId="0" fontId="1" fillId="0" borderId="0" xfId="0" applyFont="1"/>
    <xf numFmtId="0" fontId="19" fillId="0" borderId="0" xfId="0" applyFont="1"/>
    <xf numFmtId="0" fontId="19" fillId="20" borderId="11" xfId="0" applyFont="1" applyFill="1" applyBorder="1" applyProtection="1">
      <protection locked="0"/>
    </xf>
    <xf numFmtId="0" fontId="19" fillId="20" borderId="14" xfId="0" applyFont="1" applyFill="1" applyBorder="1" applyProtection="1">
      <protection locked="0"/>
    </xf>
    <xf numFmtId="165" fontId="19" fillId="20" borderId="14" xfId="0" applyNumberFormat="1" applyFont="1" applyFill="1" applyBorder="1" applyProtection="1">
      <protection locked="0"/>
    </xf>
    <xf numFmtId="0" fontId="19" fillId="20" borderId="16" xfId="0" applyFont="1" applyFill="1" applyBorder="1" applyProtection="1">
      <protection locked="0"/>
    </xf>
    <xf numFmtId="164" fontId="19" fillId="0" borderId="0" xfId="0" applyNumberFormat="1" applyFont="1" applyProtection="1">
      <protection locked="0"/>
    </xf>
    <xf numFmtId="168" fontId="19" fillId="0" borderId="0" xfId="0" applyNumberFormat="1" applyFont="1" applyProtection="1">
      <protection locked="0"/>
    </xf>
    <xf numFmtId="0" fontId="19" fillId="0" borderId="0" xfId="0" quotePrefix="1" applyFont="1"/>
    <xf numFmtId="168" fontId="19" fillId="24" borderId="0" xfId="0" applyNumberFormat="1" applyFont="1" applyFill="1" applyProtection="1"/>
    <xf numFmtId="164" fontId="22" fillId="0" borderId="0" xfId="0" applyNumberFormat="1" applyFont="1" applyProtection="1">
      <protection locked="0"/>
    </xf>
    <xf numFmtId="0" fontId="1" fillId="0" borderId="0" xfId="0" applyFont="1" applyProtection="1">
      <protection locked="0"/>
    </xf>
    <xf numFmtId="0" fontId="1" fillId="19" borderId="0" xfId="0" applyFont="1" applyFill="1" applyProtection="1"/>
    <xf numFmtId="0" fontId="19" fillId="19" borderId="10" xfId="0" applyFont="1" applyFill="1" applyBorder="1" applyProtection="1"/>
    <xf numFmtId="0" fontId="19" fillId="19" borderId="12" xfId="0" applyFont="1" applyFill="1" applyBorder="1" applyProtection="1"/>
    <xf numFmtId="0" fontId="19" fillId="19" borderId="14" xfId="0" applyFont="1" applyFill="1" applyBorder="1" applyProtection="1"/>
    <xf numFmtId="0" fontId="19" fillId="19" borderId="15" xfId="0" applyFont="1" applyFill="1" applyBorder="1" applyProtection="1"/>
    <xf numFmtId="0" fontId="19" fillId="19" borderId="0" xfId="0" applyFont="1" applyFill="1" applyProtection="1"/>
    <xf numFmtId="0" fontId="19" fillId="21" borderId="0" xfId="0" applyFont="1" applyFill="1" applyProtection="1"/>
    <xf numFmtId="0" fontId="19" fillId="22" borderId="0" xfId="0" applyFont="1" applyFill="1" applyProtection="1"/>
    <xf numFmtId="0" fontId="19" fillId="23" borderId="0" xfId="0" applyFont="1" applyFill="1" applyProtection="1"/>
    <xf numFmtId="166" fontId="19" fillId="19" borderId="0" xfId="0" applyNumberFormat="1" applyFont="1" applyFill="1" applyProtection="1"/>
    <xf numFmtId="167" fontId="19" fillId="19" borderId="0" xfId="0" applyNumberFormat="1" applyFont="1" applyFill="1" applyProtection="1"/>
    <xf numFmtId="164" fontId="19" fillId="21" borderId="0" xfId="0" applyNumberFormat="1" applyFont="1" applyFill="1" applyProtection="1"/>
    <xf numFmtId="164" fontId="1" fillId="22" borderId="0" xfId="0" applyNumberFormat="1" applyFont="1" applyFill="1" applyProtection="1"/>
    <xf numFmtId="164" fontId="19" fillId="23" borderId="0" xfId="0" applyNumberFormat="1" applyFont="1" applyFill="1" applyProtection="1"/>
    <xf numFmtId="0" fontId="19" fillId="19" borderId="0" xfId="0" quotePrefix="1" applyFont="1" applyFill="1" applyAlignment="1" applyProtection="1">
      <alignment horizontal="right"/>
    </xf>
    <xf numFmtId="0" fontId="1" fillId="0" borderId="0" xfId="0" applyFont="1" applyProtection="1"/>
    <xf numFmtId="164" fontId="1" fillId="19" borderId="0" xfId="0" applyNumberFormat="1" applyFont="1" applyFill="1" applyProtection="1"/>
    <xf numFmtId="0" fontId="19" fillId="19" borderId="13" xfId="0" applyFont="1" applyFill="1" applyBorder="1" applyProtection="1"/>
    <xf numFmtId="49" fontId="19" fillId="0" borderId="0" xfId="0" applyNumberFormat="1" applyFont="1" applyProtection="1">
      <protection locked="0"/>
    </xf>
    <xf numFmtId="0" fontId="19" fillId="20" borderId="20" xfId="0" applyFont="1" applyFill="1" applyBorder="1" applyProtection="1">
      <protection locked="0"/>
    </xf>
    <xf numFmtId="0" fontId="19" fillId="0" borderId="20" xfId="0" applyFont="1" applyBorder="1" applyProtection="1">
      <protection locked="0"/>
    </xf>
    <xf numFmtId="0" fontId="19" fillId="0" borderId="16" xfId="0" applyFont="1" applyBorder="1" applyProtection="1">
      <protection locked="0"/>
    </xf>
    <xf numFmtId="0" fontId="19" fillId="20" borderId="17" xfId="0" applyFont="1" applyFill="1" applyBorder="1" applyProtection="1">
      <protection locked="0"/>
    </xf>
    <xf numFmtId="0" fontId="19" fillId="0" borderId="17" xfId="0" applyFont="1" applyBorder="1" applyProtection="1">
      <protection locked="0"/>
    </xf>
    <xf numFmtId="0" fontId="19" fillId="0" borderId="11" xfId="0" applyFont="1" applyBorder="1" applyProtection="1">
      <protection locked="0"/>
    </xf>
    <xf numFmtId="0" fontId="19" fillId="20" borderId="0" xfId="0" applyFont="1" applyFill="1" applyProtection="1">
      <protection locked="0"/>
    </xf>
    <xf numFmtId="0" fontId="19" fillId="0" borderId="0" xfId="0" applyFont="1" applyProtection="1">
      <protection locked="0"/>
    </xf>
    <xf numFmtId="0" fontId="19" fillId="0" borderId="14" xfId="0" applyFont="1" applyBorder="1" applyProtection="1">
      <protection locked="0"/>
    </xf>
    <xf numFmtId="0" fontId="19" fillId="20" borderId="18" xfId="0" applyFont="1" applyFill="1" applyBorder="1" applyProtection="1">
      <protection locked="0"/>
    </xf>
    <xf numFmtId="0" fontId="19" fillId="0" borderId="18" xfId="0" applyFont="1" applyBorder="1" applyProtection="1">
      <protection locked="0"/>
    </xf>
    <xf numFmtId="0" fontId="19" fillId="0" borderId="19" xfId="0" applyFont="1" applyBorder="1" applyProtection="1">
      <protection locked="0"/>
    </xf>
  </cellXfs>
  <cellStyles count="4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te" xfId="37"/>
    <cellStyle name="Output" xfId="38"/>
    <cellStyle name="Title" xfId="39"/>
    <cellStyle name="Total" xfId="40"/>
    <cellStyle name="Warning Text" xfId="41"/>
    <cellStyle name="Обычный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FF00"/>
      <rgbColor rgb="00FF0000"/>
      <rgbColor rgb="00007F00"/>
      <rgbColor rgb="007F7F00"/>
      <rgbColor rgb="00C0C0C0"/>
      <rgbColor rgb="00E6E6E6"/>
      <rgbColor rgb="00B3B3B3"/>
      <rgbColor rgb="00999999"/>
      <rgbColor rgb="00666666"/>
      <rgbColor rgb="004D4D4D"/>
      <rgbColor rgb="00333333"/>
      <rgbColor rgb="00333399"/>
      <rgbColor rgb="00CCCCCC"/>
      <rgbColor rgb="007F7F7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993300"/>
      <rgbColor rgb="00FF9900"/>
      <rgbColor rgb="00A5A5A5"/>
      <rgbColor rgb="00FFCC99"/>
      <rgbColor rgb="00FFFF99"/>
      <rgbColor rgb="0099CCFF"/>
      <rgbColor rgb="0033CCCC"/>
      <rgbColor rgb="00339966"/>
      <rgbColor rgb="00666699"/>
      <rgbColor rgb="00FF6600"/>
      <rgbColor rgb="00FF99CC"/>
      <rgbColor rgb="00CCFFCC"/>
      <rgbColor rgb="00F2F2F2"/>
      <rgbColor rgb="00FDE9D9"/>
      <rgbColor rgb="0000B050"/>
      <rgbColor rgb="00FABF8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uk-UA"/>
  <c:chart>
    <c:title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Photometry20180123!$C$26</c:f>
              <c:strCache>
                <c:ptCount val="1"/>
                <c:pt idx="0">
                  <c:v>TARGET Avg.Std.Magnitude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Photometry20180123!$B$27:$B$338</c:f>
              <c:numCache>
                <c:formatCode>0.0000</c:formatCode>
                <c:ptCount val="312"/>
                <c:pt idx="0">
                  <c:v>2458142.2438310185</c:v>
                </c:pt>
                <c:pt idx="1">
                  <c:v>2458142.2442476852</c:v>
                </c:pt>
                <c:pt idx="2">
                  <c:v>2458142.2446759259</c:v>
                </c:pt>
                <c:pt idx="3">
                  <c:v>2458142.2450925927</c:v>
                </c:pt>
                <c:pt idx="4">
                  <c:v>2458142.2455092594</c:v>
                </c:pt>
                <c:pt idx="5">
                  <c:v>2458142.2459259261</c:v>
                </c:pt>
                <c:pt idx="6">
                  <c:v>2458142.2463541669</c:v>
                </c:pt>
                <c:pt idx="7">
                  <c:v>2458142.2467708332</c:v>
                </c:pt>
                <c:pt idx="8">
                  <c:v>2458142.2471990739</c:v>
                </c:pt>
                <c:pt idx="9">
                  <c:v>2458142.2476157406</c:v>
                </c:pt>
                <c:pt idx="10">
                  <c:v>2458142.2480439814</c:v>
                </c:pt>
                <c:pt idx="11">
                  <c:v>2458142.2484606481</c:v>
                </c:pt>
                <c:pt idx="12">
                  <c:v>2458142.2488888889</c:v>
                </c:pt>
                <c:pt idx="13">
                  <c:v>2458142.2493055556</c:v>
                </c:pt>
                <c:pt idx="14">
                  <c:v>2458142.2497337963</c:v>
                </c:pt>
                <c:pt idx="15">
                  <c:v>2458142.2501504631</c:v>
                </c:pt>
                <c:pt idx="16">
                  <c:v>2458142.2505671298</c:v>
                </c:pt>
                <c:pt idx="17">
                  <c:v>2458142.2509953706</c:v>
                </c:pt>
                <c:pt idx="18">
                  <c:v>2458142.2514120368</c:v>
                </c:pt>
                <c:pt idx="19">
                  <c:v>2458142.2518402776</c:v>
                </c:pt>
                <c:pt idx="20">
                  <c:v>2458142.2522569443</c:v>
                </c:pt>
                <c:pt idx="21">
                  <c:v>2458142.252673611</c:v>
                </c:pt>
                <c:pt idx="22">
                  <c:v>2458142.2531018518</c:v>
                </c:pt>
                <c:pt idx="23">
                  <c:v>2458142.2535185185</c:v>
                </c:pt>
                <c:pt idx="24">
                  <c:v>2458142.2539351853</c:v>
                </c:pt>
                <c:pt idx="25">
                  <c:v>2458142.254351852</c:v>
                </c:pt>
                <c:pt idx="26">
                  <c:v>2458142.2547800927</c:v>
                </c:pt>
                <c:pt idx="27">
                  <c:v>2458142.2551967595</c:v>
                </c:pt>
                <c:pt idx="28">
                  <c:v>2458142.2556134257</c:v>
                </c:pt>
                <c:pt idx="29">
                  <c:v>2458142.2560416665</c:v>
                </c:pt>
                <c:pt idx="30">
                  <c:v>2458142.2564583332</c:v>
                </c:pt>
                <c:pt idx="31">
                  <c:v>2458142.256875</c:v>
                </c:pt>
                <c:pt idx="32">
                  <c:v>2458142.2573032407</c:v>
                </c:pt>
                <c:pt idx="33">
                  <c:v>2458142.2577199074</c:v>
                </c:pt>
                <c:pt idx="34">
                  <c:v>2458142.2581365742</c:v>
                </c:pt>
                <c:pt idx="35">
                  <c:v>2458142.2585648149</c:v>
                </c:pt>
                <c:pt idx="36">
                  <c:v>2458142.2589814817</c:v>
                </c:pt>
                <c:pt idx="37">
                  <c:v>2458142.2593981479</c:v>
                </c:pt>
                <c:pt idx="38">
                  <c:v>2458142.2598263887</c:v>
                </c:pt>
                <c:pt idx="39">
                  <c:v>2458142.2602430554</c:v>
                </c:pt>
                <c:pt idx="40">
                  <c:v>2458142.2606712962</c:v>
                </c:pt>
                <c:pt idx="41">
                  <c:v>2458142.2610879629</c:v>
                </c:pt>
                <c:pt idx="42">
                  <c:v>2458142.2615046296</c:v>
                </c:pt>
                <c:pt idx="43">
                  <c:v>2458142.2619328704</c:v>
                </c:pt>
                <c:pt idx="44">
                  <c:v>2458142.2623495371</c:v>
                </c:pt>
                <c:pt idx="45">
                  <c:v>2458142.2627777779</c:v>
                </c:pt>
                <c:pt idx="46">
                  <c:v>2458142.2631944446</c:v>
                </c:pt>
                <c:pt idx="47">
                  <c:v>2458142.2636111113</c:v>
                </c:pt>
                <c:pt idx="48">
                  <c:v>2458142.2640393521</c:v>
                </c:pt>
                <c:pt idx="49">
                  <c:v>2458142.2644560183</c:v>
                </c:pt>
                <c:pt idx="50">
                  <c:v>2458142.2648726851</c:v>
                </c:pt>
                <c:pt idx="51">
                  <c:v>2458142.2653009258</c:v>
                </c:pt>
                <c:pt idx="52">
                  <c:v>2458142.2657175926</c:v>
                </c:pt>
                <c:pt idx="53">
                  <c:v>2458142.2661342593</c:v>
                </c:pt>
                <c:pt idx="54">
                  <c:v>2458142.266550926</c:v>
                </c:pt>
                <c:pt idx="55">
                  <c:v>2458142.2669791668</c:v>
                </c:pt>
                <c:pt idx="56">
                  <c:v>2458142.2673958335</c:v>
                </c:pt>
                <c:pt idx="57">
                  <c:v>2458142.2678124998</c:v>
                </c:pt>
                <c:pt idx="58">
                  <c:v>2458142.2682291665</c:v>
                </c:pt>
                <c:pt idx="59">
                  <c:v>2458142.2686458332</c:v>
                </c:pt>
                <c:pt idx="60">
                  <c:v>2458142.269074074</c:v>
                </c:pt>
                <c:pt idx="61">
                  <c:v>2458142.2694907407</c:v>
                </c:pt>
                <c:pt idx="62">
                  <c:v>2458142.2699074075</c:v>
                </c:pt>
                <c:pt idx="63">
                  <c:v>2458142.2703240742</c:v>
                </c:pt>
                <c:pt idx="64">
                  <c:v>2458142.2707523149</c:v>
                </c:pt>
                <c:pt idx="65">
                  <c:v>2458142.2711689817</c:v>
                </c:pt>
                <c:pt idx="66">
                  <c:v>2458142.2715972224</c:v>
                </c:pt>
                <c:pt idx="67">
                  <c:v>2458142.2720138887</c:v>
                </c:pt>
                <c:pt idx="68">
                  <c:v>2458142.2724305554</c:v>
                </c:pt>
                <c:pt idx="69">
                  <c:v>2458142.2728587962</c:v>
                </c:pt>
                <c:pt idx="70">
                  <c:v>2458142.2732754629</c:v>
                </c:pt>
                <c:pt idx="71">
                  <c:v>2458142.2736921296</c:v>
                </c:pt>
                <c:pt idx="72">
                  <c:v>2458142.2741203704</c:v>
                </c:pt>
                <c:pt idx="73">
                  <c:v>2458142.2745370371</c:v>
                </c:pt>
                <c:pt idx="74">
                  <c:v>2458142.2749537039</c:v>
                </c:pt>
                <c:pt idx="75">
                  <c:v>2458142.2753819446</c:v>
                </c:pt>
                <c:pt idx="76">
                  <c:v>2458142.2757986113</c:v>
                </c:pt>
                <c:pt idx="77">
                  <c:v>2458142.2762152776</c:v>
                </c:pt>
                <c:pt idx="78">
                  <c:v>2458142.2766435184</c:v>
                </c:pt>
                <c:pt idx="79">
                  <c:v>2458142.2770601851</c:v>
                </c:pt>
                <c:pt idx="80">
                  <c:v>2458142.2774768518</c:v>
                </c:pt>
                <c:pt idx="81">
                  <c:v>2458142.2779050926</c:v>
                </c:pt>
                <c:pt idx="82">
                  <c:v>2458142.2783217593</c:v>
                </c:pt>
                <c:pt idx="83">
                  <c:v>2458142.2787500001</c:v>
                </c:pt>
                <c:pt idx="84">
                  <c:v>2458142.2791666668</c:v>
                </c:pt>
                <c:pt idx="85">
                  <c:v>2458142.2799652778</c:v>
                </c:pt>
                <c:pt idx="86">
                  <c:v>2458142.2803819445</c:v>
                </c:pt>
                <c:pt idx="87">
                  <c:v>2458142.2808101852</c:v>
                </c:pt>
                <c:pt idx="88">
                  <c:v>2458142.281226852</c:v>
                </c:pt>
                <c:pt idx="89">
                  <c:v>2458142.2816550927</c:v>
                </c:pt>
                <c:pt idx="90">
                  <c:v>2458142.2820717595</c:v>
                </c:pt>
                <c:pt idx="91">
                  <c:v>2458142.2824884257</c:v>
                </c:pt>
                <c:pt idx="92">
                  <c:v>2458142.2829050925</c:v>
                </c:pt>
                <c:pt idx="93">
                  <c:v>2458142.2833333332</c:v>
                </c:pt>
                <c:pt idx="94">
                  <c:v>2458142.2837499999</c:v>
                </c:pt>
                <c:pt idx="95">
                  <c:v>2458142.2841666667</c:v>
                </c:pt>
                <c:pt idx="96">
                  <c:v>2458142.2845949074</c:v>
                </c:pt>
                <c:pt idx="97">
                  <c:v>2458142.2850115742</c:v>
                </c:pt>
                <c:pt idx="98">
                  <c:v>2458142.2854398149</c:v>
                </c:pt>
                <c:pt idx="99">
                  <c:v>2458142.2858564816</c:v>
                </c:pt>
                <c:pt idx="100">
                  <c:v>2458142.2862847224</c:v>
                </c:pt>
                <c:pt idx="101">
                  <c:v>2458142.2867013887</c:v>
                </c:pt>
                <c:pt idx="102">
                  <c:v>2458142.2871180554</c:v>
                </c:pt>
                <c:pt idx="103">
                  <c:v>2458142.2875462961</c:v>
                </c:pt>
                <c:pt idx="104">
                  <c:v>2458142.2879629629</c:v>
                </c:pt>
                <c:pt idx="105">
                  <c:v>2458142.2883796296</c:v>
                </c:pt>
                <c:pt idx="106">
                  <c:v>2458142.2888078704</c:v>
                </c:pt>
                <c:pt idx="107">
                  <c:v>2458142.2892245371</c:v>
                </c:pt>
                <c:pt idx="108">
                  <c:v>2458142.2896527778</c:v>
                </c:pt>
                <c:pt idx="109">
                  <c:v>2458142.2900694446</c:v>
                </c:pt>
                <c:pt idx="110">
                  <c:v>2458142.2904976853</c:v>
                </c:pt>
                <c:pt idx="111">
                  <c:v>2458142.2909143521</c:v>
                </c:pt>
                <c:pt idx="112">
                  <c:v>2458142.2913310183</c:v>
                </c:pt>
                <c:pt idx="113">
                  <c:v>2458142.2917476851</c:v>
                </c:pt>
                <c:pt idx="114">
                  <c:v>2458142.2921759258</c:v>
                </c:pt>
                <c:pt idx="115">
                  <c:v>2458142.2925925925</c:v>
                </c:pt>
                <c:pt idx="116">
                  <c:v>2458142.2930208333</c:v>
                </c:pt>
                <c:pt idx="117">
                  <c:v>2458142.2934375</c:v>
                </c:pt>
                <c:pt idx="118">
                  <c:v>2458142.2938541668</c:v>
                </c:pt>
                <c:pt idx="119">
                  <c:v>2458142.2942824075</c:v>
                </c:pt>
                <c:pt idx="120">
                  <c:v>2458142.2946990742</c:v>
                </c:pt>
                <c:pt idx="121">
                  <c:v>2458142.295115741</c:v>
                </c:pt>
                <c:pt idx="122">
                  <c:v>2458142.2955439817</c:v>
                </c:pt>
                <c:pt idx="123">
                  <c:v>2458142.295960648</c:v>
                </c:pt>
                <c:pt idx="124">
                  <c:v>2458142.2963773147</c:v>
                </c:pt>
                <c:pt idx="125">
                  <c:v>2458142.2968055555</c:v>
                </c:pt>
                <c:pt idx="126">
                  <c:v>2458142.2972222222</c:v>
                </c:pt>
                <c:pt idx="127">
                  <c:v>2458142.2976388889</c:v>
                </c:pt>
                <c:pt idx="128">
                  <c:v>2458142.2980671297</c:v>
                </c:pt>
                <c:pt idx="129">
                  <c:v>2458142.2984837964</c:v>
                </c:pt>
                <c:pt idx="130">
                  <c:v>2458142.2989120372</c:v>
                </c:pt>
                <c:pt idx="131">
                  <c:v>2458142.2993287039</c:v>
                </c:pt>
                <c:pt idx="132">
                  <c:v>2458142.2997453702</c:v>
                </c:pt>
                <c:pt idx="133">
                  <c:v>2458142.3001620369</c:v>
                </c:pt>
                <c:pt idx="134">
                  <c:v>2458142.3005902776</c:v>
                </c:pt>
                <c:pt idx="135">
                  <c:v>2458142.3010069444</c:v>
                </c:pt>
                <c:pt idx="136">
                  <c:v>2458142.3014351851</c:v>
                </c:pt>
                <c:pt idx="137">
                  <c:v>2458142.3018518519</c:v>
                </c:pt>
                <c:pt idx="138">
                  <c:v>2458142.3022685186</c:v>
                </c:pt>
                <c:pt idx="139">
                  <c:v>2458142.3026967593</c:v>
                </c:pt>
                <c:pt idx="140">
                  <c:v>2458142.3031134261</c:v>
                </c:pt>
                <c:pt idx="141">
                  <c:v>2458142.3035300928</c:v>
                </c:pt>
                <c:pt idx="142">
                  <c:v>2458142.3039583331</c:v>
                </c:pt>
                <c:pt idx="143">
                  <c:v>2458142.3043749998</c:v>
                </c:pt>
                <c:pt idx="144">
                  <c:v>2458142.3047916666</c:v>
                </c:pt>
                <c:pt idx="145">
                  <c:v>2458142.3052199073</c:v>
                </c:pt>
                <c:pt idx="146">
                  <c:v>2458142.305636574</c:v>
                </c:pt>
                <c:pt idx="147">
                  <c:v>2458142.3060532408</c:v>
                </c:pt>
                <c:pt idx="148">
                  <c:v>2458142.3064699075</c:v>
                </c:pt>
                <c:pt idx="149">
                  <c:v>2458142.3068981483</c:v>
                </c:pt>
                <c:pt idx="150">
                  <c:v>2458142.307314815</c:v>
                </c:pt>
                <c:pt idx="151">
                  <c:v>2458142.3077314813</c:v>
                </c:pt>
                <c:pt idx="152">
                  <c:v>2458142.308148148</c:v>
                </c:pt>
                <c:pt idx="153">
                  <c:v>2458142.3085763888</c:v>
                </c:pt>
                <c:pt idx="154">
                  <c:v>2458142.3089930555</c:v>
                </c:pt>
                <c:pt idx="155">
                  <c:v>2458142.3094097222</c:v>
                </c:pt>
                <c:pt idx="156">
                  <c:v>2458142.309837963</c:v>
                </c:pt>
                <c:pt idx="157">
                  <c:v>2458142.3102546297</c:v>
                </c:pt>
                <c:pt idx="158">
                  <c:v>2458142.3106712964</c:v>
                </c:pt>
                <c:pt idx="159">
                  <c:v>2458142.3110995372</c:v>
                </c:pt>
                <c:pt idx="160">
                  <c:v>2458142.3115162039</c:v>
                </c:pt>
                <c:pt idx="161">
                  <c:v>2458142.3119328702</c:v>
                </c:pt>
                <c:pt idx="162">
                  <c:v>2458142.3123611109</c:v>
                </c:pt>
                <c:pt idx="163">
                  <c:v>2458142.3127777777</c:v>
                </c:pt>
                <c:pt idx="164">
                  <c:v>2458142.3132060184</c:v>
                </c:pt>
                <c:pt idx="165">
                  <c:v>2458142.3136226851</c:v>
                </c:pt>
                <c:pt idx="166">
                  <c:v>2458142.3140509259</c:v>
                </c:pt>
                <c:pt idx="167">
                  <c:v>2458142.3144675926</c:v>
                </c:pt>
                <c:pt idx="168">
                  <c:v>2458142.3148842594</c:v>
                </c:pt>
                <c:pt idx="169">
                  <c:v>2458142.3153125001</c:v>
                </c:pt>
                <c:pt idx="170">
                  <c:v>2458142.3157291668</c:v>
                </c:pt>
                <c:pt idx="171">
                  <c:v>2458142.3161458331</c:v>
                </c:pt>
                <c:pt idx="172">
                  <c:v>2458142.3165740739</c:v>
                </c:pt>
                <c:pt idx="173">
                  <c:v>2458142.3169907406</c:v>
                </c:pt>
                <c:pt idx="174">
                  <c:v>2458142.3174074073</c:v>
                </c:pt>
                <c:pt idx="175">
                  <c:v>2458142.3178356481</c:v>
                </c:pt>
                <c:pt idx="176">
                  <c:v>2458142.3182523148</c:v>
                </c:pt>
                <c:pt idx="177">
                  <c:v>2458142.3186689815</c:v>
                </c:pt>
                <c:pt idx="178">
                  <c:v>2458142.3190972223</c:v>
                </c:pt>
                <c:pt idx="179">
                  <c:v>2458142.319513889</c:v>
                </c:pt>
                <c:pt idx="180">
                  <c:v>2458142.3199305558</c:v>
                </c:pt>
                <c:pt idx="181">
                  <c:v>2458142.320347222</c:v>
                </c:pt>
                <c:pt idx="182">
                  <c:v>2458142.3207754628</c:v>
                </c:pt>
                <c:pt idx="183">
                  <c:v>2458142.3211921295</c:v>
                </c:pt>
                <c:pt idx="184">
                  <c:v>2458142.3216203703</c:v>
                </c:pt>
                <c:pt idx="185">
                  <c:v>2458142.322037037</c:v>
                </c:pt>
                <c:pt idx="186">
                  <c:v>2458142.3224537037</c:v>
                </c:pt>
                <c:pt idx="187">
                  <c:v>2458142.3228703705</c:v>
                </c:pt>
                <c:pt idx="188">
                  <c:v>2458142.3232986112</c:v>
                </c:pt>
                <c:pt idx="189">
                  <c:v>2458142.3237152779</c:v>
                </c:pt>
                <c:pt idx="190">
                  <c:v>2458142.3241319442</c:v>
                </c:pt>
                <c:pt idx="191">
                  <c:v>2458142.324560185</c:v>
                </c:pt>
                <c:pt idx="192">
                  <c:v>2458142.3257175926</c:v>
                </c:pt>
                <c:pt idx="193">
                  <c:v>2458142.3261342593</c:v>
                </c:pt>
                <c:pt idx="194">
                  <c:v>2458142.3265625001</c:v>
                </c:pt>
                <c:pt idx="195">
                  <c:v>2458142.3269791668</c:v>
                </c:pt>
                <c:pt idx="196">
                  <c:v>2458142.3274074076</c:v>
                </c:pt>
                <c:pt idx="197">
                  <c:v>2458142.3278240738</c:v>
                </c:pt>
                <c:pt idx="198">
                  <c:v>2458142.3282407406</c:v>
                </c:pt>
                <c:pt idx="199">
                  <c:v>2458142.3286689813</c:v>
                </c:pt>
                <c:pt idx="200">
                  <c:v>2458142.3290856481</c:v>
                </c:pt>
                <c:pt idx="201">
                  <c:v>2458142.3295023148</c:v>
                </c:pt>
                <c:pt idx="202">
                  <c:v>2458142.3299305555</c:v>
                </c:pt>
                <c:pt idx="203">
                  <c:v>2458142.3303472223</c:v>
                </c:pt>
                <c:pt idx="204">
                  <c:v>2458142.330763889</c:v>
                </c:pt>
                <c:pt idx="205">
                  <c:v>2458142.3311921298</c:v>
                </c:pt>
                <c:pt idx="206">
                  <c:v>2458142.3316087965</c:v>
                </c:pt>
                <c:pt idx="207">
                  <c:v>2458142.3320254628</c:v>
                </c:pt>
                <c:pt idx="208">
                  <c:v>2458142.3324537035</c:v>
                </c:pt>
                <c:pt idx="209">
                  <c:v>2458142.3328703702</c:v>
                </c:pt>
                <c:pt idx="210">
                  <c:v>2458142.333287037</c:v>
                </c:pt>
                <c:pt idx="211">
                  <c:v>2458142.3337152777</c:v>
                </c:pt>
                <c:pt idx="212">
                  <c:v>2458142.3341319445</c:v>
                </c:pt>
                <c:pt idx="213">
                  <c:v>2458142.3345486112</c:v>
                </c:pt>
                <c:pt idx="214">
                  <c:v>2458142.3349652779</c:v>
                </c:pt>
                <c:pt idx="215">
                  <c:v>2458142.3353935187</c:v>
                </c:pt>
                <c:pt idx="216">
                  <c:v>2458142.3358101854</c:v>
                </c:pt>
                <c:pt idx="217">
                  <c:v>2458142.3362268517</c:v>
                </c:pt>
                <c:pt idx="218">
                  <c:v>2458142.3366550924</c:v>
                </c:pt>
                <c:pt idx="219">
                  <c:v>2458142.3370717592</c:v>
                </c:pt>
                <c:pt idx="220">
                  <c:v>2458142.3374884259</c:v>
                </c:pt>
                <c:pt idx="221">
                  <c:v>2458142.3379166666</c:v>
                </c:pt>
                <c:pt idx="222">
                  <c:v>2458142.3383333334</c:v>
                </c:pt>
                <c:pt idx="223">
                  <c:v>2458142.3387615741</c:v>
                </c:pt>
                <c:pt idx="224">
                  <c:v>2458142.3391782409</c:v>
                </c:pt>
                <c:pt idx="225">
                  <c:v>2458142.3395949076</c:v>
                </c:pt>
                <c:pt idx="226">
                  <c:v>2458142.3400231483</c:v>
                </c:pt>
                <c:pt idx="227">
                  <c:v>2458142.3404398146</c:v>
                </c:pt>
                <c:pt idx="228">
                  <c:v>2458142.3408564813</c:v>
                </c:pt>
                <c:pt idx="229">
                  <c:v>2458142.3412847221</c:v>
                </c:pt>
                <c:pt idx="230">
                  <c:v>2458142.3417013888</c:v>
                </c:pt>
                <c:pt idx="231">
                  <c:v>2458142.3421180556</c:v>
                </c:pt>
                <c:pt idx="232">
                  <c:v>2458142.3425462963</c:v>
                </c:pt>
                <c:pt idx="233">
                  <c:v>2458142.342962963</c:v>
                </c:pt>
                <c:pt idx="234">
                  <c:v>2458142.3433796298</c:v>
                </c:pt>
                <c:pt idx="235">
                  <c:v>2458142.3437962965</c:v>
                </c:pt>
                <c:pt idx="236">
                  <c:v>2458142.3442245373</c:v>
                </c:pt>
                <c:pt idx="237">
                  <c:v>2458142.3459374998</c:v>
                </c:pt>
                <c:pt idx="238">
                  <c:v>2458142.3463657405</c:v>
                </c:pt>
                <c:pt idx="239">
                  <c:v>2458142.3467824073</c:v>
                </c:pt>
                <c:pt idx="240">
                  <c:v>2458142.347199074</c:v>
                </c:pt>
                <c:pt idx="241">
                  <c:v>2458142.3476273147</c:v>
                </c:pt>
                <c:pt idx="242">
                  <c:v>2458142.3480439815</c:v>
                </c:pt>
                <c:pt idx="243">
                  <c:v>2458142.3484722222</c:v>
                </c:pt>
                <c:pt idx="244">
                  <c:v>2458142.348888889</c:v>
                </c:pt>
                <c:pt idx="245">
                  <c:v>2458142.3493171297</c:v>
                </c:pt>
                <c:pt idx="246">
                  <c:v>2458142.3497337964</c:v>
                </c:pt>
                <c:pt idx="247">
                  <c:v>2458142.3501504632</c:v>
                </c:pt>
                <c:pt idx="248">
                  <c:v>2458142.3505787039</c:v>
                </c:pt>
                <c:pt idx="249">
                  <c:v>2458142.3509953702</c:v>
                </c:pt>
                <c:pt idx="250">
                  <c:v>2458142.3514236109</c:v>
                </c:pt>
                <c:pt idx="251">
                  <c:v>2458142.3518402777</c:v>
                </c:pt>
                <c:pt idx="252">
                  <c:v>2458142.3522685184</c:v>
                </c:pt>
                <c:pt idx="253">
                  <c:v>2458142.3526851851</c:v>
                </c:pt>
                <c:pt idx="254">
                  <c:v>2458142.3531134259</c:v>
                </c:pt>
                <c:pt idx="255">
                  <c:v>2458142.3535300926</c:v>
                </c:pt>
                <c:pt idx="256">
                  <c:v>2458142.3539583334</c:v>
                </c:pt>
                <c:pt idx="257">
                  <c:v>2458142.3543750001</c:v>
                </c:pt>
                <c:pt idx="258">
                  <c:v>2458142.3548032409</c:v>
                </c:pt>
                <c:pt idx="259">
                  <c:v>2458142.3552199076</c:v>
                </c:pt>
                <c:pt idx="260">
                  <c:v>2458142.3556481483</c:v>
                </c:pt>
                <c:pt idx="261">
                  <c:v>2458142.3560648146</c:v>
                </c:pt>
                <c:pt idx="262">
                  <c:v>2458142.3564814813</c:v>
                </c:pt>
                <c:pt idx="263">
                  <c:v>2458142.3569097221</c:v>
                </c:pt>
                <c:pt idx="264">
                  <c:v>2458142.3573263888</c:v>
                </c:pt>
                <c:pt idx="265">
                  <c:v>2458142.3577430556</c:v>
                </c:pt>
                <c:pt idx="266">
                  <c:v>2458142.3581597223</c:v>
                </c:pt>
                <c:pt idx="267">
                  <c:v>2458142.358587963</c:v>
                </c:pt>
                <c:pt idx="268">
                  <c:v>2458142.3590046298</c:v>
                </c:pt>
                <c:pt idx="269">
                  <c:v>2458142.3594328705</c:v>
                </c:pt>
                <c:pt idx="270">
                  <c:v>2458142.3598495373</c:v>
                </c:pt>
                <c:pt idx="271">
                  <c:v>2458142.3602662035</c:v>
                </c:pt>
                <c:pt idx="272">
                  <c:v>2458142.3606944443</c:v>
                </c:pt>
                <c:pt idx="273">
                  <c:v>2458142.361111111</c:v>
                </c:pt>
                <c:pt idx="274">
                  <c:v>2458142.3615277777</c:v>
                </c:pt>
                <c:pt idx="275">
                  <c:v>2458142.3619560185</c:v>
                </c:pt>
                <c:pt idx="276">
                  <c:v>2458142.3623726852</c:v>
                </c:pt>
                <c:pt idx="277">
                  <c:v>2458142.362789352</c:v>
                </c:pt>
                <c:pt idx="278">
                  <c:v>2458142.3632175927</c:v>
                </c:pt>
                <c:pt idx="279">
                  <c:v>2458142.3636342594</c:v>
                </c:pt>
                <c:pt idx="280">
                  <c:v>2458142.3640625002</c:v>
                </c:pt>
                <c:pt idx="281">
                  <c:v>2458142.3644791665</c:v>
                </c:pt>
                <c:pt idx="282">
                  <c:v>2458142.3649074072</c:v>
                </c:pt>
                <c:pt idx="283">
                  <c:v>2458142.3653240739</c:v>
                </c:pt>
                <c:pt idx="284">
                  <c:v>2458142.3657523147</c:v>
                </c:pt>
                <c:pt idx="285">
                  <c:v>2458142.3661689814</c:v>
                </c:pt>
                <c:pt idx="286">
                  <c:v>2458142.3665972222</c:v>
                </c:pt>
                <c:pt idx="287">
                  <c:v>2458142.3670138889</c:v>
                </c:pt>
                <c:pt idx="288">
                  <c:v>2458142.3674421296</c:v>
                </c:pt>
                <c:pt idx="289">
                  <c:v>2458142.3678587964</c:v>
                </c:pt>
                <c:pt idx="290">
                  <c:v>2458142.3682754631</c:v>
                </c:pt>
                <c:pt idx="291">
                  <c:v>2458142.3687037039</c:v>
                </c:pt>
                <c:pt idx="292">
                  <c:v>2458142.3691203706</c:v>
                </c:pt>
                <c:pt idx="293">
                  <c:v>2458142.3695370369</c:v>
                </c:pt>
                <c:pt idx="294">
                  <c:v>2458142.3699652776</c:v>
                </c:pt>
                <c:pt idx="295">
                  <c:v>2458142.3703819443</c:v>
                </c:pt>
                <c:pt idx="296">
                  <c:v>2458142.3707986111</c:v>
                </c:pt>
                <c:pt idx="297">
                  <c:v>2458142.3712268518</c:v>
                </c:pt>
                <c:pt idx="298">
                  <c:v>2458142.3716435186</c:v>
                </c:pt>
                <c:pt idx="299">
                  <c:v>2458142.3720601853</c:v>
                </c:pt>
                <c:pt idx="300">
                  <c:v>2458142.372476852</c:v>
                </c:pt>
                <c:pt idx="301">
                  <c:v>2458142.3729050928</c:v>
                </c:pt>
                <c:pt idx="302">
                  <c:v>2458142.373321759</c:v>
                </c:pt>
                <c:pt idx="303">
                  <c:v>2458142.3737499998</c:v>
                </c:pt>
                <c:pt idx="304">
                  <c:v>2458142.3741666665</c:v>
                </c:pt>
                <c:pt idx="305">
                  <c:v>2458142.3745949073</c:v>
                </c:pt>
                <c:pt idx="306">
                  <c:v>2458142.375011574</c:v>
                </c:pt>
                <c:pt idx="307">
                  <c:v>2458142.3754282407</c:v>
                </c:pt>
                <c:pt idx="308">
                  <c:v>2458142.3758564815</c:v>
                </c:pt>
                <c:pt idx="309">
                  <c:v>2458142.3762731482</c:v>
                </c:pt>
                <c:pt idx="310">
                  <c:v>2458142.376701389</c:v>
                </c:pt>
                <c:pt idx="311">
                  <c:v>2458142.3771180557</c:v>
                </c:pt>
              </c:numCache>
            </c:numRef>
          </c:xVal>
          <c:yVal>
            <c:numRef>
              <c:f>Photometry20180123!$C$27:$C$338</c:f>
              <c:numCache>
                <c:formatCode>0.000</c:formatCode>
                <c:ptCount val="312"/>
                <c:pt idx="0">
                  <c:v>9.3795526368104252</c:v>
                </c:pt>
                <c:pt idx="1">
                  <c:v>9.3803858432024008</c:v>
                </c:pt>
                <c:pt idx="2">
                  <c:v>9.3574851359152742</c:v>
                </c:pt>
                <c:pt idx="3">
                  <c:v>9.3355587872010002</c:v>
                </c:pt>
                <c:pt idx="4">
                  <c:v>9.326476632501123</c:v>
                </c:pt>
                <c:pt idx="5">
                  <c:v>9.3252956026339007</c:v>
                </c:pt>
                <c:pt idx="6">
                  <c:v>9.3080815180817993</c:v>
                </c:pt>
                <c:pt idx="7">
                  <c:v>9.3049498790793237</c:v>
                </c:pt>
                <c:pt idx="8">
                  <c:v>9.2797435915551993</c:v>
                </c:pt>
                <c:pt idx="9">
                  <c:v>9.2691228892728503</c:v>
                </c:pt>
                <c:pt idx="10">
                  <c:v>9.2546149947341743</c:v>
                </c:pt>
                <c:pt idx="11">
                  <c:v>9.2468854722968743</c:v>
                </c:pt>
                <c:pt idx="12">
                  <c:v>9.2326478305849999</c:v>
                </c:pt>
                <c:pt idx="13">
                  <c:v>9.2141236740849752</c:v>
                </c:pt>
                <c:pt idx="14">
                  <c:v>9.2056412191161741</c:v>
                </c:pt>
                <c:pt idx="15">
                  <c:v>9.1853751969395745</c:v>
                </c:pt>
                <c:pt idx="16">
                  <c:v>9.1834467852882486</c:v>
                </c:pt>
                <c:pt idx="17">
                  <c:v>9.1634029208199763</c:v>
                </c:pt>
                <c:pt idx="18">
                  <c:v>9.1665679132764986</c:v>
                </c:pt>
                <c:pt idx="19">
                  <c:v>9.1501611961690514</c:v>
                </c:pt>
                <c:pt idx="20">
                  <c:v>9.1374088062083256</c:v>
                </c:pt>
                <c:pt idx="21">
                  <c:v>9.1321223490987755</c:v>
                </c:pt>
                <c:pt idx="22">
                  <c:v>9.1219816166843994</c:v>
                </c:pt>
                <c:pt idx="23">
                  <c:v>9.1146441284163515</c:v>
                </c:pt>
                <c:pt idx="24">
                  <c:v>9.1166749511648497</c:v>
                </c:pt>
                <c:pt idx="25">
                  <c:v>9.0956207157728262</c:v>
                </c:pt>
                <c:pt idx="26">
                  <c:v>9.1016433245597756</c:v>
                </c:pt>
                <c:pt idx="27">
                  <c:v>9.09752618965185</c:v>
                </c:pt>
                <c:pt idx="28">
                  <c:v>9.0959506695817751</c:v>
                </c:pt>
                <c:pt idx="29">
                  <c:v>9.0913402101789735</c:v>
                </c:pt>
                <c:pt idx="30">
                  <c:v>9.0823201623191245</c:v>
                </c:pt>
                <c:pt idx="31">
                  <c:v>9.0804071797609751</c:v>
                </c:pt>
                <c:pt idx="32">
                  <c:v>9.0713396251312002</c:v>
                </c:pt>
                <c:pt idx="33">
                  <c:v>9.0804054735083497</c:v>
                </c:pt>
                <c:pt idx="34">
                  <c:v>9.0849660139644755</c:v>
                </c:pt>
                <c:pt idx="35">
                  <c:v>9.096036218490374</c:v>
                </c:pt>
                <c:pt idx="36">
                  <c:v>9.0710604139938269</c:v>
                </c:pt>
                <c:pt idx="37">
                  <c:v>9.0750151436988737</c:v>
                </c:pt>
                <c:pt idx="38">
                  <c:v>9.0782291066427501</c:v>
                </c:pt>
                <c:pt idx="39">
                  <c:v>9.0841129197645252</c:v>
                </c:pt>
                <c:pt idx="40">
                  <c:v>9.0884419530089744</c:v>
                </c:pt>
                <c:pt idx="41">
                  <c:v>9.0885277216656739</c:v>
                </c:pt>
                <c:pt idx="42">
                  <c:v>9.0813573228178761</c:v>
                </c:pt>
                <c:pt idx="43">
                  <c:v>9.0805179368075493</c:v>
                </c:pt>
                <c:pt idx="44">
                  <c:v>9.0867909605685995</c:v>
                </c:pt>
                <c:pt idx="45">
                  <c:v>9.0973108312165003</c:v>
                </c:pt>
                <c:pt idx="46">
                  <c:v>9.0981450683768763</c:v>
                </c:pt>
                <c:pt idx="47">
                  <c:v>9.1013341554018741</c:v>
                </c:pt>
                <c:pt idx="48">
                  <c:v>9.1093525321801252</c:v>
                </c:pt>
                <c:pt idx="49">
                  <c:v>9.1103674523735254</c:v>
                </c:pt>
                <c:pt idx="50">
                  <c:v>9.1063981562501741</c:v>
                </c:pt>
                <c:pt idx="51">
                  <c:v>9.1072656054661998</c:v>
                </c:pt>
                <c:pt idx="52">
                  <c:v>9.1167174626641252</c:v>
                </c:pt>
                <c:pt idx="53">
                  <c:v>9.1166168053113754</c:v>
                </c:pt>
                <c:pt idx="54">
                  <c:v>9.119693280843375</c:v>
                </c:pt>
                <c:pt idx="55">
                  <c:v>9.1359470561835252</c:v>
                </c:pt>
                <c:pt idx="56">
                  <c:v>9.1417127153134246</c:v>
                </c:pt>
                <c:pt idx="57">
                  <c:v>9.1294222766932247</c:v>
                </c:pt>
                <c:pt idx="58">
                  <c:v>9.1444200923026493</c:v>
                </c:pt>
                <c:pt idx="59">
                  <c:v>9.1439414178318508</c:v>
                </c:pt>
                <c:pt idx="60">
                  <c:v>9.1549089676721245</c:v>
                </c:pt>
                <c:pt idx="61">
                  <c:v>9.1533513296153757</c:v>
                </c:pt>
                <c:pt idx="62">
                  <c:v>9.1597456445141496</c:v>
                </c:pt>
                <c:pt idx="63">
                  <c:v>9.1665527917984733</c:v>
                </c:pt>
                <c:pt idx="64">
                  <c:v>9.1612552512368257</c:v>
                </c:pt>
                <c:pt idx="65">
                  <c:v>9.1693241493945248</c:v>
                </c:pt>
                <c:pt idx="66">
                  <c:v>9.1795040119732754</c:v>
                </c:pt>
                <c:pt idx="67">
                  <c:v>9.1826414352595229</c:v>
                </c:pt>
                <c:pt idx="68">
                  <c:v>9.1814252876081248</c:v>
                </c:pt>
                <c:pt idx="69">
                  <c:v>9.1951360854755997</c:v>
                </c:pt>
                <c:pt idx="70">
                  <c:v>9.1800339730552238</c:v>
                </c:pt>
                <c:pt idx="71">
                  <c:v>9.1894632832716763</c:v>
                </c:pt>
                <c:pt idx="72">
                  <c:v>9.2093625318425492</c:v>
                </c:pt>
                <c:pt idx="73">
                  <c:v>9.218903631020023</c:v>
                </c:pt>
                <c:pt idx="74">
                  <c:v>9.2164629227419503</c:v>
                </c:pt>
                <c:pt idx="75">
                  <c:v>9.2268205538257249</c:v>
                </c:pt>
                <c:pt idx="76">
                  <c:v>9.2284826046620996</c:v>
                </c:pt>
                <c:pt idx="77">
                  <c:v>9.2411251188572745</c:v>
                </c:pt>
                <c:pt idx="78">
                  <c:v>9.2327672506243239</c:v>
                </c:pt>
                <c:pt idx="79">
                  <c:v>9.2368681718750238</c:v>
                </c:pt>
                <c:pt idx="80">
                  <c:v>9.2477600054889244</c:v>
                </c:pt>
                <c:pt idx="81">
                  <c:v>9.254035226331025</c:v>
                </c:pt>
                <c:pt idx="82">
                  <c:v>9.2505499563827751</c:v>
                </c:pt>
                <c:pt idx="83">
                  <c:v>9.2595272059347771</c:v>
                </c:pt>
                <c:pt idx="84">
                  <c:v>9.2644609859012004</c:v>
                </c:pt>
                <c:pt idx="85">
                  <c:v>9.2789451665382501</c:v>
                </c:pt>
                <c:pt idx="86">
                  <c:v>9.2732137925616254</c:v>
                </c:pt>
                <c:pt idx="87">
                  <c:v>9.2924726484875766</c:v>
                </c:pt>
                <c:pt idx="88">
                  <c:v>9.28292837213605</c:v>
                </c:pt>
                <c:pt idx="89">
                  <c:v>9.295607727843624</c:v>
                </c:pt>
                <c:pt idx="90">
                  <c:v>9.2877776228915252</c:v>
                </c:pt>
                <c:pt idx="91">
                  <c:v>9.294805571980449</c:v>
                </c:pt>
                <c:pt idx="92">
                  <c:v>9.2933103155157237</c:v>
                </c:pt>
                <c:pt idx="93">
                  <c:v>9.304681776000173</c:v>
                </c:pt>
                <c:pt idx="94">
                  <c:v>9.3108106219555999</c:v>
                </c:pt>
                <c:pt idx="95">
                  <c:v>9.3223885452372759</c:v>
                </c:pt>
                <c:pt idx="96">
                  <c:v>9.3128609915995995</c:v>
                </c:pt>
                <c:pt idx="97">
                  <c:v>9.3287820486003259</c:v>
                </c:pt>
                <c:pt idx="98">
                  <c:v>9.331584319715601</c:v>
                </c:pt>
                <c:pt idx="99">
                  <c:v>9.3354298689318505</c:v>
                </c:pt>
                <c:pt idx="100">
                  <c:v>9.3394261450722986</c:v>
                </c:pt>
                <c:pt idx="101">
                  <c:v>9.3389705754590011</c:v>
                </c:pt>
                <c:pt idx="102">
                  <c:v>9.3421262061532744</c:v>
                </c:pt>
                <c:pt idx="103">
                  <c:v>9.3479303358038006</c:v>
                </c:pt>
                <c:pt idx="104">
                  <c:v>9.3397614379889475</c:v>
                </c:pt>
                <c:pt idx="105">
                  <c:v>9.3439856959305736</c:v>
                </c:pt>
                <c:pt idx="106">
                  <c:v>9.3620853622997</c:v>
                </c:pt>
                <c:pt idx="107">
                  <c:v>9.3497129100870264</c:v>
                </c:pt>
                <c:pt idx="108">
                  <c:v>9.3617418081137505</c:v>
                </c:pt>
                <c:pt idx="109">
                  <c:v>9.3652999150187259</c:v>
                </c:pt>
                <c:pt idx="110">
                  <c:v>9.3615298286713511</c:v>
                </c:pt>
                <c:pt idx="111">
                  <c:v>9.3786377635193752</c:v>
                </c:pt>
                <c:pt idx="112">
                  <c:v>9.3713593778251756</c:v>
                </c:pt>
                <c:pt idx="113">
                  <c:v>9.3858902120251262</c:v>
                </c:pt>
                <c:pt idx="114">
                  <c:v>9.37608253785125</c:v>
                </c:pt>
                <c:pt idx="115">
                  <c:v>9.3891426827397506</c:v>
                </c:pt>
                <c:pt idx="116">
                  <c:v>9.3788051316113012</c:v>
                </c:pt>
                <c:pt idx="117">
                  <c:v>9.3889673869009247</c:v>
                </c:pt>
                <c:pt idx="118">
                  <c:v>9.4006820374816993</c:v>
                </c:pt>
                <c:pt idx="119">
                  <c:v>9.4012520644894497</c:v>
                </c:pt>
                <c:pt idx="120">
                  <c:v>9.4141452986570737</c:v>
                </c:pt>
                <c:pt idx="121">
                  <c:v>9.3952517073563264</c:v>
                </c:pt>
                <c:pt idx="122">
                  <c:v>9.4026137929973252</c:v>
                </c:pt>
                <c:pt idx="123">
                  <c:v>9.4029107564334495</c:v>
                </c:pt>
                <c:pt idx="124">
                  <c:v>9.417308688606651</c:v>
                </c:pt>
                <c:pt idx="125">
                  <c:v>9.4054533327562755</c:v>
                </c:pt>
                <c:pt idx="126">
                  <c:v>9.4178202691191011</c:v>
                </c:pt>
                <c:pt idx="127">
                  <c:v>9.4244968127148248</c:v>
                </c:pt>
                <c:pt idx="128">
                  <c:v>9.4371138563592005</c:v>
                </c:pt>
                <c:pt idx="129">
                  <c:v>9.4378578605636001</c:v>
                </c:pt>
                <c:pt idx="130">
                  <c:v>9.4450324407988244</c:v>
                </c:pt>
                <c:pt idx="131">
                  <c:v>9.4488337327621252</c:v>
                </c:pt>
                <c:pt idx="132">
                  <c:v>9.4382235369481258</c:v>
                </c:pt>
                <c:pt idx="133">
                  <c:v>9.4443847782657251</c:v>
                </c:pt>
                <c:pt idx="134">
                  <c:v>9.4440722408543003</c:v>
                </c:pt>
                <c:pt idx="135">
                  <c:v>9.4457233387123747</c:v>
                </c:pt>
                <c:pt idx="136">
                  <c:v>9.4431718517185743</c:v>
                </c:pt>
                <c:pt idx="137">
                  <c:v>9.4453205795460242</c:v>
                </c:pt>
                <c:pt idx="138">
                  <c:v>9.4528709230618997</c:v>
                </c:pt>
                <c:pt idx="139">
                  <c:v>9.4519947208731772</c:v>
                </c:pt>
                <c:pt idx="140">
                  <c:v>9.4505123829957007</c:v>
                </c:pt>
                <c:pt idx="141">
                  <c:v>9.4602299605664246</c:v>
                </c:pt>
                <c:pt idx="142">
                  <c:v>9.4649595755766249</c:v>
                </c:pt>
                <c:pt idx="143">
                  <c:v>9.4666240730510243</c:v>
                </c:pt>
                <c:pt idx="144">
                  <c:v>9.4717615756137743</c:v>
                </c:pt>
                <c:pt idx="145">
                  <c:v>9.4708204018289486</c:v>
                </c:pt>
                <c:pt idx="146">
                  <c:v>9.4637432405851989</c:v>
                </c:pt>
                <c:pt idx="147">
                  <c:v>9.4694248312448757</c:v>
                </c:pt>
                <c:pt idx="148">
                  <c:v>9.4787274377658512</c:v>
                </c:pt>
                <c:pt idx="149">
                  <c:v>9.4848565272190761</c:v>
                </c:pt>
                <c:pt idx="150">
                  <c:v>9.4795933317169503</c:v>
                </c:pt>
                <c:pt idx="151">
                  <c:v>9.4933530249818006</c:v>
                </c:pt>
                <c:pt idx="152">
                  <c:v>9.483035438025226</c:v>
                </c:pt>
                <c:pt idx="153">
                  <c:v>9.5101504334806499</c:v>
                </c:pt>
                <c:pt idx="154">
                  <c:v>9.4975202465666495</c:v>
                </c:pt>
                <c:pt idx="155">
                  <c:v>9.4971620996730017</c:v>
                </c:pt>
                <c:pt idx="156">
                  <c:v>9.4956386882696258</c:v>
                </c:pt>
                <c:pt idx="157">
                  <c:v>9.4896109415185244</c:v>
                </c:pt>
                <c:pt idx="158">
                  <c:v>9.5004605309371488</c:v>
                </c:pt>
                <c:pt idx="159">
                  <c:v>9.5058759400273249</c:v>
                </c:pt>
                <c:pt idx="160">
                  <c:v>9.5040236091199741</c:v>
                </c:pt>
                <c:pt idx="161">
                  <c:v>9.5014522306004761</c:v>
                </c:pt>
                <c:pt idx="162">
                  <c:v>9.5143057819920749</c:v>
                </c:pt>
                <c:pt idx="163">
                  <c:v>9.5125030871386755</c:v>
                </c:pt>
                <c:pt idx="164">
                  <c:v>9.5189830590452758</c:v>
                </c:pt>
                <c:pt idx="165">
                  <c:v>9.5109239421004492</c:v>
                </c:pt>
                <c:pt idx="166">
                  <c:v>9.5314454232721246</c:v>
                </c:pt>
                <c:pt idx="167">
                  <c:v>9.5273718284279489</c:v>
                </c:pt>
                <c:pt idx="168">
                  <c:v>9.5195459326786747</c:v>
                </c:pt>
                <c:pt idx="169">
                  <c:v>9.5279777589698487</c:v>
                </c:pt>
                <c:pt idx="170">
                  <c:v>9.5415875125268244</c:v>
                </c:pt>
                <c:pt idx="171">
                  <c:v>9.5323340532049734</c:v>
                </c:pt>
                <c:pt idx="172">
                  <c:v>9.5276521314530012</c:v>
                </c:pt>
                <c:pt idx="173">
                  <c:v>9.5399858469220256</c:v>
                </c:pt>
                <c:pt idx="174">
                  <c:v>9.5397541019691747</c:v>
                </c:pt>
                <c:pt idx="175">
                  <c:v>9.5500938970434994</c:v>
                </c:pt>
                <c:pt idx="176">
                  <c:v>9.5493970750336246</c:v>
                </c:pt>
                <c:pt idx="177">
                  <c:v>9.5492414234136493</c:v>
                </c:pt>
                <c:pt idx="178">
                  <c:v>9.5500083765714496</c:v>
                </c:pt>
                <c:pt idx="179">
                  <c:v>9.5509576678200254</c:v>
                </c:pt>
                <c:pt idx="180">
                  <c:v>9.5559130391682245</c:v>
                </c:pt>
                <c:pt idx="181">
                  <c:v>9.5657461121362743</c:v>
                </c:pt>
                <c:pt idx="182">
                  <c:v>9.5588979741210238</c:v>
                </c:pt>
                <c:pt idx="183">
                  <c:v>9.5535560329792251</c:v>
                </c:pt>
                <c:pt idx="184">
                  <c:v>9.5732779248630742</c:v>
                </c:pt>
                <c:pt idx="185">
                  <c:v>9.560036131324976</c:v>
                </c:pt>
                <c:pt idx="186">
                  <c:v>9.5724755424563739</c:v>
                </c:pt>
                <c:pt idx="187">
                  <c:v>9.5736654540975756</c:v>
                </c:pt>
                <c:pt idx="188">
                  <c:v>9.5701042913066008</c:v>
                </c:pt>
                <c:pt idx="189">
                  <c:v>9.5688307102455994</c:v>
                </c:pt>
                <c:pt idx="190">
                  <c:v>9.5758006401461007</c:v>
                </c:pt>
                <c:pt idx="191">
                  <c:v>9.5818543682075745</c:v>
                </c:pt>
                <c:pt idx="192">
                  <c:v>9.5787779858846509</c:v>
                </c:pt>
                <c:pt idx="193">
                  <c:v>9.587241997290775</c:v>
                </c:pt>
                <c:pt idx="194">
                  <c:v>9.5911808957259996</c:v>
                </c:pt>
                <c:pt idx="195">
                  <c:v>9.5908634585443018</c:v>
                </c:pt>
                <c:pt idx="196">
                  <c:v>9.5798502043616995</c:v>
                </c:pt>
                <c:pt idx="197">
                  <c:v>9.5868633428874261</c:v>
                </c:pt>
                <c:pt idx="198">
                  <c:v>9.5810802366549996</c:v>
                </c:pt>
                <c:pt idx="199">
                  <c:v>9.5894645021353497</c:v>
                </c:pt>
                <c:pt idx="200">
                  <c:v>9.5961115892150257</c:v>
                </c:pt>
                <c:pt idx="201">
                  <c:v>9.5890071434745998</c:v>
                </c:pt>
                <c:pt idx="202">
                  <c:v>9.5912126338953243</c:v>
                </c:pt>
                <c:pt idx="203">
                  <c:v>9.5908375818427238</c:v>
                </c:pt>
                <c:pt idx="204">
                  <c:v>9.5910362569817487</c:v>
                </c:pt>
                <c:pt idx="205">
                  <c:v>9.5916925174640237</c:v>
                </c:pt>
                <c:pt idx="206">
                  <c:v>9.6036406364897999</c:v>
                </c:pt>
                <c:pt idx="207">
                  <c:v>9.5854073914278501</c:v>
                </c:pt>
                <c:pt idx="208">
                  <c:v>9.5975991292812264</c:v>
                </c:pt>
                <c:pt idx="209">
                  <c:v>9.6032237517231493</c:v>
                </c:pt>
                <c:pt idx="210">
                  <c:v>9.6116993572296501</c:v>
                </c:pt>
                <c:pt idx="211">
                  <c:v>9.608925790987449</c:v>
                </c:pt>
                <c:pt idx="212">
                  <c:v>9.6040497302214245</c:v>
                </c:pt>
                <c:pt idx="213">
                  <c:v>9.6038218878262995</c:v>
                </c:pt>
                <c:pt idx="214">
                  <c:v>9.6013253473388005</c:v>
                </c:pt>
                <c:pt idx="215">
                  <c:v>9.6184652445978998</c:v>
                </c:pt>
                <c:pt idx="216">
                  <c:v>9.6121063406446492</c:v>
                </c:pt>
                <c:pt idx="217">
                  <c:v>9.6085898919850496</c:v>
                </c:pt>
                <c:pt idx="218">
                  <c:v>9.6165039120329006</c:v>
                </c:pt>
                <c:pt idx="219">
                  <c:v>9.6055102755182755</c:v>
                </c:pt>
                <c:pt idx="220">
                  <c:v>9.6082417183726996</c:v>
                </c:pt>
                <c:pt idx="221">
                  <c:v>9.6194097879123746</c:v>
                </c:pt>
                <c:pt idx="222">
                  <c:v>9.6178734075290233</c:v>
                </c:pt>
                <c:pt idx="223">
                  <c:v>9.6332748628546501</c:v>
                </c:pt>
                <c:pt idx="224">
                  <c:v>9.6359045534082508</c:v>
                </c:pt>
                <c:pt idx="225">
                  <c:v>9.6072046344647255</c:v>
                </c:pt>
                <c:pt idx="226">
                  <c:v>9.6180116658239747</c:v>
                </c:pt>
                <c:pt idx="227">
                  <c:v>9.6170399518947747</c:v>
                </c:pt>
                <c:pt idx="228">
                  <c:v>9.6172241927918485</c:v>
                </c:pt>
                <c:pt idx="229">
                  <c:v>9.624154818601026</c:v>
                </c:pt>
                <c:pt idx="230">
                  <c:v>9.6396742263014517</c:v>
                </c:pt>
                <c:pt idx="231">
                  <c:v>9.6245989333378752</c:v>
                </c:pt>
                <c:pt idx="232">
                  <c:v>9.6342367275575498</c:v>
                </c:pt>
                <c:pt idx="233">
                  <c:v>9.6222474608356752</c:v>
                </c:pt>
                <c:pt idx="234">
                  <c:v>9.6242893083090504</c:v>
                </c:pt>
                <c:pt idx="235">
                  <c:v>9.6071785906713245</c:v>
                </c:pt>
                <c:pt idx="236">
                  <c:v>9.6166382879135508</c:v>
                </c:pt>
                <c:pt idx="237">
                  <c:v>9.5948133667652247</c:v>
                </c:pt>
                <c:pt idx="238">
                  <c:v>9.6195011674231985</c:v>
                </c:pt>
                <c:pt idx="239">
                  <c:v>9.6218137867789491</c:v>
                </c:pt>
                <c:pt idx="240">
                  <c:v>9.6211842254809756</c:v>
                </c:pt>
                <c:pt idx="241">
                  <c:v>9.6227529140231507</c:v>
                </c:pt>
                <c:pt idx="242">
                  <c:v>9.6028970613928983</c:v>
                </c:pt>
                <c:pt idx="243">
                  <c:v>9.6086114366822493</c:v>
                </c:pt>
                <c:pt idx="244">
                  <c:v>9.6004510580523235</c:v>
                </c:pt>
                <c:pt idx="245">
                  <c:v>9.5943354722500231</c:v>
                </c:pt>
                <c:pt idx="246">
                  <c:v>9.5976658339328491</c:v>
                </c:pt>
                <c:pt idx="247">
                  <c:v>9.5872905625149514</c:v>
                </c:pt>
                <c:pt idx="248">
                  <c:v>9.585650769470174</c:v>
                </c:pt>
                <c:pt idx="249">
                  <c:v>9.5856555870961753</c:v>
                </c:pt>
                <c:pt idx="250">
                  <c:v>9.587256613277976</c:v>
                </c:pt>
                <c:pt idx="251">
                  <c:v>9.5929897821320491</c:v>
                </c:pt>
                <c:pt idx="252">
                  <c:v>9.5883765983714007</c:v>
                </c:pt>
                <c:pt idx="253">
                  <c:v>9.5791128772145253</c:v>
                </c:pt>
                <c:pt idx="254">
                  <c:v>9.5791893332177747</c:v>
                </c:pt>
                <c:pt idx="255">
                  <c:v>9.5765115843676227</c:v>
                </c:pt>
                <c:pt idx="256">
                  <c:v>9.5736925509857258</c:v>
                </c:pt>
                <c:pt idx="257">
                  <c:v>9.5936235129497494</c:v>
                </c:pt>
                <c:pt idx="258">
                  <c:v>9.5843957578283998</c:v>
                </c:pt>
                <c:pt idx="259">
                  <c:v>9.5956685639295003</c:v>
                </c:pt>
                <c:pt idx="260">
                  <c:v>9.5905721607964001</c:v>
                </c:pt>
                <c:pt idx="261">
                  <c:v>9.5577601659910236</c:v>
                </c:pt>
                <c:pt idx="262">
                  <c:v>9.5520763268177014</c:v>
                </c:pt>
                <c:pt idx="263">
                  <c:v>9.5378835966763997</c:v>
                </c:pt>
                <c:pt idx="264">
                  <c:v>9.5381839873504486</c:v>
                </c:pt>
                <c:pt idx="265">
                  <c:v>9.5240942927853496</c:v>
                </c:pt>
                <c:pt idx="266">
                  <c:v>9.5172489152221509</c:v>
                </c:pt>
                <c:pt idx="267">
                  <c:v>9.5053587901510248</c:v>
                </c:pt>
                <c:pt idx="268">
                  <c:v>9.5218129033422763</c:v>
                </c:pt>
                <c:pt idx="269">
                  <c:v>9.5108088503472743</c:v>
                </c:pt>
                <c:pt idx="270">
                  <c:v>9.4978071733441745</c:v>
                </c:pt>
                <c:pt idx="271">
                  <c:v>9.4743191740259256</c:v>
                </c:pt>
                <c:pt idx="272">
                  <c:v>9.4633013639999746</c:v>
                </c:pt>
                <c:pt idx="273">
                  <c:v>9.4613528438017003</c:v>
                </c:pt>
                <c:pt idx="274">
                  <c:v>9.4388395408282992</c:v>
                </c:pt>
                <c:pt idx="275">
                  <c:v>9.4291164841986745</c:v>
                </c:pt>
                <c:pt idx="276">
                  <c:v>9.4364366243889997</c:v>
                </c:pt>
                <c:pt idx="277">
                  <c:v>9.4239694118196997</c:v>
                </c:pt>
                <c:pt idx="278">
                  <c:v>9.3976182685706764</c:v>
                </c:pt>
                <c:pt idx="279">
                  <c:v>9.3976530168085244</c:v>
                </c:pt>
                <c:pt idx="280">
                  <c:v>9.3859100196901259</c:v>
                </c:pt>
                <c:pt idx="281">
                  <c:v>9.3786662639181522</c:v>
                </c:pt>
                <c:pt idx="282">
                  <c:v>9.3569171560437248</c:v>
                </c:pt>
                <c:pt idx="283">
                  <c:v>9.3461157959304497</c:v>
                </c:pt>
                <c:pt idx="284">
                  <c:v>9.3422741134793501</c:v>
                </c:pt>
                <c:pt idx="285">
                  <c:v>9.3371153439811501</c:v>
                </c:pt>
                <c:pt idx="286">
                  <c:v>9.3260742784565238</c:v>
                </c:pt>
                <c:pt idx="287">
                  <c:v>9.3008032134263736</c:v>
                </c:pt>
                <c:pt idx="288">
                  <c:v>9.2848916011214762</c:v>
                </c:pt>
                <c:pt idx="289">
                  <c:v>9.281507054133149</c:v>
                </c:pt>
                <c:pt idx="290">
                  <c:v>9.2577100371779757</c:v>
                </c:pt>
                <c:pt idx="291">
                  <c:v>9.2461210228970501</c:v>
                </c:pt>
                <c:pt idx="292">
                  <c:v>9.2376521429146479</c:v>
                </c:pt>
                <c:pt idx="293">
                  <c:v>9.2166537839801492</c:v>
                </c:pt>
                <c:pt idx="294">
                  <c:v>9.2154097342180759</c:v>
                </c:pt>
                <c:pt idx="295">
                  <c:v>9.1971222166510742</c:v>
                </c:pt>
                <c:pt idx="296">
                  <c:v>9.185579955046574</c:v>
                </c:pt>
                <c:pt idx="297">
                  <c:v>9.172666976347049</c:v>
                </c:pt>
                <c:pt idx="298">
                  <c:v>9.1570001941034995</c:v>
                </c:pt>
                <c:pt idx="299">
                  <c:v>9.1498985495210015</c:v>
                </c:pt>
                <c:pt idx="300">
                  <c:v>9.1490945926121015</c:v>
                </c:pt>
                <c:pt idx="301">
                  <c:v>9.1280275199114733</c:v>
                </c:pt>
                <c:pt idx="302">
                  <c:v>9.1303828754140746</c:v>
                </c:pt>
                <c:pt idx="303">
                  <c:v>9.1174399236124248</c:v>
                </c:pt>
                <c:pt idx="304">
                  <c:v>9.1185165685647007</c:v>
                </c:pt>
                <c:pt idx="305">
                  <c:v>9.1001730450696492</c:v>
                </c:pt>
                <c:pt idx="306">
                  <c:v>9.1053214729145004</c:v>
                </c:pt>
                <c:pt idx="307">
                  <c:v>9.0917896326487497</c:v>
                </c:pt>
                <c:pt idx="308">
                  <c:v>9.0964162567688511</c:v>
                </c:pt>
                <c:pt idx="309">
                  <c:v>9.1026253218091746</c:v>
                </c:pt>
                <c:pt idx="310">
                  <c:v>9.0878425910533256</c:v>
                </c:pt>
                <c:pt idx="311">
                  <c:v>9.0900480126709979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B47-4D0C-8F0B-737A832F8774}"/>
            </c:ext>
          </c:extLst>
        </c:ser>
        <c:axId val="157844224"/>
        <c:axId val="193118976"/>
      </c:scatterChart>
      <c:valAx>
        <c:axId val="157844224"/>
        <c:scaling>
          <c:orientation val="minMax"/>
        </c:scaling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3118976"/>
        <c:crosses val="autoZero"/>
        <c:crossBetween val="midCat"/>
      </c:valAx>
      <c:valAx>
        <c:axId val="193118976"/>
        <c:scaling>
          <c:orientation val="maxMin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57844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uk-UA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Photometry20180123!$F$26</c:f>
              <c:strCache>
                <c:ptCount val="1"/>
                <c:pt idx="0">
                  <c:v>CHECK Avg.Std.Magnitude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Photometry20180123!$B$27:$B$338</c:f>
              <c:numCache>
                <c:formatCode>0.0000</c:formatCode>
                <c:ptCount val="312"/>
                <c:pt idx="0">
                  <c:v>2458142.2438310185</c:v>
                </c:pt>
                <c:pt idx="1">
                  <c:v>2458142.2442476852</c:v>
                </c:pt>
                <c:pt idx="2">
                  <c:v>2458142.2446759259</c:v>
                </c:pt>
                <c:pt idx="3">
                  <c:v>2458142.2450925927</c:v>
                </c:pt>
                <c:pt idx="4">
                  <c:v>2458142.2455092594</c:v>
                </c:pt>
                <c:pt idx="5">
                  <c:v>2458142.2459259261</c:v>
                </c:pt>
                <c:pt idx="6">
                  <c:v>2458142.2463541669</c:v>
                </c:pt>
                <c:pt idx="7">
                  <c:v>2458142.2467708332</c:v>
                </c:pt>
                <c:pt idx="8">
                  <c:v>2458142.2471990739</c:v>
                </c:pt>
                <c:pt idx="9">
                  <c:v>2458142.2476157406</c:v>
                </c:pt>
                <c:pt idx="10">
                  <c:v>2458142.2480439814</c:v>
                </c:pt>
                <c:pt idx="11">
                  <c:v>2458142.2484606481</c:v>
                </c:pt>
                <c:pt idx="12">
                  <c:v>2458142.2488888889</c:v>
                </c:pt>
                <c:pt idx="13">
                  <c:v>2458142.2493055556</c:v>
                </c:pt>
                <c:pt idx="14">
                  <c:v>2458142.2497337963</c:v>
                </c:pt>
                <c:pt idx="15">
                  <c:v>2458142.2501504631</c:v>
                </c:pt>
                <c:pt idx="16">
                  <c:v>2458142.2505671298</c:v>
                </c:pt>
                <c:pt idx="17">
                  <c:v>2458142.2509953706</c:v>
                </c:pt>
                <c:pt idx="18">
                  <c:v>2458142.2514120368</c:v>
                </c:pt>
                <c:pt idx="19">
                  <c:v>2458142.2518402776</c:v>
                </c:pt>
                <c:pt idx="20">
                  <c:v>2458142.2522569443</c:v>
                </c:pt>
                <c:pt idx="21">
                  <c:v>2458142.252673611</c:v>
                </c:pt>
                <c:pt idx="22">
                  <c:v>2458142.2531018518</c:v>
                </c:pt>
                <c:pt idx="23">
                  <c:v>2458142.2535185185</c:v>
                </c:pt>
                <c:pt idx="24">
                  <c:v>2458142.2539351853</c:v>
                </c:pt>
                <c:pt idx="25">
                  <c:v>2458142.254351852</c:v>
                </c:pt>
                <c:pt idx="26">
                  <c:v>2458142.2547800927</c:v>
                </c:pt>
                <c:pt idx="27">
                  <c:v>2458142.2551967595</c:v>
                </c:pt>
                <c:pt idx="28">
                  <c:v>2458142.2556134257</c:v>
                </c:pt>
                <c:pt idx="29">
                  <c:v>2458142.2560416665</c:v>
                </c:pt>
                <c:pt idx="30">
                  <c:v>2458142.2564583332</c:v>
                </c:pt>
                <c:pt idx="31">
                  <c:v>2458142.256875</c:v>
                </c:pt>
                <c:pt idx="32">
                  <c:v>2458142.2573032407</c:v>
                </c:pt>
                <c:pt idx="33">
                  <c:v>2458142.2577199074</c:v>
                </c:pt>
                <c:pt idx="34">
                  <c:v>2458142.2581365742</c:v>
                </c:pt>
                <c:pt idx="35">
                  <c:v>2458142.2585648149</c:v>
                </c:pt>
                <c:pt idx="36">
                  <c:v>2458142.2589814817</c:v>
                </c:pt>
                <c:pt idx="37">
                  <c:v>2458142.2593981479</c:v>
                </c:pt>
                <c:pt idx="38">
                  <c:v>2458142.2598263887</c:v>
                </c:pt>
                <c:pt idx="39">
                  <c:v>2458142.2602430554</c:v>
                </c:pt>
                <c:pt idx="40">
                  <c:v>2458142.2606712962</c:v>
                </c:pt>
                <c:pt idx="41">
                  <c:v>2458142.2610879629</c:v>
                </c:pt>
                <c:pt idx="42">
                  <c:v>2458142.2615046296</c:v>
                </c:pt>
                <c:pt idx="43">
                  <c:v>2458142.2619328704</c:v>
                </c:pt>
                <c:pt idx="44">
                  <c:v>2458142.2623495371</c:v>
                </c:pt>
                <c:pt idx="45">
                  <c:v>2458142.2627777779</c:v>
                </c:pt>
                <c:pt idx="46">
                  <c:v>2458142.2631944446</c:v>
                </c:pt>
                <c:pt idx="47">
                  <c:v>2458142.2636111113</c:v>
                </c:pt>
                <c:pt idx="48">
                  <c:v>2458142.2640393521</c:v>
                </c:pt>
                <c:pt idx="49">
                  <c:v>2458142.2644560183</c:v>
                </c:pt>
                <c:pt idx="50">
                  <c:v>2458142.2648726851</c:v>
                </c:pt>
                <c:pt idx="51">
                  <c:v>2458142.2653009258</c:v>
                </c:pt>
                <c:pt idx="52">
                  <c:v>2458142.2657175926</c:v>
                </c:pt>
                <c:pt idx="53">
                  <c:v>2458142.2661342593</c:v>
                </c:pt>
                <c:pt idx="54">
                  <c:v>2458142.266550926</c:v>
                </c:pt>
                <c:pt idx="55">
                  <c:v>2458142.2669791668</c:v>
                </c:pt>
                <c:pt idx="56">
                  <c:v>2458142.2673958335</c:v>
                </c:pt>
                <c:pt idx="57">
                  <c:v>2458142.2678124998</c:v>
                </c:pt>
                <c:pt idx="58">
                  <c:v>2458142.2682291665</c:v>
                </c:pt>
                <c:pt idx="59">
                  <c:v>2458142.2686458332</c:v>
                </c:pt>
                <c:pt idx="60">
                  <c:v>2458142.269074074</c:v>
                </c:pt>
                <c:pt idx="61">
                  <c:v>2458142.2694907407</c:v>
                </c:pt>
                <c:pt idx="62">
                  <c:v>2458142.2699074075</c:v>
                </c:pt>
                <c:pt idx="63">
                  <c:v>2458142.2703240742</c:v>
                </c:pt>
                <c:pt idx="64">
                  <c:v>2458142.2707523149</c:v>
                </c:pt>
                <c:pt idx="65">
                  <c:v>2458142.2711689817</c:v>
                </c:pt>
                <c:pt idx="66">
                  <c:v>2458142.2715972224</c:v>
                </c:pt>
                <c:pt idx="67">
                  <c:v>2458142.2720138887</c:v>
                </c:pt>
                <c:pt idx="68">
                  <c:v>2458142.2724305554</c:v>
                </c:pt>
                <c:pt idx="69">
                  <c:v>2458142.2728587962</c:v>
                </c:pt>
                <c:pt idx="70">
                  <c:v>2458142.2732754629</c:v>
                </c:pt>
                <c:pt idx="71">
                  <c:v>2458142.2736921296</c:v>
                </c:pt>
                <c:pt idx="72">
                  <c:v>2458142.2741203704</c:v>
                </c:pt>
                <c:pt idx="73">
                  <c:v>2458142.2745370371</c:v>
                </c:pt>
                <c:pt idx="74">
                  <c:v>2458142.2749537039</c:v>
                </c:pt>
                <c:pt idx="75">
                  <c:v>2458142.2753819446</c:v>
                </c:pt>
                <c:pt idx="76">
                  <c:v>2458142.2757986113</c:v>
                </c:pt>
                <c:pt idx="77">
                  <c:v>2458142.2762152776</c:v>
                </c:pt>
                <c:pt idx="78">
                  <c:v>2458142.2766435184</c:v>
                </c:pt>
                <c:pt idx="79">
                  <c:v>2458142.2770601851</c:v>
                </c:pt>
                <c:pt idx="80">
                  <c:v>2458142.2774768518</c:v>
                </c:pt>
                <c:pt idx="81">
                  <c:v>2458142.2779050926</c:v>
                </c:pt>
                <c:pt idx="82">
                  <c:v>2458142.2783217593</c:v>
                </c:pt>
                <c:pt idx="83">
                  <c:v>2458142.2787500001</c:v>
                </c:pt>
                <c:pt idx="84">
                  <c:v>2458142.2791666668</c:v>
                </c:pt>
                <c:pt idx="85">
                  <c:v>2458142.2799652778</c:v>
                </c:pt>
                <c:pt idx="86">
                  <c:v>2458142.2803819445</c:v>
                </c:pt>
                <c:pt idx="87">
                  <c:v>2458142.2808101852</c:v>
                </c:pt>
                <c:pt idx="88">
                  <c:v>2458142.281226852</c:v>
                </c:pt>
                <c:pt idx="89">
                  <c:v>2458142.2816550927</c:v>
                </c:pt>
                <c:pt idx="90">
                  <c:v>2458142.2820717595</c:v>
                </c:pt>
                <c:pt idx="91">
                  <c:v>2458142.2824884257</c:v>
                </c:pt>
                <c:pt idx="92">
                  <c:v>2458142.2829050925</c:v>
                </c:pt>
                <c:pt idx="93">
                  <c:v>2458142.2833333332</c:v>
                </c:pt>
                <c:pt idx="94">
                  <c:v>2458142.2837499999</c:v>
                </c:pt>
                <c:pt idx="95">
                  <c:v>2458142.2841666667</c:v>
                </c:pt>
                <c:pt idx="96">
                  <c:v>2458142.2845949074</c:v>
                </c:pt>
                <c:pt idx="97">
                  <c:v>2458142.2850115742</c:v>
                </c:pt>
                <c:pt idx="98">
                  <c:v>2458142.2854398149</c:v>
                </c:pt>
                <c:pt idx="99">
                  <c:v>2458142.2858564816</c:v>
                </c:pt>
                <c:pt idx="100">
                  <c:v>2458142.2862847224</c:v>
                </c:pt>
                <c:pt idx="101">
                  <c:v>2458142.2867013887</c:v>
                </c:pt>
                <c:pt idx="102">
                  <c:v>2458142.2871180554</c:v>
                </c:pt>
                <c:pt idx="103">
                  <c:v>2458142.2875462961</c:v>
                </c:pt>
                <c:pt idx="104">
                  <c:v>2458142.2879629629</c:v>
                </c:pt>
                <c:pt idx="105">
                  <c:v>2458142.2883796296</c:v>
                </c:pt>
                <c:pt idx="106">
                  <c:v>2458142.2888078704</c:v>
                </c:pt>
                <c:pt idx="107">
                  <c:v>2458142.2892245371</c:v>
                </c:pt>
                <c:pt idx="108">
                  <c:v>2458142.2896527778</c:v>
                </c:pt>
                <c:pt idx="109">
                  <c:v>2458142.2900694446</c:v>
                </c:pt>
                <c:pt idx="110">
                  <c:v>2458142.2904976853</c:v>
                </c:pt>
                <c:pt idx="111">
                  <c:v>2458142.2909143521</c:v>
                </c:pt>
                <c:pt idx="112">
                  <c:v>2458142.2913310183</c:v>
                </c:pt>
                <c:pt idx="113">
                  <c:v>2458142.2917476851</c:v>
                </c:pt>
                <c:pt idx="114">
                  <c:v>2458142.2921759258</c:v>
                </c:pt>
                <c:pt idx="115">
                  <c:v>2458142.2925925925</c:v>
                </c:pt>
                <c:pt idx="116">
                  <c:v>2458142.2930208333</c:v>
                </c:pt>
                <c:pt idx="117">
                  <c:v>2458142.2934375</c:v>
                </c:pt>
                <c:pt idx="118">
                  <c:v>2458142.2938541668</c:v>
                </c:pt>
                <c:pt idx="119">
                  <c:v>2458142.2942824075</c:v>
                </c:pt>
                <c:pt idx="120">
                  <c:v>2458142.2946990742</c:v>
                </c:pt>
                <c:pt idx="121">
                  <c:v>2458142.295115741</c:v>
                </c:pt>
                <c:pt idx="122">
                  <c:v>2458142.2955439817</c:v>
                </c:pt>
                <c:pt idx="123">
                  <c:v>2458142.295960648</c:v>
                </c:pt>
                <c:pt idx="124">
                  <c:v>2458142.2963773147</c:v>
                </c:pt>
                <c:pt idx="125">
                  <c:v>2458142.2968055555</c:v>
                </c:pt>
                <c:pt idx="126">
                  <c:v>2458142.2972222222</c:v>
                </c:pt>
                <c:pt idx="127">
                  <c:v>2458142.2976388889</c:v>
                </c:pt>
                <c:pt idx="128">
                  <c:v>2458142.2980671297</c:v>
                </c:pt>
                <c:pt idx="129">
                  <c:v>2458142.2984837964</c:v>
                </c:pt>
                <c:pt idx="130">
                  <c:v>2458142.2989120372</c:v>
                </c:pt>
                <c:pt idx="131">
                  <c:v>2458142.2993287039</c:v>
                </c:pt>
                <c:pt idx="132">
                  <c:v>2458142.2997453702</c:v>
                </c:pt>
                <c:pt idx="133">
                  <c:v>2458142.3001620369</c:v>
                </c:pt>
                <c:pt idx="134">
                  <c:v>2458142.3005902776</c:v>
                </c:pt>
                <c:pt idx="135">
                  <c:v>2458142.3010069444</c:v>
                </c:pt>
                <c:pt idx="136">
                  <c:v>2458142.3014351851</c:v>
                </c:pt>
                <c:pt idx="137">
                  <c:v>2458142.3018518519</c:v>
                </c:pt>
                <c:pt idx="138">
                  <c:v>2458142.3022685186</c:v>
                </c:pt>
                <c:pt idx="139">
                  <c:v>2458142.3026967593</c:v>
                </c:pt>
                <c:pt idx="140">
                  <c:v>2458142.3031134261</c:v>
                </c:pt>
                <c:pt idx="141">
                  <c:v>2458142.3035300928</c:v>
                </c:pt>
                <c:pt idx="142">
                  <c:v>2458142.3039583331</c:v>
                </c:pt>
                <c:pt idx="143">
                  <c:v>2458142.3043749998</c:v>
                </c:pt>
                <c:pt idx="144">
                  <c:v>2458142.3047916666</c:v>
                </c:pt>
                <c:pt idx="145">
                  <c:v>2458142.3052199073</c:v>
                </c:pt>
                <c:pt idx="146">
                  <c:v>2458142.305636574</c:v>
                </c:pt>
                <c:pt idx="147">
                  <c:v>2458142.3060532408</c:v>
                </c:pt>
                <c:pt idx="148">
                  <c:v>2458142.3064699075</c:v>
                </c:pt>
                <c:pt idx="149">
                  <c:v>2458142.3068981483</c:v>
                </c:pt>
                <c:pt idx="150">
                  <c:v>2458142.307314815</c:v>
                </c:pt>
                <c:pt idx="151">
                  <c:v>2458142.3077314813</c:v>
                </c:pt>
                <c:pt idx="152">
                  <c:v>2458142.308148148</c:v>
                </c:pt>
                <c:pt idx="153">
                  <c:v>2458142.3085763888</c:v>
                </c:pt>
                <c:pt idx="154">
                  <c:v>2458142.3089930555</c:v>
                </c:pt>
                <c:pt idx="155">
                  <c:v>2458142.3094097222</c:v>
                </c:pt>
                <c:pt idx="156">
                  <c:v>2458142.309837963</c:v>
                </c:pt>
                <c:pt idx="157">
                  <c:v>2458142.3102546297</c:v>
                </c:pt>
                <c:pt idx="158">
                  <c:v>2458142.3106712964</c:v>
                </c:pt>
                <c:pt idx="159">
                  <c:v>2458142.3110995372</c:v>
                </c:pt>
                <c:pt idx="160">
                  <c:v>2458142.3115162039</c:v>
                </c:pt>
                <c:pt idx="161">
                  <c:v>2458142.3119328702</c:v>
                </c:pt>
                <c:pt idx="162">
                  <c:v>2458142.3123611109</c:v>
                </c:pt>
                <c:pt idx="163">
                  <c:v>2458142.3127777777</c:v>
                </c:pt>
                <c:pt idx="164">
                  <c:v>2458142.3132060184</c:v>
                </c:pt>
                <c:pt idx="165">
                  <c:v>2458142.3136226851</c:v>
                </c:pt>
                <c:pt idx="166">
                  <c:v>2458142.3140509259</c:v>
                </c:pt>
                <c:pt idx="167">
                  <c:v>2458142.3144675926</c:v>
                </c:pt>
                <c:pt idx="168">
                  <c:v>2458142.3148842594</c:v>
                </c:pt>
                <c:pt idx="169">
                  <c:v>2458142.3153125001</c:v>
                </c:pt>
                <c:pt idx="170">
                  <c:v>2458142.3157291668</c:v>
                </c:pt>
                <c:pt idx="171">
                  <c:v>2458142.3161458331</c:v>
                </c:pt>
                <c:pt idx="172">
                  <c:v>2458142.3165740739</c:v>
                </c:pt>
                <c:pt idx="173">
                  <c:v>2458142.3169907406</c:v>
                </c:pt>
                <c:pt idx="174">
                  <c:v>2458142.3174074073</c:v>
                </c:pt>
                <c:pt idx="175">
                  <c:v>2458142.3178356481</c:v>
                </c:pt>
                <c:pt idx="176">
                  <c:v>2458142.3182523148</c:v>
                </c:pt>
                <c:pt idx="177">
                  <c:v>2458142.3186689815</c:v>
                </c:pt>
                <c:pt idx="178">
                  <c:v>2458142.3190972223</c:v>
                </c:pt>
                <c:pt idx="179">
                  <c:v>2458142.319513889</c:v>
                </c:pt>
                <c:pt idx="180">
                  <c:v>2458142.3199305558</c:v>
                </c:pt>
                <c:pt idx="181">
                  <c:v>2458142.320347222</c:v>
                </c:pt>
                <c:pt idx="182">
                  <c:v>2458142.3207754628</c:v>
                </c:pt>
                <c:pt idx="183">
                  <c:v>2458142.3211921295</c:v>
                </c:pt>
                <c:pt idx="184">
                  <c:v>2458142.3216203703</c:v>
                </c:pt>
                <c:pt idx="185">
                  <c:v>2458142.322037037</c:v>
                </c:pt>
                <c:pt idx="186">
                  <c:v>2458142.3224537037</c:v>
                </c:pt>
                <c:pt idx="187">
                  <c:v>2458142.3228703705</c:v>
                </c:pt>
                <c:pt idx="188">
                  <c:v>2458142.3232986112</c:v>
                </c:pt>
                <c:pt idx="189">
                  <c:v>2458142.3237152779</c:v>
                </c:pt>
                <c:pt idx="190">
                  <c:v>2458142.3241319442</c:v>
                </c:pt>
                <c:pt idx="191">
                  <c:v>2458142.324560185</c:v>
                </c:pt>
                <c:pt idx="192">
                  <c:v>2458142.3257175926</c:v>
                </c:pt>
                <c:pt idx="193">
                  <c:v>2458142.3261342593</c:v>
                </c:pt>
                <c:pt idx="194">
                  <c:v>2458142.3265625001</c:v>
                </c:pt>
                <c:pt idx="195">
                  <c:v>2458142.3269791668</c:v>
                </c:pt>
                <c:pt idx="196">
                  <c:v>2458142.3274074076</c:v>
                </c:pt>
                <c:pt idx="197">
                  <c:v>2458142.3278240738</c:v>
                </c:pt>
                <c:pt idx="198">
                  <c:v>2458142.3282407406</c:v>
                </c:pt>
                <c:pt idx="199">
                  <c:v>2458142.3286689813</c:v>
                </c:pt>
                <c:pt idx="200">
                  <c:v>2458142.3290856481</c:v>
                </c:pt>
                <c:pt idx="201">
                  <c:v>2458142.3295023148</c:v>
                </c:pt>
                <c:pt idx="202">
                  <c:v>2458142.3299305555</c:v>
                </c:pt>
                <c:pt idx="203">
                  <c:v>2458142.3303472223</c:v>
                </c:pt>
                <c:pt idx="204">
                  <c:v>2458142.330763889</c:v>
                </c:pt>
                <c:pt idx="205">
                  <c:v>2458142.3311921298</c:v>
                </c:pt>
                <c:pt idx="206">
                  <c:v>2458142.3316087965</c:v>
                </c:pt>
                <c:pt idx="207">
                  <c:v>2458142.3320254628</c:v>
                </c:pt>
                <c:pt idx="208">
                  <c:v>2458142.3324537035</c:v>
                </c:pt>
                <c:pt idx="209">
                  <c:v>2458142.3328703702</c:v>
                </c:pt>
                <c:pt idx="210">
                  <c:v>2458142.333287037</c:v>
                </c:pt>
                <c:pt idx="211">
                  <c:v>2458142.3337152777</c:v>
                </c:pt>
                <c:pt idx="212">
                  <c:v>2458142.3341319445</c:v>
                </c:pt>
                <c:pt idx="213">
                  <c:v>2458142.3345486112</c:v>
                </c:pt>
                <c:pt idx="214">
                  <c:v>2458142.3349652779</c:v>
                </c:pt>
                <c:pt idx="215">
                  <c:v>2458142.3353935187</c:v>
                </c:pt>
                <c:pt idx="216">
                  <c:v>2458142.3358101854</c:v>
                </c:pt>
                <c:pt idx="217">
                  <c:v>2458142.3362268517</c:v>
                </c:pt>
                <c:pt idx="218">
                  <c:v>2458142.3366550924</c:v>
                </c:pt>
                <c:pt idx="219">
                  <c:v>2458142.3370717592</c:v>
                </c:pt>
                <c:pt idx="220">
                  <c:v>2458142.3374884259</c:v>
                </c:pt>
                <c:pt idx="221">
                  <c:v>2458142.3379166666</c:v>
                </c:pt>
                <c:pt idx="222">
                  <c:v>2458142.3383333334</c:v>
                </c:pt>
                <c:pt idx="223">
                  <c:v>2458142.3387615741</c:v>
                </c:pt>
                <c:pt idx="224">
                  <c:v>2458142.3391782409</c:v>
                </c:pt>
                <c:pt idx="225">
                  <c:v>2458142.3395949076</c:v>
                </c:pt>
                <c:pt idx="226">
                  <c:v>2458142.3400231483</c:v>
                </c:pt>
                <c:pt idx="227">
                  <c:v>2458142.3404398146</c:v>
                </c:pt>
                <c:pt idx="228">
                  <c:v>2458142.3408564813</c:v>
                </c:pt>
                <c:pt idx="229">
                  <c:v>2458142.3412847221</c:v>
                </c:pt>
                <c:pt idx="230">
                  <c:v>2458142.3417013888</c:v>
                </c:pt>
                <c:pt idx="231">
                  <c:v>2458142.3421180556</c:v>
                </c:pt>
                <c:pt idx="232">
                  <c:v>2458142.3425462963</c:v>
                </c:pt>
                <c:pt idx="233">
                  <c:v>2458142.342962963</c:v>
                </c:pt>
                <c:pt idx="234">
                  <c:v>2458142.3433796298</c:v>
                </c:pt>
                <c:pt idx="235">
                  <c:v>2458142.3437962965</c:v>
                </c:pt>
                <c:pt idx="236">
                  <c:v>2458142.3442245373</c:v>
                </c:pt>
                <c:pt idx="237">
                  <c:v>2458142.3459374998</c:v>
                </c:pt>
                <c:pt idx="238">
                  <c:v>2458142.3463657405</c:v>
                </c:pt>
                <c:pt idx="239">
                  <c:v>2458142.3467824073</c:v>
                </c:pt>
                <c:pt idx="240">
                  <c:v>2458142.347199074</c:v>
                </c:pt>
                <c:pt idx="241">
                  <c:v>2458142.3476273147</c:v>
                </c:pt>
                <c:pt idx="242">
                  <c:v>2458142.3480439815</c:v>
                </c:pt>
                <c:pt idx="243">
                  <c:v>2458142.3484722222</c:v>
                </c:pt>
                <c:pt idx="244">
                  <c:v>2458142.348888889</c:v>
                </c:pt>
                <c:pt idx="245">
                  <c:v>2458142.3493171297</c:v>
                </c:pt>
                <c:pt idx="246">
                  <c:v>2458142.3497337964</c:v>
                </c:pt>
                <c:pt idx="247">
                  <c:v>2458142.3501504632</c:v>
                </c:pt>
                <c:pt idx="248">
                  <c:v>2458142.3505787039</c:v>
                </c:pt>
                <c:pt idx="249">
                  <c:v>2458142.3509953702</c:v>
                </c:pt>
                <c:pt idx="250">
                  <c:v>2458142.3514236109</c:v>
                </c:pt>
                <c:pt idx="251">
                  <c:v>2458142.3518402777</c:v>
                </c:pt>
                <c:pt idx="252">
                  <c:v>2458142.3522685184</c:v>
                </c:pt>
                <c:pt idx="253">
                  <c:v>2458142.3526851851</c:v>
                </c:pt>
                <c:pt idx="254">
                  <c:v>2458142.3531134259</c:v>
                </c:pt>
                <c:pt idx="255">
                  <c:v>2458142.3535300926</c:v>
                </c:pt>
                <c:pt idx="256">
                  <c:v>2458142.3539583334</c:v>
                </c:pt>
                <c:pt idx="257">
                  <c:v>2458142.3543750001</c:v>
                </c:pt>
                <c:pt idx="258">
                  <c:v>2458142.3548032409</c:v>
                </c:pt>
                <c:pt idx="259">
                  <c:v>2458142.3552199076</c:v>
                </c:pt>
                <c:pt idx="260">
                  <c:v>2458142.3556481483</c:v>
                </c:pt>
                <c:pt idx="261">
                  <c:v>2458142.3560648146</c:v>
                </c:pt>
                <c:pt idx="262">
                  <c:v>2458142.3564814813</c:v>
                </c:pt>
                <c:pt idx="263">
                  <c:v>2458142.3569097221</c:v>
                </c:pt>
                <c:pt idx="264">
                  <c:v>2458142.3573263888</c:v>
                </c:pt>
                <c:pt idx="265">
                  <c:v>2458142.3577430556</c:v>
                </c:pt>
                <c:pt idx="266">
                  <c:v>2458142.3581597223</c:v>
                </c:pt>
                <c:pt idx="267">
                  <c:v>2458142.358587963</c:v>
                </c:pt>
                <c:pt idx="268">
                  <c:v>2458142.3590046298</c:v>
                </c:pt>
                <c:pt idx="269">
                  <c:v>2458142.3594328705</c:v>
                </c:pt>
                <c:pt idx="270">
                  <c:v>2458142.3598495373</c:v>
                </c:pt>
                <c:pt idx="271">
                  <c:v>2458142.3602662035</c:v>
                </c:pt>
                <c:pt idx="272">
                  <c:v>2458142.3606944443</c:v>
                </c:pt>
                <c:pt idx="273">
                  <c:v>2458142.361111111</c:v>
                </c:pt>
                <c:pt idx="274">
                  <c:v>2458142.3615277777</c:v>
                </c:pt>
                <c:pt idx="275">
                  <c:v>2458142.3619560185</c:v>
                </c:pt>
                <c:pt idx="276">
                  <c:v>2458142.3623726852</c:v>
                </c:pt>
                <c:pt idx="277">
                  <c:v>2458142.362789352</c:v>
                </c:pt>
                <c:pt idx="278">
                  <c:v>2458142.3632175927</c:v>
                </c:pt>
                <c:pt idx="279">
                  <c:v>2458142.3636342594</c:v>
                </c:pt>
                <c:pt idx="280">
                  <c:v>2458142.3640625002</c:v>
                </c:pt>
                <c:pt idx="281">
                  <c:v>2458142.3644791665</c:v>
                </c:pt>
                <c:pt idx="282">
                  <c:v>2458142.3649074072</c:v>
                </c:pt>
                <c:pt idx="283">
                  <c:v>2458142.3653240739</c:v>
                </c:pt>
                <c:pt idx="284">
                  <c:v>2458142.3657523147</c:v>
                </c:pt>
                <c:pt idx="285">
                  <c:v>2458142.3661689814</c:v>
                </c:pt>
                <c:pt idx="286">
                  <c:v>2458142.3665972222</c:v>
                </c:pt>
                <c:pt idx="287">
                  <c:v>2458142.3670138889</c:v>
                </c:pt>
                <c:pt idx="288">
                  <c:v>2458142.3674421296</c:v>
                </c:pt>
                <c:pt idx="289">
                  <c:v>2458142.3678587964</c:v>
                </c:pt>
                <c:pt idx="290">
                  <c:v>2458142.3682754631</c:v>
                </c:pt>
                <c:pt idx="291">
                  <c:v>2458142.3687037039</c:v>
                </c:pt>
                <c:pt idx="292">
                  <c:v>2458142.3691203706</c:v>
                </c:pt>
                <c:pt idx="293">
                  <c:v>2458142.3695370369</c:v>
                </c:pt>
                <c:pt idx="294">
                  <c:v>2458142.3699652776</c:v>
                </c:pt>
                <c:pt idx="295">
                  <c:v>2458142.3703819443</c:v>
                </c:pt>
                <c:pt idx="296">
                  <c:v>2458142.3707986111</c:v>
                </c:pt>
                <c:pt idx="297">
                  <c:v>2458142.3712268518</c:v>
                </c:pt>
                <c:pt idx="298">
                  <c:v>2458142.3716435186</c:v>
                </c:pt>
                <c:pt idx="299">
                  <c:v>2458142.3720601853</c:v>
                </c:pt>
                <c:pt idx="300">
                  <c:v>2458142.372476852</c:v>
                </c:pt>
                <c:pt idx="301">
                  <c:v>2458142.3729050928</c:v>
                </c:pt>
                <c:pt idx="302">
                  <c:v>2458142.373321759</c:v>
                </c:pt>
                <c:pt idx="303">
                  <c:v>2458142.3737499998</c:v>
                </c:pt>
                <c:pt idx="304">
                  <c:v>2458142.3741666665</c:v>
                </c:pt>
                <c:pt idx="305">
                  <c:v>2458142.3745949073</c:v>
                </c:pt>
                <c:pt idx="306">
                  <c:v>2458142.375011574</c:v>
                </c:pt>
                <c:pt idx="307">
                  <c:v>2458142.3754282407</c:v>
                </c:pt>
                <c:pt idx="308">
                  <c:v>2458142.3758564815</c:v>
                </c:pt>
                <c:pt idx="309">
                  <c:v>2458142.3762731482</c:v>
                </c:pt>
                <c:pt idx="310">
                  <c:v>2458142.376701389</c:v>
                </c:pt>
                <c:pt idx="311">
                  <c:v>2458142.3771180557</c:v>
                </c:pt>
              </c:numCache>
            </c:numRef>
          </c:xVal>
          <c:yVal>
            <c:numRef>
              <c:f>Photometry20180123!$F$27:$F$338</c:f>
              <c:numCache>
                <c:formatCode>0.000</c:formatCode>
                <c:ptCount val="312"/>
                <c:pt idx="0">
                  <c:v>10.938565530692125</c:v>
                </c:pt>
                <c:pt idx="1">
                  <c:v>10.944456841254599</c:v>
                </c:pt>
                <c:pt idx="2">
                  <c:v>10.915366933641376</c:v>
                </c:pt>
                <c:pt idx="3">
                  <c:v>10.9043931563159</c:v>
                </c:pt>
                <c:pt idx="4">
                  <c:v>10.933885002896327</c:v>
                </c:pt>
                <c:pt idx="5">
                  <c:v>10.937470005466601</c:v>
                </c:pt>
                <c:pt idx="6">
                  <c:v>10.922968997091401</c:v>
                </c:pt>
                <c:pt idx="7">
                  <c:v>10.936548427709425</c:v>
                </c:pt>
                <c:pt idx="8">
                  <c:v>10.910936590375998</c:v>
                </c:pt>
                <c:pt idx="9">
                  <c:v>10.90368608179525</c:v>
                </c:pt>
                <c:pt idx="10">
                  <c:v>10.964195598015175</c:v>
                </c:pt>
                <c:pt idx="11">
                  <c:v>10.939944543372475</c:v>
                </c:pt>
                <c:pt idx="12">
                  <c:v>10.935347707075199</c:v>
                </c:pt>
                <c:pt idx="13">
                  <c:v>10.906812579526274</c:v>
                </c:pt>
                <c:pt idx="14">
                  <c:v>10.932938096400175</c:v>
                </c:pt>
                <c:pt idx="15">
                  <c:v>10.937822259636475</c:v>
                </c:pt>
                <c:pt idx="16">
                  <c:v>10.921509798746449</c:v>
                </c:pt>
                <c:pt idx="17">
                  <c:v>10.937013175650474</c:v>
                </c:pt>
                <c:pt idx="18">
                  <c:v>10.923437241575501</c:v>
                </c:pt>
                <c:pt idx="19">
                  <c:v>10.956169918026749</c:v>
                </c:pt>
                <c:pt idx="20">
                  <c:v>10.922676913274326</c:v>
                </c:pt>
                <c:pt idx="21">
                  <c:v>10.929666886725474</c:v>
                </c:pt>
                <c:pt idx="22">
                  <c:v>10.9248131531612</c:v>
                </c:pt>
                <c:pt idx="23">
                  <c:v>10.913820185167149</c:v>
                </c:pt>
                <c:pt idx="24">
                  <c:v>10.923159264791449</c:v>
                </c:pt>
                <c:pt idx="25">
                  <c:v>10.963421825940225</c:v>
                </c:pt>
                <c:pt idx="26">
                  <c:v>10.905711230755674</c:v>
                </c:pt>
                <c:pt idx="27">
                  <c:v>10.936755348975851</c:v>
                </c:pt>
                <c:pt idx="28">
                  <c:v>10.937268767266975</c:v>
                </c:pt>
                <c:pt idx="29">
                  <c:v>10.917811990119574</c:v>
                </c:pt>
                <c:pt idx="30">
                  <c:v>10.914766985340925</c:v>
                </c:pt>
                <c:pt idx="31">
                  <c:v>10.934469664838675</c:v>
                </c:pt>
                <c:pt idx="32">
                  <c:v>10.9059146335994</c:v>
                </c:pt>
                <c:pt idx="33">
                  <c:v>10.927538064529148</c:v>
                </c:pt>
                <c:pt idx="34">
                  <c:v>10.901108338865876</c:v>
                </c:pt>
                <c:pt idx="35">
                  <c:v>10.917179125188873</c:v>
                </c:pt>
                <c:pt idx="36">
                  <c:v>10.905838486256025</c:v>
                </c:pt>
                <c:pt idx="37">
                  <c:v>10.923731399610674</c:v>
                </c:pt>
                <c:pt idx="38">
                  <c:v>10.912756411176751</c:v>
                </c:pt>
                <c:pt idx="39">
                  <c:v>10.961755676232324</c:v>
                </c:pt>
                <c:pt idx="40">
                  <c:v>10.936229997400675</c:v>
                </c:pt>
                <c:pt idx="41">
                  <c:v>10.961040411434874</c:v>
                </c:pt>
                <c:pt idx="42">
                  <c:v>10.894644018489373</c:v>
                </c:pt>
                <c:pt idx="43">
                  <c:v>10.903662591056049</c:v>
                </c:pt>
                <c:pt idx="44">
                  <c:v>10.924399674155202</c:v>
                </c:pt>
                <c:pt idx="45">
                  <c:v>10.9240185016337</c:v>
                </c:pt>
                <c:pt idx="46">
                  <c:v>10.913082264925976</c:v>
                </c:pt>
                <c:pt idx="47">
                  <c:v>10.944235340899874</c:v>
                </c:pt>
                <c:pt idx="48">
                  <c:v>10.934941512069424</c:v>
                </c:pt>
                <c:pt idx="49">
                  <c:v>10.943178897787124</c:v>
                </c:pt>
                <c:pt idx="50">
                  <c:v>10.930098900586573</c:v>
                </c:pt>
                <c:pt idx="51">
                  <c:v>10.9100860131544</c:v>
                </c:pt>
                <c:pt idx="52">
                  <c:v>10.902780138291725</c:v>
                </c:pt>
                <c:pt idx="53">
                  <c:v>10.928309167867875</c:v>
                </c:pt>
                <c:pt idx="54">
                  <c:v>10.912686702245676</c:v>
                </c:pt>
                <c:pt idx="55">
                  <c:v>10.908643908154025</c:v>
                </c:pt>
                <c:pt idx="56">
                  <c:v>10.915136729155925</c:v>
                </c:pt>
                <c:pt idx="57">
                  <c:v>10.938035719375224</c:v>
                </c:pt>
                <c:pt idx="58">
                  <c:v>10.907761647094748</c:v>
                </c:pt>
                <c:pt idx="59">
                  <c:v>10.89195849541075</c:v>
                </c:pt>
                <c:pt idx="60">
                  <c:v>10.911606329716825</c:v>
                </c:pt>
                <c:pt idx="61">
                  <c:v>10.902772648329776</c:v>
                </c:pt>
                <c:pt idx="62">
                  <c:v>10.91285496905985</c:v>
                </c:pt>
                <c:pt idx="63">
                  <c:v>10.927698328539673</c:v>
                </c:pt>
                <c:pt idx="64">
                  <c:v>10.933459876995926</c:v>
                </c:pt>
                <c:pt idx="65">
                  <c:v>10.911560798570425</c:v>
                </c:pt>
                <c:pt idx="66">
                  <c:v>10.931462897271674</c:v>
                </c:pt>
                <c:pt idx="67">
                  <c:v>10.932139694265326</c:v>
                </c:pt>
                <c:pt idx="68">
                  <c:v>10.908550475368925</c:v>
                </c:pt>
                <c:pt idx="69">
                  <c:v>10.913381156006201</c:v>
                </c:pt>
                <c:pt idx="70">
                  <c:v>10.914862308224626</c:v>
                </c:pt>
                <c:pt idx="71">
                  <c:v>10.916854580757374</c:v>
                </c:pt>
                <c:pt idx="72">
                  <c:v>10.926507665716152</c:v>
                </c:pt>
                <c:pt idx="73">
                  <c:v>10.917688695857823</c:v>
                </c:pt>
                <c:pt idx="74">
                  <c:v>10.932145309873949</c:v>
                </c:pt>
                <c:pt idx="75">
                  <c:v>10.908252746944125</c:v>
                </c:pt>
                <c:pt idx="76">
                  <c:v>10.905349202297199</c:v>
                </c:pt>
                <c:pt idx="77">
                  <c:v>10.934332664249677</c:v>
                </c:pt>
                <c:pt idx="78">
                  <c:v>10.934053121596124</c:v>
                </c:pt>
                <c:pt idx="79">
                  <c:v>10.911844098463625</c:v>
                </c:pt>
                <c:pt idx="80">
                  <c:v>10.887534007801026</c:v>
                </c:pt>
                <c:pt idx="81">
                  <c:v>10.895648985608325</c:v>
                </c:pt>
                <c:pt idx="82">
                  <c:v>10.902786116404673</c:v>
                </c:pt>
                <c:pt idx="83">
                  <c:v>10.922960368351076</c:v>
                </c:pt>
                <c:pt idx="84">
                  <c:v>10.927803688226401</c:v>
                </c:pt>
                <c:pt idx="85">
                  <c:v>10.939790464900049</c:v>
                </c:pt>
                <c:pt idx="86">
                  <c:v>10.928770254629924</c:v>
                </c:pt>
                <c:pt idx="87">
                  <c:v>10.921255320018675</c:v>
                </c:pt>
                <c:pt idx="88">
                  <c:v>10.905400820169548</c:v>
                </c:pt>
                <c:pt idx="89">
                  <c:v>10.924563043676024</c:v>
                </c:pt>
                <c:pt idx="90">
                  <c:v>10.911716861457824</c:v>
                </c:pt>
                <c:pt idx="91">
                  <c:v>10.891954971239649</c:v>
                </c:pt>
                <c:pt idx="92">
                  <c:v>10.913299582099823</c:v>
                </c:pt>
                <c:pt idx="93">
                  <c:v>10.938186685715273</c:v>
                </c:pt>
                <c:pt idx="94">
                  <c:v>10.9239624617039</c:v>
                </c:pt>
                <c:pt idx="95">
                  <c:v>10.912222819805075</c:v>
                </c:pt>
                <c:pt idx="96">
                  <c:v>10.932097757684101</c:v>
                </c:pt>
                <c:pt idx="97">
                  <c:v>10.913959890970125</c:v>
                </c:pt>
                <c:pt idx="98">
                  <c:v>10.922754506875599</c:v>
                </c:pt>
                <c:pt idx="99">
                  <c:v>10.909772284546548</c:v>
                </c:pt>
                <c:pt idx="100">
                  <c:v>10.902117046577299</c:v>
                </c:pt>
                <c:pt idx="101">
                  <c:v>10.942871085083301</c:v>
                </c:pt>
                <c:pt idx="102">
                  <c:v>10.917647861852775</c:v>
                </c:pt>
                <c:pt idx="103">
                  <c:v>10.9327077350721</c:v>
                </c:pt>
                <c:pt idx="104">
                  <c:v>10.94048476345505</c:v>
                </c:pt>
                <c:pt idx="105">
                  <c:v>10.929521984521575</c:v>
                </c:pt>
                <c:pt idx="106">
                  <c:v>10.949599582483799</c:v>
                </c:pt>
                <c:pt idx="107">
                  <c:v>10.919599002069724</c:v>
                </c:pt>
                <c:pt idx="108">
                  <c:v>10.939372665605852</c:v>
                </c:pt>
                <c:pt idx="109">
                  <c:v>10.903471280728125</c:v>
                </c:pt>
                <c:pt idx="110">
                  <c:v>10.917952323685149</c:v>
                </c:pt>
                <c:pt idx="111">
                  <c:v>10.927693545360874</c:v>
                </c:pt>
                <c:pt idx="112">
                  <c:v>10.910898358592174</c:v>
                </c:pt>
                <c:pt idx="113">
                  <c:v>10.917671279105326</c:v>
                </c:pt>
                <c:pt idx="114">
                  <c:v>10.911538472219849</c:v>
                </c:pt>
                <c:pt idx="115">
                  <c:v>10.92244013368245</c:v>
                </c:pt>
                <c:pt idx="116">
                  <c:v>10.917128088793302</c:v>
                </c:pt>
                <c:pt idx="117">
                  <c:v>10.888180468753525</c:v>
                </c:pt>
                <c:pt idx="118">
                  <c:v>10.8968149871974</c:v>
                </c:pt>
                <c:pt idx="119">
                  <c:v>10.92114585689365</c:v>
                </c:pt>
                <c:pt idx="120">
                  <c:v>10.915117489784077</c:v>
                </c:pt>
                <c:pt idx="121">
                  <c:v>10.940818439720726</c:v>
                </c:pt>
                <c:pt idx="122">
                  <c:v>10.913251402287724</c:v>
                </c:pt>
                <c:pt idx="123">
                  <c:v>10.91970972121225</c:v>
                </c:pt>
                <c:pt idx="124">
                  <c:v>10.899786657644249</c:v>
                </c:pt>
                <c:pt idx="125">
                  <c:v>10.902136119892775</c:v>
                </c:pt>
                <c:pt idx="126">
                  <c:v>10.9023650256041</c:v>
                </c:pt>
                <c:pt idx="127">
                  <c:v>10.950715079237424</c:v>
                </c:pt>
                <c:pt idx="128">
                  <c:v>10.924236970764099</c:v>
                </c:pt>
                <c:pt idx="129">
                  <c:v>10.918415231671702</c:v>
                </c:pt>
                <c:pt idx="130">
                  <c:v>10.919309658531525</c:v>
                </c:pt>
                <c:pt idx="131">
                  <c:v>10.910216660353825</c:v>
                </c:pt>
                <c:pt idx="132">
                  <c:v>10.908686670990825</c:v>
                </c:pt>
                <c:pt idx="133">
                  <c:v>10.914556053619325</c:v>
                </c:pt>
                <c:pt idx="134">
                  <c:v>10.928080040569998</c:v>
                </c:pt>
                <c:pt idx="135">
                  <c:v>10.923079098750074</c:v>
                </c:pt>
                <c:pt idx="136">
                  <c:v>10.903363752593977</c:v>
                </c:pt>
                <c:pt idx="137">
                  <c:v>10.902245192933625</c:v>
                </c:pt>
                <c:pt idx="138">
                  <c:v>10.925103438411801</c:v>
                </c:pt>
                <c:pt idx="139">
                  <c:v>10.907440260899575</c:v>
                </c:pt>
                <c:pt idx="140">
                  <c:v>10.884638079560601</c:v>
                </c:pt>
                <c:pt idx="141">
                  <c:v>10.931952684479326</c:v>
                </c:pt>
                <c:pt idx="142">
                  <c:v>10.924764223970225</c:v>
                </c:pt>
                <c:pt idx="143">
                  <c:v>10.908455651950725</c:v>
                </c:pt>
                <c:pt idx="144">
                  <c:v>10.908283120074273</c:v>
                </c:pt>
                <c:pt idx="145">
                  <c:v>10.928053687665951</c:v>
                </c:pt>
                <c:pt idx="146">
                  <c:v>10.935705204098598</c:v>
                </c:pt>
                <c:pt idx="147">
                  <c:v>10.911981757836074</c:v>
                </c:pt>
                <c:pt idx="148">
                  <c:v>10.89984893819185</c:v>
                </c:pt>
                <c:pt idx="149">
                  <c:v>10.937291064839876</c:v>
                </c:pt>
                <c:pt idx="150">
                  <c:v>10.927675244106348</c:v>
                </c:pt>
                <c:pt idx="151">
                  <c:v>10.942663302091901</c:v>
                </c:pt>
                <c:pt idx="152">
                  <c:v>10.910463027873826</c:v>
                </c:pt>
                <c:pt idx="153">
                  <c:v>10.927500072544049</c:v>
                </c:pt>
                <c:pt idx="154">
                  <c:v>10.90400247325795</c:v>
                </c:pt>
                <c:pt idx="155">
                  <c:v>10.951036464168299</c:v>
                </c:pt>
                <c:pt idx="156">
                  <c:v>10.893069543779525</c:v>
                </c:pt>
                <c:pt idx="157">
                  <c:v>10.924362885614826</c:v>
                </c:pt>
                <c:pt idx="158">
                  <c:v>10.926482748320549</c:v>
                </c:pt>
                <c:pt idx="159">
                  <c:v>10.905072359445825</c:v>
                </c:pt>
                <c:pt idx="160">
                  <c:v>10.931844153593875</c:v>
                </c:pt>
                <c:pt idx="161">
                  <c:v>10.895741632996176</c:v>
                </c:pt>
                <c:pt idx="162">
                  <c:v>10.900265350615875</c:v>
                </c:pt>
                <c:pt idx="163">
                  <c:v>10.890855916673774</c:v>
                </c:pt>
                <c:pt idx="164">
                  <c:v>10.892648027218675</c:v>
                </c:pt>
                <c:pt idx="165">
                  <c:v>10.93338759409005</c:v>
                </c:pt>
                <c:pt idx="166">
                  <c:v>10.915928550625823</c:v>
                </c:pt>
                <c:pt idx="167">
                  <c:v>10.930990852480049</c:v>
                </c:pt>
                <c:pt idx="168">
                  <c:v>10.898240694700174</c:v>
                </c:pt>
                <c:pt idx="169">
                  <c:v>10.908642957466249</c:v>
                </c:pt>
                <c:pt idx="170">
                  <c:v>10.956053115209226</c:v>
                </c:pt>
                <c:pt idx="171">
                  <c:v>10.930050310033677</c:v>
                </c:pt>
                <c:pt idx="172">
                  <c:v>10.904232160023</c:v>
                </c:pt>
                <c:pt idx="173">
                  <c:v>10.924884089389426</c:v>
                </c:pt>
                <c:pt idx="174">
                  <c:v>10.925876530030175</c:v>
                </c:pt>
                <c:pt idx="175">
                  <c:v>10.916006843541801</c:v>
                </c:pt>
                <c:pt idx="176">
                  <c:v>10.919468168654126</c:v>
                </c:pt>
                <c:pt idx="177">
                  <c:v>10.926755132531348</c:v>
                </c:pt>
                <c:pt idx="178">
                  <c:v>10.91832823242585</c:v>
                </c:pt>
                <c:pt idx="179">
                  <c:v>10.909754672330624</c:v>
                </c:pt>
                <c:pt idx="180">
                  <c:v>10.914573439750525</c:v>
                </c:pt>
                <c:pt idx="181">
                  <c:v>10.921561476435576</c:v>
                </c:pt>
                <c:pt idx="182">
                  <c:v>10.919797083430025</c:v>
                </c:pt>
                <c:pt idx="183">
                  <c:v>10.934764381406724</c:v>
                </c:pt>
                <c:pt idx="184">
                  <c:v>10.914526631094873</c:v>
                </c:pt>
                <c:pt idx="185">
                  <c:v>10.932778672535475</c:v>
                </c:pt>
                <c:pt idx="186">
                  <c:v>10.929874760706475</c:v>
                </c:pt>
                <c:pt idx="187">
                  <c:v>10.915607952136273</c:v>
                </c:pt>
                <c:pt idx="188">
                  <c:v>10.894747310386601</c:v>
                </c:pt>
                <c:pt idx="189">
                  <c:v>10.9449845440893</c:v>
                </c:pt>
                <c:pt idx="190">
                  <c:v>10.9262249887887</c:v>
                </c:pt>
                <c:pt idx="191">
                  <c:v>10.915178768209776</c:v>
                </c:pt>
                <c:pt idx="192">
                  <c:v>10.92524616054385</c:v>
                </c:pt>
                <c:pt idx="193">
                  <c:v>10.942501349202775</c:v>
                </c:pt>
                <c:pt idx="194">
                  <c:v>10.9343368548878</c:v>
                </c:pt>
                <c:pt idx="195">
                  <c:v>10.924423024986099</c:v>
                </c:pt>
                <c:pt idx="196">
                  <c:v>10.9339813599971</c:v>
                </c:pt>
                <c:pt idx="197">
                  <c:v>10.907590078326926</c:v>
                </c:pt>
                <c:pt idx="198">
                  <c:v>10.9099904682119</c:v>
                </c:pt>
                <c:pt idx="199">
                  <c:v>10.92655753608885</c:v>
                </c:pt>
                <c:pt idx="200">
                  <c:v>10.943111889477226</c:v>
                </c:pt>
                <c:pt idx="201">
                  <c:v>10.929919454311001</c:v>
                </c:pt>
                <c:pt idx="202">
                  <c:v>10.924331919097725</c:v>
                </c:pt>
                <c:pt idx="203">
                  <c:v>10.919608986096225</c:v>
                </c:pt>
                <c:pt idx="204">
                  <c:v>10.929186861398149</c:v>
                </c:pt>
                <c:pt idx="205">
                  <c:v>10.895492370088824</c:v>
                </c:pt>
                <c:pt idx="206">
                  <c:v>10.9207703279701</c:v>
                </c:pt>
                <c:pt idx="207">
                  <c:v>10.937451363930151</c:v>
                </c:pt>
                <c:pt idx="208">
                  <c:v>10.930427573181126</c:v>
                </c:pt>
                <c:pt idx="209">
                  <c:v>10.92442636035085</c:v>
                </c:pt>
                <c:pt idx="210">
                  <c:v>10.924866775680048</c:v>
                </c:pt>
                <c:pt idx="211">
                  <c:v>10.935362078878349</c:v>
                </c:pt>
                <c:pt idx="212">
                  <c:v>10.913274056845225</c:v>
                </c:pt>
                <c:pt idx="213">
                  <c:v>10.9012258869717</c:v>
                </c:pt>
                <c:pt idx="214">
                  <c:v>10.900864449283999</c:v>
                </c:pt>
                <c:pt idx="215">
                  <c:v>10.945266865389801</c:v>
                </c:pt>
                <c:pt idx="216">
                  <c:v>10.90807328359535</c:v>
                </c:pt>
                <c:pt idx="217">
                  <c:v>10.92647592209795</c:v>
                </c:pt>
                <c:pt idx="218">
                  <c:v>10.920722244319101</c:v>
                </c:pt>
                <c:pt idx="219">
                  <c:v>10.902309264776573</c:v>
                </c:pt>
                <c:pt idx="220">
                  <c:v>10.906314648444999</c:v>
                </c:pt>
                <c:pt idx="221">
                  <c:v>10.932387737097475</c:v>
                </c:pt>
                <c:pt idx="222">
                  <c:v>10.925229642297724</c:v>
                </c:pt>
                <c:pt idx="223">
                  <c:v>10.93189578270745</c:v>
                </c:pt>
                <c:pt idx="224">
                  <c:v>10.937789066825751</c:v>
                </c:pt>
                <c:pt idx="225">
                  <c:v>10.923319295513426</c:v>
                </c:pt>
                <c:pt idx="226">
                  <c:v>10.924969725233575</c:v>
                </c:pt>
                <c:pt idx="227">
                  <c:v>10.934534203738373</c:v>
                </c:pt>
                <c:pt idx="228">
                  <c:v>10.911224489778949</c:v>
                </c:pt>
                <c:pt idx="229">
                  <c:v>10.944334662234226</c:v>
                </c:pt>
                <c:pt idx="230">
                  <c:v>10.955297023479652</c:v>
                </c:pt>
                <c:pt idx="231">
                  <c:v>10.914247476817874</c:v>
                </c:pt>
                <c:pt idx="232">
                  <c:v>10.925585148509549</c:v>
                </c:pt>
                <c:pt idx="233">
                  <c:v>10.910412381407674</c:v>
                </c:pt>
                <c:pt idx="234">
                  <c:v>10.924771222807749</c:v>
                </c:pt>
                <c:pt idx="235">
                  <c:v>10.934506043811124</c:v>
                </c:pt>
                <c:pt idx="236">
                  <c:v>10.936589511602451</c:v>
                </c:pt>
                <c:pt idx="237">
                  <c:v>10.938308827322825</c:v>
                </c:pt>
                <c:pt idx="238">
                  <c:v>10.9538035735698</c:v>
                </c:pt>
                <c:pt idx="239">
                  <c:v>10.92036766078375</c:v>
                </c:pt>
                <c:pt idx="240">
                  <c:v>10.927287380449574</c:v>
                </c:pt>
                <c:pt idx="241">
                  <c:v>10.92693616115835</c:v>
                </c:pt>
                <c:pt idx="242">
                  <c:v>10.9489440579844</c:v>
                </c:pt>
                <c:pt idx="243">
                  <c:v>10.929332124233152</c:v>
                </c:pt>
                <c:pt idx="244">
                  <c:v>10.950677165912923</c:v>
                </c:pt>
                <c:pt idx="245">
                  <c:v>10.894834739405326</c:v>
                </c:pt>
                <c:pt idx="246">
                  <c:v>10.92106412795065</c:v>
                </c:pt>
                <c:pt idx="247">
                  <c:v>10.91580683496885</c:v>
                </c:pt>
                <c:pt idx="248">
                  <c:v>10.923120275854076</c:v>
                </c:pt>
                <c:pt idx="249">
                  <c:v>10.953530391202975</c:v>
                </c:pt>
                <c:pt idx="250">
                  <c:v>10.952232422779774</c:v>
                </c:pt>
                <c:pt idx="251">
                  <c:v>10.93010617522495</c:v>
                </c:pt>
                <c:pt idx="252">
                  <c:v>10.9167833385664</c:v>
                </c:pt>
                <c:pt idx="253">
                  <c:v>10.923168306751025</c:v>
                </c:pt>
                <c:pt idx="254">
                  <c:v>10.964348012836476</c:v>
                </c:pt>
                <c:pt idx="255">
                  <c:v>10.898080575213825</c:v>
                </c:pt>
                <c:pt idx="256">
                  <c:v>10.937693804860325</c:v>
                </c:pt>
                <c:pt idx="257">
                  <c:v>10.904063531757048</c:v>
                </c:pt>
                <c:pt idx="258">
                  <c:v>10.9384267842066</c:v>
                </c:pt>
                <c:pt idx="259">
                  <c:v>10.9314231184328</c:v>
                </c:pt>
                <c:pt idx="260">
                  <c:v>10.9813319453046</c:v>
                </c:pt>
                <c:pt idx="261">
                  <c:v>10.989365375299224</c:v>
                </c:pt>
                <c:pt idx="262">
                  <c:v>10.960628511215301</c:v>
                </c:pt>
                <c:pt idx="263">
                  <c:v>10.9324236282058</c:v>
                </c:pt>
                <c:pt idx="264">
                  <c:v>10.941060969890149</c:v>
                </c:pt>
                <c:pt idx="265">
                  <c:v>10.940453150809951</c:v>
                </c:pt>
                <c:pt idx="266">
                  <c:v>10.928631065618251</c:v>
                </c:pt>
                <c:pt idx="267">
                  <c:v>10.904659408987026</c:v>
                </c:pt>
                <c:pt idx="268">
                  <c:v>10.889623803619475</c:v>
                </c:pt>
                <c:pt idx="269">
                  <c:v>10.921397698448876</c:v>
                </c:pt>
                <c:pt idx="270">
                  <c:v>10.945667723656076</c:v>
                </c:pt>
                <c:pt idx="271">
                  <c:v>10.925926647384024</c:v>
                </c:pt>
                <c:pt idx="272">
                  <c:v>10.930196031277173</c:v>
                </c:pt>
                <c:pt idx="273">
                  <c:v>10.914371049143201</c:v>
                </c:pt>
                <c:pt idx="274">
                  <c:v>10.9619882443184</c:v>
                </c:pt>
                <c:pt idx="275">
                  <c:v>10.934122466142975</c:v>
                </c:pt>
                <c:pt idx="276">
                  <c:v>10.9309237050189</c:v>
                </c:pt>
                <c:pt idx="277">
                  <c:v>10.932805923308099</c:v>
                </c:pt>
                <c:pt idx="278">
                  <c:v>10.923696087012674</c:v>
                </c:pt>
                <c:pt idx="279">
                  <c:v>10.935346176620126</c:v>
                </c:pt>
                <c:pt idx="280">
                  <c:v>10.912370626848626</c:v>
                </c:pt>
                <c:pt idx="281">
                  <c:v>10.926394610414249</c:v>
                </c:pt>
                <c:pt idx="282">
                  <c:v>10.932934337329524</c:v>
                </c:pt>
                <c:pt idx="283">
                  <c:v>10.926273607179651</c:v>
                </c:pt>
                <c:pt idx="284">
                  <c:v>10.93136855455545</c:v>
                </c:pt>
                <c:pt idx="285">
                  <c:v>10.93010989420965</c:v>
                </c:pt>
                <c:pt idx="286">
                  <c:v>10.934172973949426</c:v>
                </c:pt>
                <c:pt idx="287">
                  <c:v>10.929094461157975</c:v>
                </c:pt>
                <c:pt idx="288">
                  <c:v>10.937759184016276</c:v>
                </c:pt>
                <c:pt idx="289">
                  <c:v>10.93323821154695</c:v>
                </c:pt>
                <c:pt idx="290">
                  <c:v>10.931116958257075</c:v>
                </c:pt>
                <c:pt idx="291">
                  <c:v>10.903902302220549</c:v>
                </c:pt>
                <c:pt idx="292">
                  <c:v>10.938159882129249</c:v>
                </c:pt>
                <c:pt idx="293">
                  <c:v>10.938027223738249</c:v>
                </c:pt>
                <c:pt idx="294">
                  <c:v>10.921702866753675</c:v>
                </c:pt>
                <c:pt idx="295">
                  <c:v>10.954628976795675</c:v>
                </c:pt>
                <c:pt idx="296">
                  <c:v>10.922617957747272</c:v>
                </c:pt>
                <c:pt idx="297">
                  <c:v>10.94260435382775</c:v>
                </c:pt>
                <c:pt idx="298">
                  <c:v>10.9555623557146</c:v>
                </c:pt>
                <c:pt idx="299">
                  <c:v>10.965577336254999</c:v>
                </c:pt>
                <c:pt idx="300">
                  <c:v>10.939938672605999</c:v>
                </c:pt>
                <c:pt idx="301">
                  <c:v>10.910526600292675</c:v>
                </c:pt>
                <c:pt idx="302">
                  <c:v>10.943081286955575</c:v>
                </c:pt>
                <c:pt idx="303">
                  <c:v>10.938688793393124</c:v>
                </c:pt>
                <c:pt idx="304">
                  <c:v>10.895535198435899</c:v>
                </c:pt>
                <c:pt idx="305">
                  <c:v>10.919669416146352</c:v>
                </c:pt>
                <c:pt idx="306">
                  <c:v>10.930500647725101</c:v>
                </c:pt>
                <c:pt idx="307">
                  <c:v>10.94428231249845</c:v>
                </c:pt>
                <c:pt idx="308">
                  <c:v>10.934113104549049</c:v>
                </c:pt>
                <c:pt idx="309">
                  <c:v>10.898067665191574</c:v>
                </c:pt>
                <c:pt idx="310">
                  <c:v>10.921821627164327</c:v>
                </c:pt>
                <c:pt idx="311">
                  <c:v>10.914673644374501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246A-4E3F-B767-F568AB0DFEF1}"/>
            </c:ext>
          </c:extLst>
        </c:ser>
        <c:axId val="138019968"/>
        <c:axId val="138021504"/>
      </c:scatterChart>
      <c:valAx>
        <c:axId val="138019968"/>
        <c:scaling>
          <c:orientation val="minMax"/>
        </c:scaling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38021504"/>
        <c:crosses val="autoZero"/>
        <c:crossBetween val="midCat"/>
      </c:valAx>
      <c:valAx>
        <c:axId val="138021504"/>
        <c:scaling>
          <c:orientation val="maxMin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3801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455082</xdr:colOff>
      <xdr:row>0</xdr:row>
      <xdr:rowOff>1</xdr:rowOff>
    </xdr:from>
    <xdr:to>
      <xdr:col>24</xdr:col>
      <xdr:colOff>42333</xdr:colOff>
      <xdr:row>18</xdr:row>
      <xdr:rowOff>31751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95250</xdr:colOff>
      <xdr:row>0</xdr:row>
      <xdr:rowOff>0</xdr:rowOff>
    </xdr:from>
    <xdr:to>
      <xdr:col>34</xdr:col>
      <xdr:colOff>285751</xdr:colOff>
      <xdr:row>18</xdr:row>
      <xdr:rowOff>21167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tudent">
    <tabColor rgb="FFFABF8F"/>
  </sheetPr>
  <dimension ref="A1:C1152"/>
  <sheetViews>
    <sheetView workbookViewId="0"/>
  </sheetViews>
  <sheetFormatPr defaultColWidth="8.6640625" defaultRowHeight="13.2"/>
  <cols>
    <col min="1" max="251" width="8.6640625" customWidth="1"/>
  </cols>
  <sheetData>
    <row r="1" spans="1:3">
      <c r="A1" t="s">
        <v>0</v>
      </c>
      <c r="B1" s="8" t="s">
        <v>1</v>
      </c>
      <c r="C1" s="8" t="s">
        <v>2</v>
      </c>
    </row>
    <row r="2" spans="1:3">
      <c r="B2" s="1"/>
      <c r="C2" s="1"/>
    </row>
    <row r="3" spans="1:3">
      <c r="A3">
        <v>2</v>
      </c>
      <c r="B3">
        <v>12.706</v>
      </c>
      <c r="C3">
        <v>63.655999999999999</v>
      </c>
    </row>
    <row r="4" spans="1:3">
      <c r="A4">
        <v>3</v>
      </c>
      <c r="B4">
        <v>4.3019999999999996</v>
      </c>
      <c r="C4">
        <v>9.9239999999999995</v>
      </c>
    </row>
    <row r="5" spans="1:3">
      <c r="A5">
        <v>4</v>
      </c>
      <c r="B5">
        <v>3.1819999999999999</v>
      </c>
      <c r="C5">
        <v>5.84</v>
      </c>
    </row>
    <row r="6" spans="1:3">
      <c r="A6">
        <v>5</v>
      </c>
      <c r="B6">
        <v>2.7759999999999998</v>
      </c>
      <c r="C6">
        <v>4.6040000000000001</v>
      </c>
    </row>
    <row r="7" spans="1:3">
      <c r="A7">
        <v>6</v>
      </c>
      <c r="B7">
        <v>2.57</v>
      </c>
      <c r="C7">
        <v>4.0320999999999998</v>
      </c>
    </row>
    <row r="8" spans="1:3">
      <c r="A8">
        <v>7</v>
      </c>
      <c r="B8">
        <v>2.4460000000000002</v>
      </c>
      <c r="C8">
        <v>3.7069999999999999</v>
      </c>
    </row>
    <row r="9" spans="1:3">
      <c r="A9">
        <v>8</v>
      </c>
      <c r="B9">
        <v>2.3645999999999998</v>
      </c>
      <c r="C9">
        <v>3.4994999999999998</v>
      </c>
    </row>
    <row r="10" spans="1:3">
      <c r="A10">
        <v>9</v>
      </c>
      <c r="B10">
        <v>2.306</v>
      </c>
      <c r="C10">
        <v>3.3553999999999999</v>
      </c>
    </row>
    <row r="11" spans="1:3">
      <c r="A11">
        <v>10</v>
      </c>
      <c r="B11">
        <v>2.2622</v>
      </c>
      <c r="C11">
        <v>3.2498</v>
      </c>
    </row>
    <row r="12" spans="1:3">
      <c r="A12">
        <v>11</v>
      </c>
      <c r="B12">
        <v>2.2281</v>
      </c>
      <c r="C12">
        <v>3.1692999999999998</v>
      </c>
    </row>
    <row r="13" spans="1:3">
      <c r="A13">
        <v>12</v>
      </c>
      <c r="B13">
        <v>2.2010000000000001</v>
      </c>
      <c r="C13">
        <v>3.105</v>
      </c>
    </row>
    <row r="14" spans="1:3">
      <c r="A14">
        <v>13</v>
      </c>
      <c r="B14">
        <v>2.1787999999999998</v>
      </c>
      <c r="C14">
        <v>3.0844999999999998</v>
      </c>
    </row>
    <row r="15" spans="1:3">
      <c r="A15">
        <v>14</v>
      </c>
      <c r="B15">
        <v>2.1604000000000001</v>
      </c>
      <c r="C15">
        <v>3.1122999999999998</v>
      </c>
    </row>
    <row r="16" spans="1:3">
      <c r="A16">
        <v>15</v>
      </c>
      <c r="B16">
        <v>2.1448</v>
      </c>
      <c r="C16">
        <v>2.976</v>
      </c>
    </row>
    <row r="17" spans="1:3">
      <c r="A17">
        <v>16</v>
      </c>
      <c r="B17">
        <v>2.1314000000000002</v>
      </c>
      <c r="C17">
        <v>2.9466999999999999</v>
      </c>
    </row>
    <row r="18" spans="1:3">
      <c r="A18">
        <v>17</v>
      </c>
      <c r="B18">
        <v>2.1190000000000002</v>
      </c>
      <c r="C18">
        <v>2.92</v>
      </c>
    </row>
    <row r="19" spans="1:3">
      <c r="A19">
        <v>18</v>
      </c>
      <c r="B19">
        <v>2.1097999999999999</v>
      </c>
      <c r="C19">
        <v>2.8982000000000001</v>
      </c>
    </row>
    <row r="20" spans="1:3">
      <c r="A20">
        <v>19</v>
      </c>
      <c r="B20">
        <v>2.1009000000000002</v>
      </c>
      <c r="C20">
        <v>2.8784000000000001</v>
      </c>
    </row>
    <row r="21" spans="1:3">
      <c r="A21">
        <v>20</v>
      </c>
      <c r="B21">
        <v>2.093</v>
      </c>
      <c r="C21">
        <v>2.8609</v>
      </c>
    </row>
    <row r="22" spans="1:3">
      <c r="A22">
        <v>21</v>
      </c>
      <c r="B22">
        <v>2.0859999999999999</v>
      </c>
      <c r="C22">
        <v>2.8452999999999999</v>
      </c>
    </row>
    <row r="23" spans="1:3">
      <c r="A23">
        <v>22</v>
      </c>
      <c r="B23">
        <v>2.0790000000000002</v>
      </c>
      <c r="C23">
        <v>2.831</v>
      </c>
    </row>
    <row r="24" spans="1:3">
      <c r="A24">
        <v>23</v>
      </c>
      <c r="B24">
        <v>2.0739000000000001</v>
      </c>
      <c r="C24">
        <v>2.8188</v>
      </c>
    </row>
    <row r="25" spans="1:3">
      <c r="A25">
        <v>24</v>
      </c>
      <c r="B25">
        <v>2.0687000000000002</v>
      </c>
      <c r="C25">
        <v>2.8073000000000001</v>
      </c>
    </row>
    <row r="26" spans="1:3">
      <c r="A26">
        <v>25</v>
      </c>
      <c r="B26">
        <v>2.0638999999999998</v>
      </c>
      <c r="C26">
        <v>2.7968999999999999</v>
      </c>
    </row>
    <row r="27" spans="1:3">
      <c r="A27">
        <v>26</v>
      </c>
      <c r="B27">
        <v>2.0594999999999999</v>
      </c>
      <c r="C27">
        <v>2.7873999999999999</v>
      </c>
    </row>
    <row r="28" spans="1:3">
      <c r="A28">
        <v>27</v>
      </c>
      <c r="B28">
        <v>2.0590000000000002</v>
      </c>
      <c r="C28">
        <v>2.778</v>
      </c>
    </row>
    <row r="29" spans="1:3">
      <c r="A29">
        <v>28</v>
      </c>
      <c r="B29">
        <v>2.0518000000000001</v>
      </c>
      <c r="C29">
        <v>2.7707000000000002</v>
      </c>
    </row>
    <row r="30" spans="1:3">
      <c r="A30">
        <v>29</v>
      </c>
      <c r="B30">
        <v>2.0484</v>
      </c>
      <c r="C30">
        <v>2.7633000000000001</v>
      </c>
    </row>
    <row r="31" spans="1:3">
      <c r="A31">
        <v>30</v>
      </c>
      <c r="B31">
        <v>2.0451999999999999</v>
      </c>
      <c r="C31">
        <v>2.7564000000000002</v>
      </c>
    </row>
    <row r="32" spans="1:3">
      <c r="A32">
        <v>31</v>
      </c>
      <c r="B32">
        <v>2.0423</v>
      </c>
      <c r="C32">
        <v>2.75</v>
      </c>
    </row>
    <row r="33" spans="1:3">
      <c r="A33">
        <v>32</v>
      </c>
      <c r="B33">
        <v>2.0423</v>
      </c>
      <c r="C33">
        <v>2.75</v>
      </c>
    </row>
    <row r="34" spans="1:3">
      <c r="A34">
        <v>33</v>
      </c>
      <c r="B34">
        <v>2.036</v>
      </c>
      <c r="C34">
        <v>2.738</v>
      </c>
    </row>
    <row r="35" spans="1:3">
      <c r="A35">
        <v>34</v>
      </c>
      <c r="B35">
        <v>2.036</v>
      </c>
      <c r="C35">
        <v>2.738</v>
      </c>
    </row>
    <row r="36" spans="1:3">
      <c r="A36">
        <v>35</v>
      </c>
      <c r="B36">
        <v>2.0322</v>
      </c>
      <c r="C36">
        <v>2.7284000000000002</v>
      </c>
    </row>
    <row r="37" spans="1:3">
      <c r="A37">
        <v>36</v>
      </c>
      <c r="B37">
        <v>2.0322</v>
      </c>
      <c r="C37">
        <v>2.7284000000000002</v>
      </c>
    </row>
    <row r="38" spans="1:3">
      <c r="A38">
        <v>37</v>
      </c>
      <c r="B38">
        <v>2.0280999999999998</v>
      </c>
      <c r="C38">
        <v>2.7195</v>
      </c>
    </row>
    <row r="39" spans="1:3">
      <c r="A39">
        <v>38</v>
      </c>
      <c r="B39">
        <v>2.0280999999999998</v>
      </c>
      <c r="C39">
        <v>2.7195</v>
      </c>
    </row>
    <row r="40" spans="1:3">
      <c r="A40">
        <v>39</v>
      </c>
      <c r="B40">
        <v>2.0244</v>
      </c>
      <c r="C40">
        <v>2.7115999999999998</v>
      </c>
    </row>
    <row r="41" spans="1:3">
      <c r="A41">
        <v>40</v>
      </c>
      <c r="B41">
        <v>2.0244</v>
      </c>
      <c r="C41">
        <v>2.7115999999999998</v>
      </c>
    </row>
    <row r="42" spans="1:3">
      <c r="A42">
        <v>41</v>
      </c>
      <c r="B42">
        <v>2.0211000000000001</v>
      </c>
      <c r="C42">
        <v>2.7044999999999999</v>
      </c>
    </row>
    <row r="43" spans="1:3">
      <c r="A43">
        <v>42</v>
      </c>
      <c r="B43">
        <v>2.0211000000000001</v>
      </c>
      <c r="C43">
        <v>2.7044999999999999</v>
      </c>
    </row>
    <row r="44" spans="1:3">
      <c r="A44">
        <v>43</v>
      </c>
      <c r="B44">
        <v>2.0179999999999998</v>
      </c>
      <c r="C44">
        <v>2.698</v>
      </c>
    </row>
    <row r="45" spans="1:3">
      <c r="A45">
        <v>44</v>
      </c>
      <c r="B45">
        <v>2.0179999999999998</v>
      </c>
      <c r="C45">
        <v>2.698</v>
      </c>
    </row>
    <row r="46" spans="1:3">
      <c r="A46">
        <v>45</v>
      </c>
      <c r="B46">
        <v>2.0154000000000001</v>
      </c>
      <c r="C46">
        <v>2.6922999999999999</v>
      </c>
    </row>
    <row r="47" spans="1:3">
      <c r="A47">
        <v>46</v>
      </c>
      <c r="B47">
        <v>2.0154000000000001</v>
      </c>
      <c r="C47">
        <v>2.6922999999999999</v>
      </c>
    </row>
    <row r="48" spans="1:3">
      <c r="A48">
        <v>47</v>
      </c>
      <c r="B48">
        <v>2.0129000000000001</v>
      </c>
      <c r="C48">
        <v>2.6869999999999998</v>
      </c>
    </row>
    <row r="49" spans="1:3">
      <c r="A49">
        <v>48</v>
      </c>
      <c r="B49">
        <v>2.0129000000000001</v>
      </c>
      <c r="C49">
        <v>2.6869999999999998</v>
      </c>
    </row>
    <row r="50" spans="1:3">
      <c r="A50">
        <v>49</v>
      </c>
      <c r="B50">
        <v>2.0106000000000002</v>
      </c>
      <c r="C50">
        <v>2.6821999999999999</v>
      </c>
    </row>
    <row r="51" spans="1:3">
      <c r="A51">
        <v>50</v>
      </c>
      <c r="B51">
        <v>2.0106000000000002</v>
      </c>
      <c r="C51">
        <v>2.6821999999999999</v>
      </c>
    </row>
    <row r="52" spans="1:3">
      <c r="A52">
        <v>51</v>
      </c>
      <c r="B52">
        <v>2.0085999999999999</v>
      </c>
      <c r="C52">
        <v>2.6778</v>
      </c>
    </row>
    <row r="53" spans="1:3">
      <c r="A53">
        <v>52</v>
      </c>
      <c r="B53">
        <v>2.0085999999999999</v>
      </c>
      <c r="C53">
        <v>2.6778</v>
      </c>
    </row>
    <row r="54" spans="1:3">
      <c r="A54">
        <v>53</v>
      </c>
      <c r="B54">
        <v>2.0085999999999999</v>
      </c>
      <c r="C54">
        <v>2.6778</v>
      </c>
    </row>
    <row r="55" spans="1:3">
      <c r="A55">
        <v>54</v>
      </c>
      <c r="B55">
        <v>2.0085999999999999</v>
      </c>
      <c r="C55">
        <v>2.6778</v>
      </c>
    </row>
    <row r="56" spans="1:3">
      <c r="A56">
        <v>55</v>
      </c>
      <c r="B56">
        <v>2.0085999999999999</v>
      </c>
      <c r="C56">
        <v>2.6778</v>
      </c>
    </row>
    <row r="57" spans="1:3">
      <c r="A57">
        <v>56</v>
      </c>
      <c r="B57">
        <v>2.004</v>
      </c>
      <c r="C57">
        <v>2.6680000000000001</v>
      </c>
    </row>
    <row r="58" spans="1:3">
      <c r="A58">
        <v>57</v>
      </c>
      <c r="B58">
        <v>2.004</v>
      </c>
      <c r="C58">
        <v>2.6680000000000001</v>
      </c>
    </row>
    <row r="59" spans="1:3">
      <c r="A59">
        <v>58</v>
      </c>
      <c r="B59">
        <v>2.004</v>
      </c>
      <c r="C59">
        <v>2.6680000000000001</v>
      </c>
    </row>
    <row r="60" spans="1:3">
      <c r="A60">
        <v>59</v>
      </c>
      <c r="B60">
        <v>2.004</v>
      </c>
      <c r="C60">
        <v>2.6680000000000001</v>
      </c>
    </row>
    <row r="61" spans="1:3">
      <c r="A61">
        <v>60</v>
      </c>
      <c r="B61">
        <v>2.004</v>
      </c>
      <c r="C61">
        <v>2.6680000000000001</v>
      </c>
    </row>
    <row r="62" spans="1:3">
      <c r="A62">
        <v>61</v>
      </c>
      <c r="B62">
        <v>2.0003000000000002</v>
      </c>
      <c r="C62">
        <v>2.6602999999999999</v>
      </c>
    </row>
    <row r="63" spans="1:3">
      <c r="A63">
        <v>62</v>
      </c>
      <c r="B63">
        <v>2.0003000000000002</v>
      </c>
      <c r="C63">
        <v>2.6602999999999999</v>
      </c>
    </row>
    <row r="64" spans="1:3">
      <c r="A64">
        <v>63</v>
      </c>
      <c r="B64">
        <v>2.0003000000000002</v>
      </c>
      <c r="C64">
        <v>2.6602999999999999</v>
      </c>
    </row>
    <row r="65" spans="1:3">
      <c r="A65">
        <v>64</v>
      </c>
      <c r="B65">
        <v>2.0003000000000002</v>
      </c>
      <c r="C65">
        <v>2.6602999999999999</v>
      </c>
    </row>
    <row r="66" spans="1:3">
      <c r="A66">
        <v>65</v>
      </c>
      <c r="B66">
        <v>2.0003000000000002</v>
      </c>
      <c r="C66">
        <v>2.6602999999999999</v>
      </c>
    </row>
    <row r="67" spans="1:3">
      <c r="A67">
        <v>66</v>
      </c>
      <c r="B67">
        <v>1.9970000000000001</v>
      </c>
      <c r="C67">
        <v>2.6536</v>
      </c>
    </row>
    <row r="68" spans="1:3">
      <c r="A68">
        <v>67</v>
      </c>
      <c r="B68">
        <v>1.9970000000000001</v>
      </c>
      <c r="C68">
        <v>2.6536</v>
      </c>
    </row>
    <row r="69" spans="1:3">
      <c r="A69">
        <v>68</v>
      </c>
      <c r="B69">
        <v>1.9970000000000001</v>
      </c>
      <c r="C69">
        <v>2.6536</v>
      </c>
    </row>
    <row r="70" spans="1:3">
      <c r="A70">
        <v>69</v>
      </c>
      <c r="B70">
        <v>1.9970000000000001</v>
      </c>
      <c r="C70">
        <v>2.6536</v>
      </c>
    </row>
    <row r="71" spans="1:3">
      <c r="A71">
        <v>70</v>
      </c>
      <c r="B71">
        <v>1.9970000000000001</v>
      </c>
      <c r="C71">
        <v>2.6536</v>
      </c>
    </row>
    <row r="72" spans="1:3">
      <c r="A72">
        <v>71</v>
      </c>
      <c r="B72">
        <v>1.9944</v>
      </c>
      <c r="C72">
        <v>2.6478999999999999</v>
      </c>
    </row>
    <row r="73" spans="1:3">
      <c r="A73">
        <v>72</v>
      </c>
      <c r="B73">
        <v>1.9944</v>
      </c>
      <c r="C73">
        <v>2.6478999999999999</v>
      </c>
    </row>
    <row r="74" spans="1:3">
      <c r="A74">
        <v>73</v>
      </c>
      <c r="B74">
        <v>1.9944</v>
      </c>
      <c r="C74">
        <v>2.6478999999999999</v>
      </c>
    </row>
    <row r="75" spans="1:3">
      <c r="A75">
        <v>74</v>
      </c>
      <c r="B75">
        <v>1.9944</v>
      </c>
      <c r="C75">
        <v>2.6478999999999999</v>
      </c>
    </row>
    <row r="76" spans="1:3">
      <c r="A76">
        <v>75</v>
      </c>
      <c r="B76">
        <v>1.9944</v>
      </c>
      <c r="C76">
        <v>2.6478999999999999</v>
      </c>
    </row>
    <row r="77" spans="1:3">
      <c r="A77">
        <v>76</v>
      </c>
      <c r="B77">
        <v>1.9944</v>
      </c>
      <c r="C77">
        <v>2.6478999999999999</v>
      </c>
    </row>
    <row r="78" spans="1:3">
      <c r="A78">
        <v>77</v>
      </c>
      <c r="B78">
        <v>1.9944</v>
      </c>
      <c r="C78">
        <v>2.6478999999999999</v>
      </c>
    </row>
    <row r="79" spans="1:3">
      <c r="A79">
        <v>78</v>
      </c>
      <c r="B79">
        <v>1.9944</v>
      </c>
      <c r="C79">
        <v>2.6478999999999999</v>
      </c>
    </row>
    <row r="80" spans="1:3">
      <c r="A80">
        <v>79</v>
      </c>
      <c r="B80">
        <v>1.9944</v>
      </c>
      <c r="C80">
        <v>2.6478999999999999</v>
      </c>
    </row>
    <row r="81" spans="1:3">
      <c r="A81">
        <v>80</v>
      </c>
      <c r="B81">
        <v>1.9944</v>
      </c>
      <c r="C81">
        <v>2.6478999999999999</v>
      </c>
    </row>
    <row r="82" spans="1:3">
      <c r="A82">
        <v>81</v>
      </c>
      <c r="B82">
        <v>1.99</v>
      </c>
      <c r="C82">
        <v>2.6379999999999999</v>
      </c>
    </row>
    <row r="83" spans="1:3">
      <c r="A83">
        <v>82</v>
      </c>
      <c r="B83">
        <v>1.99</v>
      </c>
      <c r="C83">
        <v>2.6379999999999999</v>
      </c>
    </row>
    <row r="84" spans="1:3">
      <c r="A84">
        <v>83</v>
      </c>
      <c r="B84">
        <v>1.99</v>
      </c>
      <c r="C84">
        <v>2.6379999999999999</v>
      </c>
    </row>
    <row r="85" spans="1:3">
      <c r="A85">
        <v>84</v>
      </c>
      <c r="B85">
        <v>1.99</v>
      </c>
      <c r="C85">
        <v>2.6379999999999999</v>
      </c>
    </row>
    <row r="86" spans="1:3">
      <c r="A86">
        <v>85</v>
      </c>
      <c r="B86">
        <v>1.99</v>
      </c>
      <c r="C86">
        <v>2.6379999999999999</v>
      </c>
    </row>
    <row r="87" spans="1:3">
      <c r="A87">
        <v>86</v>
      </c>
      <c r="B87">
        <v>1.99</v>
      </c>
      <c r="C87">
        <v>2.6379999999999999</v>
      </c>
    </row>
    <row r="88" spans="1:3">
      <c r="A88">
        <v>87</v>
      </c>
      <c r="B88">
        <v>1.99</v>
      </c>
      <c r="C88">
        <v>2.6379999999999999</v>
      </c>
    </row>
    <row r="89" spans="1:3">
      <c r="A89">
        <v>88</v>
      </c>
      <c r="B89">
        <v>1.99</v>
      </c>
      <c r="C89">
        <v>2.6379999999999999</v>
      </c>
    </row>
    <row r="90" spans="1:3">
      <c r="A90">
        <v>89</v>
      </c>
      <c r="B90">
        <v>1.99</v>
      </c>
      <c r="C90">
        <v>2.6379999999999999</v>
      </c>
    </row>
    <row r="91" spans="1:3">
      <c r="A91">
        <v>90</v>
      </c>
      <c r="B91">
        <v>1.99</v>
      </c>
      <c r="C91">
        <v>2.6379999999999999</v>
      </c>
    </row>
    <row r="92" spans="1:3">
      <c r="A92">
        <v>91</v>
      </c>
      <c r="B92">
        <v>1.9866999999999999</v>
      </c>
      <c r="C92">
        <v>2.6316000000000002</v>
      </c>
    </row>
    <row r="93" spans="1:3">
      <c r="A93">
        <v>92</v>
      </c>
      <c r="B93">
        <v>1.9866999999999999</v>
      </c>
      <c r="C93">
        <v>2.6316000000000002</v>
      </c>
    </row>
    <row r="94" spans="1:3">
      <c r="A94">
        <v>93</v>
      </c>
      <c r="B94">
        <v>1.9866999999999999</v>
      </c>
      <c r="C94">
        <v>2.6316000000000002</v>
      </c>
    </row>
    <row r="95" spans="1:3">
      <c r="A95">
        <v>94</v>
      </c>
      <c r="B95">
        <v>1.9866999999999999</v>
      </c>
      <c r="C95">
        <v>2.6316000000000002</v>
      </c>
    </row>
    <row r="96" spans="1:3">
      <c r="A96">
        <v>95</v>
      </c>
      <c r="B96">
        <v>1.9866999999999999</v>
      </c>
      <c r="C96">
        <v>2.6316000000000002</v>
      </c>
    </row>
    <row r="97" spans="1:3">
      <c r="A97">
        <v>96</v>
      </c>
      <c r="B97">
        <v>1.9866999999999999</v>
      </c>
      <c r="C97">
        <v>2.6316000000000002</v>
      </c>
    </row>
    <row r="98" spans="1:3">
      <c r="A98">
        <v>97</v>
      </c>
      <c r="B98">
        <v>1.9866999999999999</v>
      </c>
      <c r="C98">
        <v>2.6316000000000002</v>
      </c>
    </row>
    <row r="99" spans="1:3">
      <c r="A99">
        <v>98</v>
      </c>
      <c r="B99">
        <v>1.9866999999999999</v>
      </c>
      <c r="C99">
        <v>2.6316000000000002</v>
      </c>
    </row>
    <row r="100" spans="1:3">
      <c r="A100">
        <v>99</v>
      </c>
      <c r="B100">
        <v>1.9866999999999999</v>
      </c>
      <c r="C100">
        <v>2.6316000000000002</v>
      </c>
    </row>
    <row r="101" spans="1:3">
      <c r="A101">
        <v>100</v>
      </c>
      <c r="B101">
        <v>1.9866999999999999</v>
      </c>
      <c r="C101">
        <v>2.6316000000000002</v>
      </c>
    </row>
    <row r="102" spans="1:3">
      <c r="A102">
        <v>101</v>
      </c>
      <c r="B102">
        <v>1.984</v>
      </c>
      <c r="C102">
        <v>2.6259000000000001</v>
      </c>
    </row>
    <row r="103" spans="1:3">
      <c r="A103">
        <v>102</v>
      </c>
      <c r="B103">
        <v>1.984</v>
      </c>
      <c r="C103">
        <v>2.6259000000000001</v>
      </c>
    </row>
    <row r="104" spans="1:3">
      <c r="A104">
        <v>103</v>
      </c>
      <c r="B104">
        <v>1.984</v>
      </c>
      <c r="C104">
        <v>2.6259000000000001</v>
      </c>
    </row>
    <row r="105" spans="1:3">
      <c r="A105">
        <v>104</v>
      </c>
      <c r="B105">
        <v>1.984</v>
      </c>
      <c r="C105">
        <v>2.6259000000000001</v>
      </c>
    </row>
    <row r="106" spans="1:3">
      <c r="A106">
        <v>105</v>
      </c>
      <c r="B106">
        <v>1.984</v>
      </c>
      <c r="C106">
        <v>2.6259000000000001</v>
      </c>
    </row>
    <row r="107" spans="1:3">
      <c r="A107">
        <v>106</v>
      </c>
      <c r="B107">
        <v>1.984</v>
      </c>
      <c r="C107">
        <v>2.6259000000000001</v>
      </c>
    </row>
    <row r="108" spans="1:3">
      <c r="A108">
        <v>107</v>
      </c>
      <c r="B108">
        <v>1.984</v>
      </c>
      <c r="C108">
        <v>2.6259000000000001</v>
      </c>
    </row>
    <row r="109" spans="1:3">
      <c r="A109">
        <v>108</v>
      </c>
      <c r="B109">
        <v>1.984</v>
      </c>
      <c r="C109">
        <v>2.6259000000000001</v>
      </c>
    </row>
    <row r="110" spans="1:3">
      <c r="A110">
        <v>109</v>
      </c>
      <c r="B110">
        <v>1.984</v>
      </c>
      <c r="C110">
        <v>2.6259000000000001</v>
      </c>
    </row>
    <row r="111" spans="1:3">
      <c r="A111">
        <v>110</v>
      </c>
      <c r="B111">
        <v>1.984</v>
      </c>
      <c r="C111">
        <v>2.6259000000000001</v>
      </c>
    </row>
    <row r="112" spans="1:3">
      <c r="A112">
        <v>111</v>
      </c>
      <c r="B112">
        <v>1.984</v>
      </c>
      <c r="C112">
        <v>2.6259000000000001</v>
      </c>
    </row>
    <row r="113" spans="1:3">
      <c r="A113">
        <v>112</v>
      </c>
      <c r="B113">
        <v>1.984</v>
      </c>
      <c r="C113">
        <v>2.6259000000000001</v>
      </c>
    </row>
    <row r="114" spans="1:3">
      <c r="A114">
        <v>113</v>
      </c>
      <c r="B114">
        <v>1.984</v>
      </c>
      <c r="C114">
        <v>2.6259000000000001</v>
      </c>
    </row>
    <row r="115" spans="1:3">
      <c r="A115">
        <v>114</v>
      </c>
      <c r="B115">
        <v>1.984</v>
      </c>
      <c r="C115">
        <v>2.6259000000000001</v>
      </c>
    </row>
    <row r="116" spans="1:3">
      <c r="A116">
        <v>115</v>
      </c>
      <c r="B116">
        <v>1.984</v>
      </c>
      <c r="C116">
        <v>2.6259000000000001</v>
      </c>
    </row>
    <row r="117" spans="1:3">
      <c r="A117">
        <v>116</v>
      </c>
      <c r="B117">
        <v>1.984</v>
      </c>
      <c r="C117">
        <v>2.6259000000000001</v>
      </c>
    </row>
    <row r="118" spans="1:3">
      <c r="A118">
        <v>117</v>
      </c>
      <c r="B118">
        <v>1.984</v>
      </c>
      <c r="C118">
        <v>2.6259000000000001</v>
      </c>
    </row>
    <row r="119" spans="1:3">
      <c r="A119">
        <v>118</v>
      </c>
      <c r="B119">
        <v>1.984</v>
      </c>
      <c r="C119">
        <v>2.6259000000000001</v>
      </c>
    </row>
    <row r="120" spans="1:3">
      <c r="A120">
        <v>119</v>
      </c>
      <c r="B120">
        <v>1.984</v>
      </c>
      <c r="C120">
        <v>2.6259000000000001</v>
      </c>
    </row>
    <row r="121" spans="1:3">
      <c r="A121">
        <v>120</v>
      </c>
      <c r="B121">
        <v>1.984</v>
      </c>
      <c r="C121">
        <v>2.6259000000000001</v>
      </c>
    </row>
    <row r="122" spans="1:3">
      <c r="A122">
        <v>121</v>
      </c>
      <c r="B122">
        <v>1.9719</v>
      </c>
      <c r="C122">
        <v>2.6173999999999999</v>
      </c>
    </row>
    <row r="123" spans="1:3">
      <c r="A123">
        <v>122</v>
      </c>
      <c r="B123">
        <v>1.9719</v>
      </c>
      <c r="C123">
        <v>2.6173999999999999</v>
      </c>
    </row>
    <row r="124" spans="1:3">
      <c r="A124">
        <v>123</v>
      </c>
      <c r="B124">
        <v>1.9719</v>
      </c>
      <c r="C124">
        <v>2.6173999999999999</v>
      </c>
    </row>
    <row r="125" spans="1:3">
      <c r="A125">
        <v>124</v>
      </c>
      <c r="B125">
        <v>1.9719</v>
      </c>
      <c r="C125">
        <v>2.6173999999999999</v>
      </c>
    </row>
    <row r="126" spans="1:3">
      <c r="A126">
        <v>125</v>
      </c>
      <c r="B126">
        <v>1.9719</v>
      </c>
      <c r="C126">
        <v>2.6173999999999999</v>
      </c>
    </row>
    <row r="127" spans="1:3">
      <c r="A127">
        <v>126</v>
      </c>
      <c r="B127">
        <v>1.9719</v>
      </c>
      <c r="C127">
        <v>2.6173999999999999</v>
      </c>
    </row>
    <row r="128" spans="1:3">
      <c r="A128">
        <v>127</v>
      </c>
      <c r="B128">
        <v>1.9719</v>
      </c>
      <c r="C128">
        <v>2.6173999999999999</v>
      </c>
    </row>
    <row r="129" spans="1:3">
      <c r="A129">
        <v>128</v>
      </c>
      <c r="B129">
        <v>1.9719</v>
      </c>
      <c r="C129">
        <v>2.6173999999999999</v>
      </c>
    </row>
    <row r="130" spans="1:3">
      <c r="A130">
        <v>129</v>
      </c>
      <c r="B130">
        <v>1.9719</v>
      </c>
      <c r="C130">
        <v>2.6173999999999999</v>
      </c>
    </row>
    <row r="131" spans="1:3">
      <c r="A131">
        <v>130</v>
      </c>
      <c r="B131">
        <v>1.9719</v>
      </c>
      <c r="C131">
        <v>2.6173999999999999</v>
      </c>
    </row>
    <row r="132" spans="1:3">
      <c r="A132">
        <v>131</v>
      </c>
      <c r="B132">
        <v>1.9719</v>
      </c>
      <c r="C132">
        <v>2.6173999999999999</v>
      </c>
    </row>
    <row r="133" spans="1:3">
      <c r="A133">
        <v>132</v>
      </c>
      <c r="B133">
        <v>1.9719</v>
      </c>
      <c r="C133">
        <v>2.6173999999999999</v>
      </c>
    </row>
    <row r="134" spans="1:3">
      <c r="A134">
        <v>133</v>
      </c>
      <c r="B134">
        <v>1.9719</v>
      </c>
      <c r="C134">
        <v>2.6173999999999999</v>
      </c>
    </row>
    <row r="135" spans="1:3">
      <c r="A135">
        <v>134</v>
      </c>
      <c r="B135">
        <v>1.9719</v>
      </c>
      <c r="C135">
        <v>2.6173999999999999</v>
      </c>
    </row>
    <row r="136" spans="1:3">
      <c r="A136">
        <v>135</v>
      </c>
      <c r="B136">
        <v>1.9719</v>
      </c>
      <c r="C136">
        <v>2.6173999999999999</v>
      </c>
    </row>
    <row r="137" spans="1:3">
      <c r="A137">
        <v>136</v>
      </c>
      <c r="B137">
        <v>1.9719</v>
      </c>
      <c r="C137">
        <v>2.6173999999999999</v>
      </c>
    </row>
    <row r="138" spans="1:3">
      <c r="A138">
        <v>137</v>
      </c>
      <c r="B138">
        <v>1.9719</v>
      </c>
      <c r="C138">
        <v>2.6173999999999999</v>
      </c>
    </row>
    <row r="139" spans="1:3">
      <c r="A139">
        <v>138</v>
      </c>
      <c r="B139">
        <v>1.9719</v>
      </c>
      <c r="C139">
        <v>2.6173999999999999</v>
      </c>
    </row>
    <row r="140" spans="1:3">
      <c r="A140">
        <v>139</v>
      </c>
      <c r="B140">
        <v>1.9719</v>
      </c>
      <c r="C140">
        <v>2.6173999999999999</v>
      </c>
    </row>
    <row r="141" spans="1:3">
      <c r="A141">
        <v>140</v>
      </c>
      <c r="B141">
        <v>1.9719</v>
      </c>
      <c r="C141">
        <v>2.6173999999999999</v>
      </c>
    </row>
    <row r="142" spans="1:3">
      <c r="A142">
        <v>141</v>
      </c>
      <c r="B142">
        <v>1.9719</v>
      </c>
      <c r="C142">
        <v>2.6173999999999999</v>
      </c>
    </row>
    <row r="143" spans="1:3">
      <c r="A143">
        <v>142</v>
      </c>
      <c r="B143">
        <v>1.9719</v>
      </c>
      <c r="C143">
        <v>2.6173999999999999</v>
      </c>
    </row>
    <row r="144" spans="1:3">
      <c r="A144">
        <v>143</v>
      </c>
      <c r="B144">
        <v>1.9719</v>
      </c>
      <c r="C144">
        <v>2.6173999999999999</v>
      </c>
    </row>
    <row r="145" spans="1:3">
      <c r="A145">
        <v>144</v>
      </c>
      <c r="B145">
        <v>1.9719</v>
      </c>
      <c r="C145">
        <v>2.6173999999999999</v>
      </c>
    </row>
    <row r="146" spans="1:3">
      <c r="A146">
        <v>145</v>
      </c>
      <c r="B146">
        <v>1.9719</v>
      </c>
      <c r="C146">
        <v>2.6173999999999999</v>
      </c>
    </row>
    <row r="147" spans="1:3">
      <c r="A147">
        <v>146</v>
      </c>
      <c r="B147">
        <v>1.9719</v>
      </c>
      <c r="C147">
        <v>2.6173999999999999</v>
      </c>
    </row>
    <row r="148" spans="1:3">
      <c r="A148">
        <v>147</v>
      </c>
      <c r="B148">
        <v>1.9719</v>
      </c>
      <c r="C148">
        <v>2.6173999999999999</v>
      </c>
    </row>
    <row r="149" spans="1:3">
      <c r="A149">
        <v>148</v>
      </c>
      <c r="B149">
        <v>1.9719</v>
      </c>
      <c r="C149">
        <v>2.6173999999999999</v>
      </c>
    </row>
    <row r="150" spans="1:3">
      <c r="A150">
        <v>149</v>
      </c>
      <c r="B150">
        <v>1.9719</v>
      </c>
      <c r="C150">
        <v>2.6173999999999999</v>
      </c>
    </row>
    <row r="151" spans="1:3">
      <c r="A151">
        <v>150</v>
      </c>
      <c r="B151">
        <v>1.9719</v>
      </c>
      <c r="C151">
        <v>2.6173999999999999</v>
      </c>
    </row>
    <row r="152" spans="1:3">
      <c r="A152">
        <v>151</v>
      </c>
      <c r="B152">
        <v>1.9719</v>
      </c>
      <c r="C152">
        <v>2.6173999999999999</v>
      </c>
    </row>
    <row r="153" spans="1:3">
      <c r="A153">
        <v>152</v>
      </c>
      <c r="B153">
        <v>1.9719</v>
      </c>
      <c r="C153">
        <v>2.6173999999999999</v>
      </c>
    </row>
    <row r="154" spans="1:3">
      <c r="A154">
        <v>153</v>
      </c>
      <c r="B154">
        <v>1.9719</v>
      </c>
      <c r="C154">
        <v>2.6173999999999999</v>
      </c>
    </row>
    <row r="155" spans="1:3">
      <c r="A155">
        <v>154</v>
      </c>
      <c r="B155">
        <v>1.9719</v>
      </c>
      <c r="C155">
        <v>2.6173999999999999</v>
      </c>
    </row>
    <row r="156" spans="1:3">
      <c r="A156">
        <v>155</v>
      </c>
      <c r="B156">
        <v>1.9719</v>
      </c>
      <c r="C156">
        <v>2.6173999999999999</v>
      </c>
    </row>
    <row r="157" spans="1:3">
      <c r="A157">
        <v>156</v>
      </c>
      <c r="B157">
        <v>1.9719</v>
      </c>
      <c r="C157">
        <v>2.6173999999999999</v>
      </c>
    </row>
    <row r="158" spans="1:3">
      <c r="A158">
        <v>157</v>
      </c>
      <c r="B158">
        <v>1.9719</v>
      </c>
      <c r="C158">
        <v>2.6173999999999999</v>
      </c>
    </row>
    <row r="159" spans="1:3">
      <c r="A159">
        <v>158</v>
      </c>
      <c r="B159">
        <v>1.9719</v>
      </c>
      <c r="C159">
        <v>2.6173999999999999</v>
      </c>
    </row>
    <row r="160" spans="1:3">
      <c r="A160">
        <v>159</v>
      </c>
      <c r="B160">
        <v>1.9719</v>
      </c>
      <c r="C160">
        <v>2.6173999999999999</v>
      </c>
    </row>
    <row r="161" spans="1:3">
      <c r="A161">
        <v>160</v>
      </c>
      <c r="B161">
        <v>1.9719</v>
      </c>
      <c r="C161">
        <v>2.6173999999999999</v>
      </c>
    </row>
    <row r="162" spans="1:3">
      <c r="A162">
        <v>161</v>
      </c>
      <c r="B162">
        <v>1.9719</v>
      </c>
      <c r="C162">
        <v>2.6173999999999999</v>
      </c>
    </row>
    <row r="163" spans="1:3">
      <c r="A163">
        <v>162</v>
      </c>
      <c r="B163">
        <v>1.9719</v>
      </c>
      <c r="C163">
        <v>2.6173999999999999</v>
      </c>
    </row>
    <row r="164" spans="1:3">
      <c r="A164">
        <v>163</v>
      </c>
      <c r="B164">
        <v>1.9719</v>
      </c>
      <c r="C164">
        <v>2.6173999999999999</v>
      </c>
    </row>
    <row r="165" spans="1:3">
      <c r="A165">
        <v>164</v>
      </c>
      <c r="B165">
        <v>1.9719</v>
      </c>
      <c r="C165">
        <v>2.6173999999999999</v>
      </c>
    </row>
    <row r="166" spans="1:3">
      <c r="A166">
        <v>165</v>
      </c>
      <c r="B166">
        <v>1.9719</v>
      </c>
      <c r="C166">
        <v>2.6173999999999999</v>
      </c>
    </row>
    <row r="167" spans="1:3">
      <c r="A167">
        <v>166</v>
      </c>
      <c r="B167">
        <v>1.9719</v>
      </c>
      <c r="C167">
        <v>2.6173999999999999</v>
      </c>
    </row>
    <row r="168" spans="1:3">
      <c r="A168">
        <v>167</v>
      </c>
      <c r="B168">
        <v>1.9719</v>
      </c>
      <c r="C168">
        <v>2.6173999999999999</v>
      </c>
    </row>
    <row r="169" spans="1:3">
      <c r="A169">
        <v>168</v>
      </c>
      <c r="B169">
        <v>1.9719</v>
      </c>
      <c r="C169">
        <v>2.6173999999999999</v>
      </c>
    </row>
    <row r="170" spans="1:3">
      <c r="A170">
        <v>169</v>
      </c>
      <c r="B170">
        <v>1.9719</v>
      </c>
      <c r="C170">
        <v>2.6173999999999999</v>
      </c>
    </row>
    <row r="171" spans="1:3">
      <c r="A171">
        <v>170</v>
      </c>
      <c r="B171">
        <v>1.9719</v>
      </c>
      <c r="C171">
        <v>2.6173999999999999</v>
      </c>
    </row>
    <row r="172" spans="1:3">
      <c r="A172">
        <v>171</v>
      </c>
      <c r="B172">
        <v>1.9719</v>
      </c>
      <c r="C172">
        <v>2.6173999999999999</v>
      </c>
    </row>
    <row r="173" spans="1:3">
      <c r="A173">
        <v>172</v>
      </c>
      <c r="B173">
        <v>1.9719</v>
      </c>
      <c r="C173">
        <v>2.6173999999999999</v>
      </c>
    </row>
    <row r="174" spans="1:3">
      <c r="A174">
        <v>173</v>
      </c>
      <c r="B174">
        <v>1.9719</v>
      </c>
      <c r="C174">
        <v>2.6173999999999999</v>
      </c>
    </row>
    <row r="175" spans="1:3">
      <c r="A175">
        <v>174</v>
      </c>
      <c r="B175">
        <v>1.9719</v>
      </c>
      <c r="C175">
        <v>2.6173999999999999</v>
      </c>
    </row>
    <row r="176" spans="1:3">
      <c r="A176">
        <v>175</v>
      </c>
      <c r="B176">
        <v>1.9719</v>
      </c>
      <c r="C176">
        <v>2.6173999999999999</v>
      </c>
    </row>
    <row r="177" spans="1:3">
      <c r="A177">
        <v>176</v>
      </c>
      <c r="B177">
        <v>1.9719</v>
      </c>
      <c r="C177">
        <v>2.6173999999999999</v>
      </c>
    </row>
    <row r="178" spans="1:3">
      <c r="A178">
        <v>177</v>
      </c>
      <c r="B178">
        <v>1.9719</v>
      </c>
      <c r="C178">
        <v>2.6173999999999999</v>
      </c>
    </row>
    <row r="179" spans="1:3">
      <c r="A179">
        <v>178</v>
      </c>
      <c r="B179">
        <v>1.9719</v>
      </c>
      <c r="C179">
        <v>2.6173999999999999</v>
      </c>
    </row>
    <row r="180" spans="1:3">
      <c r="A180">
        <v>179</v>
      </c>
      <c r="B180">
        <v>1.9719</v>
      </c>
      <c r="C180">
        <v>2.6173999999999999</v>
      </c>
    </row>
    <row r="181" spans="1:3">
      <c r="A181">
        <v>180</v>
      </c>
      <c r="B181">
        <v>1.9719</v>
      </c>
      <c r="C181">
        <v>2.6173999999999999</v>
      </c>
    </row>
    <row r="182" spans="1:3">
      <c r="A182">
        <v>181</v>
      </c>
      <c r="B182">
        <v>1.9719</v>
      </c>
      <c r="C182">
        <v>2.6173999999999999</v>
      </c>
    </row>
    <row r="183" spans="1:3">
      <c r="A183">
        <v>182</v>
      </c>
      <c r="B183">
        <v>1.9719</v>
      </c>
      <c r="C183">
        <v>2.6173999999999999</v>
      </c>
    </row>
    <row r="184" spans="1:3">
      <c r="A184">
        <v>183</v>
      </c>
      <c r="B184">
        <v>1.9719</v>
      </c>
      <c r="C184">
        <v>2.6173999999999999</v>
      </c>
    </row>
    <row r="185" spans="1:3">
      <c r="A185">
        <v>184</v>
      </c>
      <c r="B185">
        <v>1.9719</v>
      </c>
      <c r="C185">
        <v>2.6173999999999999</v>
      </c>
    </row>
    <row r="186" spans="1:3">
      <c r="A186">
        <v>185</v>
      </c>
      <c r="B186">
        <v>1.9719</v>
      </c>
      <c r="C186">
        <v>2.6173999999999999</v>
      </c>
    </row>
    <row r="187" spans="1:3">
      <c r="A187">
        <v>186</v>
      </c>
      <c r="B187">
        <v>1.9719</v>
      </c>
      <c r="C187">
        <v>2.6173999999999999</v>
      </c>
    </row>
    <row r="188" spans="1:3">
      <c r="A188">
        <v>187</v>
      </c>
      <c r="B188">
        <v>1.9719</v>
      </c>
      <c r="C188">
        <v>2.6173999999999999</v>
      </c>
    </row>
    <row r="189" spans="1:3">
      <c r="A189">
        <v>188</v>
      </c>
      <c r="B189">
        <v>1.9719</v>
      </c>
      <c r="C189">
        <v>2.6173999999999999</v>
      </c>
    </row>
    <row r="190" spans="1:3">
      <c r="A190">
        <v>189</v>
      </c>
      <c r="B190">
        <v>1.9719</v>
      </c>
      <c r="C190">
        <v>2.6173999999999999</v>
      </c>
    </row>
    <row r="191" spans="1:3">
      <c r="A191">
        <v>190</v>
      </c>
      <c r="B191">
        <v>1.9719</v>
      </c>
      <c r="C191">
        <v>2.6173999999999999</v>
      </c>
    </row>
    <row r="192" spans="1:3">
      <c r="A192">
        <v>191</v>
      </c>
      <c r="B192">
        <v>1.9719</v>
      </c>
      <c r="C192">
        <v>2.6173999999999999</v>
      </c>
    </row>
    <row r="193" spans="1:3">
      <c r="A193">
        <v>192</v>
      </c>
      <c r="B193">
        <v>1.9719</v>
      </c>
      <c r="C193">
        <v>2.6173999999999999</v>
      </c>
    </row>
    <row r="194" spans="1:3">
      <c r="A194">
        <v>193</v>
      </c>
      <c r="B194">
        <v>1.9719</v>
      </c>
      <c r="C194">
        <v>2.6173999999999999</v>
      </c>
    </row>
    <row r="195" spans="1:3">
      <c r="A195">
        <v>194</v>
      </c>
      <c r="B195">
        <v>1.9719</v>
      </c>
      <c r="C195">
        <v>2.6173999999999999</v>
      </c>
    </row>
    <row r="196" spans="1:3">
      <c r="A196">
        <v>195</v>
      </c>
      <c r="B196">
        <v>1.9719</v>
      </c>
      <c r="C196">
        <v>2.6173999999999999</v>
      </c>
    </row>
    <row r="197" spans="1:3">
      <c r="A197">
        <v>196</v>
      </c>
      <c r="B197">
        <v>1.9719</v>
      </c>
      <c r="C197">
        <v>2.6173999999999999</v>
      </c>
    </row>
    <row r="198" spans="1:3">
      <c r="A198">
        <v>197</v>
      </c>
      <c r="B198">
        <v>1.9719</v>
      </c>
      <c r="C198">
        <v>2.6173999999999999</v>
      </c>
    </row>
    <row r="199" spans="1:3">
      <c r="A199">
        <v>198</v>
      </c>
      <c r="B199">
        <v>1.9719</v>
      </c>
      <c r="C199">
        <v>2.6173999999999999</v>
      </c>
    </row>
    <row r="200" spans="1:3">
      <c r="A200">
        <v>199</v>
      </c>
      <c r="B200">
        <v>1.9719</v>
      </c>
      <c r="C200">
        <v>2.6173999999999999</v>
      </c>
    </row>
    <row r="201" spans="1:3">
      <c r="A201">
        <v>200</v>
      </c>
      <c r="B201">
        <v>1.9719</v>
      </c>
      <c r="C201">
        <v>2.6173999999999999</v>
      </c>
    </row>
    <row r="202" spans="1:3">
      <c r="A202">
        <v>201</v>
      </c>
      <c r="B202">
        <v>1.9719</v>
      </c>
      <c r="C202">
        <v>2.6173999999999999</v>
      </c>
    </row>
    <row r="203" spans="1:3">
      <c r="A203">
        <v>202</v>
      </c>
      <c r="B203">
        <v>1.9719</v>
      </c>
      <c r="C203">
        <v>2.6173999999999999</v>
      </c>
    </row>
    <row r="204" spans="1:3">
      <c r="A204">
        <v>203</v>
      </c>
      <c r="B204">
        <v>1.9719</v>
      </c>
      <c r="C204">
        <v>2.6173999999999999</v>
      </c>
    </row>
    <row r="205" spans="1:3">
      <c r="A205">
        <v>204</v>
      </c>
      <c r="B205">
        <v>1.9719</v>
      </c>
      <c r="C205">
        <v>2.6173999999999999</v>
      </c>
    </row>
    <row r="206" spans="1:3">
      <c r="A206">
        <v>205</v>
      </c>
      <c r="B206">
        <v>1.9719</v>
      </c>
      <c r="C206">
        <v>2.6173999999999999</v>
      </c>
    </row>
    <row r="207" spans="1:3">
      <c r="A207">
        <v>206</v>
      </c>
      <c r="B207">
        <v>1.9719</v>
      </c>
      <c r="C207">
        <v>2.6173999999999999</v>
      </c>
    </row>
    <row r="208" spans="1:3">
      <c r="A208">
        <v>207</v>
      </c>
      <c r="B208">
        <v>1.9719</v>
      </c>
      <c r="C208">
        <v>2.6173999999999999</v>
      </c>
    </row>
    <row r="209" spans="1:3">
      <c r="A209">
        <v>208</v>
      </c>
      <c r="B209">
        <v>1.9719</v>
      </c>
      <c r="C209">
        <v>2.6173999999999999</v>
      </c>
    </row>
    <row r="210" spans="1:3">
      <c r="A210">
        <v>209</v>
      </c>
      <c r="B210">
        <v>1.9719</v>
      </c>
      <c r="C210">
        <v>2.6173999999999999</v>
      </c>
    </row>
    <row r="211" spans="1:3">
      <c r="A211">
        <v>210</v>
      </c>
      <c r="B211">
        <v>1.9719</v>
      </c>
      <c r="C211">
        <v>2.6173999999999999</v>
      </c>
    </row>
    <row r="212" spans="1:3">
      <c r="A212">
        <v>211</v>
      </c>
      <c r="B212">
        <v>1.9719</v>
      </c>
      <c r="C212">
        <v>2.6173999999999999</v>
      </c>
    </row>
    <row r="213" spans="1:3">
      <c r="A213">
        <v>212</v>
      </c>
      <c r="B213">
        <v>1.9719</v>
      </c>
      <c r="C213">
        <v>2.6173999999999999</v>
      </c>
    </row>
    <row r="214" spans="1:3">
      <c r="A214">
        <v>213</v>
      </c>
      <c r="B214">
        <v>1.9719</v>
      </c>
      <c r="C214">
        <v>2.6173999999999999</v>
      </c>
    </row>
    <row r="215" spans="1:3">
      <c r="A215">
        <v>214</v>
      </c>
      <c r="B215">
        <v>1.9719</v>
      </c>
      <c r="C215">
        <v>2.6173999999999999</v>
      </c>
    </row>
    <row r="216" spans="1:3">
      <c r="A216">
        <v>215</v>
      </c>
      <c r="B216">
        <v>1.9719</v>
      </c>
      <c r="C216">
        <v>2.6173999999999999</v>
      </c>
    </row>
    <row r="217" spans="1:3">
      <c r="A217">
        <v>216</v>
      </c>
      <c r="B217">
        <v>1.9719</v>
      </c>
      <c r="C217">
        <v>2.6173999999999999</v>
      </c>
    </row>
    <row r="218" spans="1:3">
      <c r="A218">
        <v>217</v>
      </c>
      <c r="B218">
        <v>1.9719</v>
      </c>
      <c r="C218">
        <v>2.6173999999999999</v>
      </c>
    </row>
    <row r="219" spans="1:3">
      <c r="A219">
        <v>218</v>
      </c>
      <c r="B219">
        <v>1.9719</v>
      </c>
      <c r="C219">
        <v>2.6173999999999999</v>
      </c>
    </row>
    <row r="220" spans="1:3">
      <c r="A220">
        <v>219</v>
      </c>
      <c r="B220">
        <v>1.9719</v>
      </c>
      <c r="C220">
        <v>2.6173999999999999</v>
      </c>
    </row>
    <row r="221" spans="1:3">
      <c r="A221">
        <v>220</v>
      </c>
      <c r="B221">
        <v>1.9719</v>
      </c>
      <c r="C221">
        <v>2.6173999999999999</v>
      </c>
    </row>
    <row r="222" spans="1:3">
      <c r="A222">
        <v>221</v>
      </c>
      <c r="B222">
        <v>1.9719</v>
      </c>
      <c r="C222">
        <v>2.6173999999999999</v>
      </c>
    </row>
    <row r="223" spans="1:3">
      <c r="A223">
        <v>222</v>
      </c>
      <c r="B223">
        <v>1.9719</v>
      </c>
      <c r="C223">
        <v>2.6173999999999999</v>
      </c>
    </row>
    <row r="224" spans="1:3">
      <c r="A224">
        <v>223</v>
      </c>
      <c r="B224">
        <v>1.9719</v>
      </c>
      <c r="C224">
        <v>2.6173999999999999</v>
      </c>
    </row>
    <row r="225" spans="1:3">
      <c r="A225">
        <v>224</v>
      </c>
      <c r="B225">
        <v>1.9719</v>
      </c>
      <c r="C225">
        <v>2.6173999999999999</v>
      </c>
    </row>
    <row r="226" spans="1:3">
      <c r="A226">
        <v>225</v>
      </c>
      <c r="B226">
        <v>1.9719</v>
      </c>
      <c r="C226">
        <v>2.6173999999999999</v>
      </c>
    </row>
    <row r="227" spans="1:3">
      <c r="A227">
        <v>226</v>
      </c>
      <c r="B227">
        <v>1.9719</v>
      </c>
      <c r="C227">
        <v>2.6173999999999999</v>
      </c>
    </row>
    <row r="228" spans="1:3">
      <c r="A228">
        <v>227</v>
      </c>
      <c r="B228">
        <v>1.9719</v>
      </c>
      <c r="C228">
        <v>2.6173999999999999</v>
      </c>
    </row>
    <row r="229" spans="1:3">
      <c r="A229">
        <v>228</v>
      </c>
      <c r="B229">
        <v>1.9719</v>
      </c>
      <c r="C229">
        <v>2.6173999999999999</v>
      </c>
    </row>
    <row r="230" spans="1:3">
      <c r="A230">
        <v>229</v>
      </c>
      <c r="B230">
        <v>1.9719</v>
      </c>
      <c r="C230">
        <v>2.6173999999999999</v>
      </c>
    </row>
    <row r="231" spans="1:3">
      <c r="A231">
        <v>230</v>
      </c>
      <c r="B231">
        <v>1.9719</v>
      </c>
      <c r="C231">
        <v>2.6173999999999999</v>
      </c>
    </row>
    <row r="232" spans="1:3">
      <c r="A232">
        <v>231</v>
      </c>
      <c r="B232">
        <v>1.9719</v>
      </c>
      <c r="C232">
        <v>2.6173999999999999</v>
      </c>
    </row>
    <row r="233" spans="1:3">
      <c r="A233">
        <v>232</v>
      </c>
      <c r="B233">
        <v>1.9719</v>
      </c>
      <c r="C233">
        <v>2.6173999999999999</v>
      </c>
    </row>
    <row r="234" spans="1:3">
      <c r="A234">
        <v>233</v>
      </c>
      <c r="B234">
        <v>1.9719</v>
      </c>
      <c r="C234">
        <v>2.6173999999999999</v>
      </c>
    </row>
    <row r="235" spans="1:3">
      <c r="A235">
        <v>234</v>
      </c>
      <c r="B235">
        <v>1.9719</v>
      </c>
      <c r="C235">
        <v>2.6173999999999999</v>
      </c>
    </row>
    <row r="236" spans="1:3">
      <c r="A236">
        <v>235</v>
      </c>
      <c r="B236">
        <v>1.9719</v>
      </c>
      <c r="C236">
        <v>2.6173999999999999</v>
      </c>
    </row>
    <row r="237" spans="1:3">
      <c r="A237">
        <v>236</v>
      </c>
      <c r="B237">
        <v>1.9719</v>
      </c>
      <c r="C237">
        <v>2.6173999999999999</v>
      </c>
    </row>
    <row r="238" spans="1:3">
      <c r="A238">
        <v>237</v>
      </c>
      <c r="B238">
        <v>1.9719</v>
      </c>
      <c r="C238">
        <v>2.6173999999999999</v>
      </c>
    </row>
    <row r="239" spans="1:3">
      <c r="A239">
        <v>238</v>
      </c>
      <c r="B239">
        <v>1.9719</v>
      </c>
      <c r="C239">
        <v>2.6173999999999999</v>
      </c>
    </row>
    <row r="240" spans="1:3">
      <c r="A240">
        <v>239</v>
      </c>
      <c r="B240">
        <v>1.9719</v>
      </c>
      <c r="C240">
        <v>2.6173999999999999</v>
      </c>
    </row>
    <row r="241" spans="1:3">
      <c r="A241">
        <v>240</v>
      </c>
      <c r="B241">
        <v>1.9719</v>
      </c>
      <c r="C241">
        <v>2.6173999999999999</v>
      </c>
    </row>
    <row r="242" spans="1:3">
      <c r="A242">
        <v>241</v>
      </c>
      <c r="B242">
        <v>1.9719</v>
      </c>
      <c r="C242">
        <v>2.6173999999999999</v>
      </c>
    </row>
    <row r="243" spans="1:3">
      <c r="A243">
        <v>242</v>
      </c>
      <c r="B243">
        <v>1.9719</v>
      </c>
      <c r="C243">
        <v>2.6173999999999999</v>
      </c>
    </row>
    <row r="244" spans="1:3">
      <c r="A244">
        <v>243</v>
      </c>
      <c r="B244">
        <v>1.9719</v>
      </c>
      <c r="C244">
        <v>2.6173999999999999</v>
      </c>
    </row>
    <row r="245" spans="1:3">
      <c r="A245">
        <v>244</v>
      </c>
      <c r="B245">
        <v>1.9719</v>
      </c>
      <c r="C245">
        <v>2.6173999999999999</v>
      </c>
    </row>
    <row r="246" spans="1:3">
      <c r="A246">
        <v>245</v>
      </c>
      <c r="B246">
        <v>1.9719</v>
      </c>
      <c r="C246">
        <v>2.6173999999999999</v>
      </c>
    </row>
    <row r="247" spans="1:3">
      <c r="A247">
        <v>246</v>
      </c>
      <c r="B247">
        <v>1.9719</v>
      </c>
      <c r="C247">
        <v>2.6173999999999999</v>
      </c>
    </row>
    <row r="248" spans="1:3">
      <c r="A248">
        <v>247</v>
      </c>
      <c r="B248">
        <v>1.9719</v>
      </c>
      <c r="C248">
        <v>2.6173999999999999</v>
      </c>
    </row>
    <row r="249" spans="1:3">
      <c r="A249">
        <v>248</v>
      </c>
      <c r="B249">
        <v>1.9719</v>
      </c>
      <c r="C249">
        <v>2.6173999999999999</v>
      </c>
    </row>
    <row r="250" spans="1:3">
      <c r="A250">
        <v>249</v>
      </c>
      <c r="B250">
        <v>1.9719</v>
      </c>
      <c r="C250">
        <v>2.6173999999999999</v>
      </c>
    </row>
    <row r="251" spans="1:3">
      <c r="A251">
        <v>250</v>
      </c>
      <c r="B251">
        <v>1.9719</v>
      </c>
      <c r="C251">
        <v>2.6173999999999999</v>
      </c>
    </row>
    <row r="252" spans="1:3">
      <c r="A252">
        <v>251</v>
      </c>
      <c r="B252">
        <v>1.9719</v>
      </c>
      <c r="C252">
        <v>2.6173999999999999</v>
      </c>
    </row>
    <row r="253" spans="1:3">
      <c r="A253">
        <v>252</v>
      </c>
      <c r="B253">
        <v>1.9719</v>
      </c>
      <c r="C253">
        <v>2.6173999999999999</v>
      </c>
    </row>
    <row r="254" spans="1:3">
      <c r="A254">
        <v>253</v>
      </c>
      <c r="B254">
        <v>1.9719</v>
      </c>
      <c r="C254">
        <v>2.6173999999999999</v>
      </c>
    </row>
    <row r="255" spans="1:3">
      <c r="A255">
        <v>254</v>
      </c>
      <c r="B255">
        <v>1.9719</v>
      </c>
      <c r="C255">
        <v>2.6173999999999999</v>
      </c>
    </row>
    <row r="256" spans="1:3">
      <c r="A256">
        <v>255</v>
      </c>
      <c r="B256">
        <v>1.9719</v>
      </c>
      <c r="C256">
        <v>2.6173999999999999</v>
      </c>
    </row>
    <row r="257" spans="1:3">
      <c r="A257">
        <v>256</v>
      </c>
      <c r="B257">
        <v>1.9719</v>
      </c>
      <c r="C257">
        <v>2.6173999999999999</v>
      </c>
    </row>
    <row r="258" spans="1:3">
      <c r="A258">
        <v>257</v>
      </c>
      <c r="B258">
        <v>1.9719</v>
      </c>
      <c r="C258">
        <v>2.6173999999999999</v>
      </c>
    </row>
    <row r="259" spans="1:3">
      <c r="A259">
        <v>258</v>
      </c>
      <c r="B259">
        <v>1.9719</v>
      </c>
      <c r="C259">
        <v>2.6173999999999999</v>
      </c>
    </row>
    <row r="260" spans="1:3">
      <c r="A260">
        <v>259</v>
      </c>
      <c r="B260">
        <v>1.9719</v>
      </c>
      <c r="C260">
        <v>2.6173999999999999</v>
      </c>
    </row>
    <row r="261" spans="1:3">
      <c r="A261">
        <v>260</v>
      </c>
      <c r="B261">
        <v>1.9719</v>
      </c>
      <c r="C261">
        <v>2.6173999999999999</v>
      </c>
    </row>
    <row r="262" spans="1:3">
      <c r="A262">
        <v>261</v>
      </c>
      <c r="B262">
        <v>1.9719</v>
      </c>
      <c r="C262">
        <v>2.6173999999999999</v>
      </c>
    </row>
    <row r="263" spans="1:3">
      <c r="A263">
        <v>262</v>
      </c>
      <c r="B263">
        <v>1.9719</v>
      </c>
      <c r="C263">
        <v>2.6173999999999999</v>
      </c>
    </row>
    <row r="264" spans="1:3">
      <c r="A264">
        <v>263</v>
      </c>
      <c r="B264">
        <v>1.9719</v>
      </c>
      <c r="C264">
        <v>2.6173999999999999</v>
      </c>
    </row>
    <row r="265" spans="1:3">
      <c r="A265">
        <v>264</v>
      </c>
      <c r="B265">
        <v>1.9719</v>
      </c>
      <c r="C265">
        <v>2.6173999999999999</v>
      </c>
    </row>
    <row r="266" spans="1:3">
      <c r="A266">
        <v>265</v>
      </c>
      <c r="B266">
        <v>1.9719</v>
      </c>
      <c r="C266">
        <v>2.6173999999999999</v>
      </c>
    </row>
    <row r="267" spans="1:3">
      <c r="A267">
        <v>266</v>
      </c>
      <c r="B267">
        <v>1.9719</v>
      </c>
      <c r="C267">
        <v>2.6173999999999999</v>
      </c>
    </row>
    <row r="268" spans="1:3">
      <c r="A268">
        <v>267</v>
      </c>
      <c r="B268">
        <v>1.9719</v>
      </c>
      <c r="C268">
        <v>2.6173999999999999</v>
      </c>
    </row>
    <row r="269" spans="1:3">
      <c r="A269">
        <v>268</v>
      </c>
      <c r="B269">
        <v>1.9719</v>
      </c>
      <c r="C269">
        <v>2.6173999999999999</v>
      </c>
    </row>
    <row r="270" spans="1:3">
      <c r="A270">
        <v>269</v>
      </c>
      <c r="B270">
        <v>1.9719</v>
      </c>
      <c r="C270">
        <v>2.6173999999999999</v>
      </c>
    </row>
    <row r="271" spans="1:3">
      <c r="A271">
        <v>270</v>
      </c>
      <c r="B271">
        <v>1.9719</v>
      </c>
      <c r="C271">
        <v>2.6173999999999999</v>
      </c>
    </row>
    <row r="272" spans="1:3">
      <c r="A272">
        <v>271</v>
      </c>
      <c r="B272">
        <v>1.9719</v>
      </c>
      <c r="C272">
        <v>2.6173999999999999</v>
      </c>
    </row>
    <row r="273" spans="1:3">
      <c r="A273">
        <v>272</v>
      </c>
      <c r="B273">
        <v>1.9719</v>
      </c>
      <c r="C273">
        <v>2.6173999999999999</v>
      </c>
    </row>
    <row r="274" spans="1:3">
      <c r="A274">
        <v>273</v>
      </c>
      <c r="B274">
        <v>1.9719</v>
      </c>
      <c r="C274">
        <v>2.6173999999999999</v>
      </c>
    </row>
    <row r="275" spans="1:3">
      <c r="A275">
        <v>274</v>
      </c>
      <c r="B275">
        <v>1.9719</v>
      </c>
      <c r="C275">
        <v>2.6173999999999999</v>
      </c>
    </row>
    <row r="276" spans="1:3">
      <c r="A276">
        <v>275</v>
      </c>
      <c r="B276">
        <v>1.9719</v>
      </c>
      <c r="C276">
        <v>2.6173999999999999</v>
      </c>
    </row>
    <row r="277" spans="1:3">
      <c r="A277">
        <v>276</v>
      </c>
      <c r="B277">
        <v>1.9719</v>
      </c>
      <c r="C277">
        <v>2.6173999999999999</v>
      </c>
    </row>
    <row r="278" spans="1:3">
      <c r="A278">
        <v>277</v>
      </c>
      <c r="B278">
        <v>1.9719</v>
      </c>
      <c r="C278">
        <v>2.6173999999999999</v>
      </c>
    </row>
    <row r="279" spans="1:3">
      <c r="A279">
        <v>278</v>
      </c>
      <c r="B279">
        <v>1.9719</v>
      </c>
      <c r="C279">
        <v>2.6173999999999999</v>
      </c>
    </row>
    <row r="280" spans="1:3">
      <c r="A280">
        <v>279</v>
      </c>
      <c r="B280">
        <v>1.9719</v>
      </c>
      <c r="C280">
        <v>2.6173999999999999</v>
      </c>
    </row>
    <row r="281" spans="1:3">
      <c r="A281">
        <v>280</v>
      </c>
      <c r="B281">
        <v>1.9719</v>
      </c>
      <c r="C281">
        <v>2.6173999999999999</v>
      </c>
    </row>
    <row r="282" spans="1:3">
      <c r="A282">
        <v>281</v>
      </c>
      <c r="B282">
        <v>1.9719</v>
      </c>
      <c r="C282">
        <v>2.6173999999999999</v>
      </c>
    </row>
    <row r="283" spans="1:3">
      <c r="A283">
        <v>282</v>
      </c>
      <c r="B283">
        <v>1.9719</v>
      </c>
      <c r="C283">
        <v>2.6173999999999999</v>
      </c>
    </row>
    <row r="284" spans="1:3">
      <c r="A284">
        <v>283</v>
      </c>
      <c r="B284">
        <v>1.9719</v>
      </c>
      <c r="C284">
        <v>2.6173999999999999</v>
      </c>
    </row>
    <row r="285" spans="1:3">
      <c r="A285">
        <v>284</v>
      </c>
      <c r="B285">
        <v>1.9719</v>
      </c>
      <c r="C285">
        <v>2.6173999999999999</v>
      </c>
    </row>
    <row r="286" spans="1:3">
      <c r="A286">
        <v>285</v>
      </c>
      <c r="B286">
        <v>1.9719</v>
      </c>
      <c r="C286">
        <v>2.6173999999999999</v>
      </c>
    </row>
    <row r="287" spans="1:3">
      <c r="A287">
        <v>286</v>
      </c>
      <c r="B287">
        <v>1.9719</v>
      </c>
      <c r="C287">
        <v>2.6173999999999999</v>
      </c>
    </row>
    <row r="288" spans="1:3">
      <c r="A288">
        <v>287</v>
      </c>
      <c r="B288">
        <v>1.9719</v>
      </c>
      <c r="C288">
        <v>2.6173999999999999</v>
      </c>
    </row>
    <row r="289" spans="1:3">
      <c r="A289">
        <v>288</v>
      </c>
      <c r="B289">
        <v>1.9719</v>
      </c>
      <c r="C289">
        <v>2.6173999999999999</v>
      </c>
    </row>
    <row r="290" spans="1:3">
      <c r="A290">
        <v>289</v>
      </c>
      <c r="B290">
        <v>1.9719</v>
      </c>
      <c r="C290">
        <v>2.6173999999999999</v>
      </c>
    </row>
    <row r="291" spans="1:3">
      <c r="A291">
        <v>290</v>
      </c>
      <c r="B291">
        <v>1.9719</v>
      </c>
      <c r="C291">
        <v>2.6173999999999999</v>
      </c>
    </row>
    <row r="292" spans="1:3">
      <c r="A292">
        <v>291</v>
      </c>
      <c r="B292">
        <v>1.9719</v>
      </c>
      <c r="C292">
        <v>2.6173999999999999</v>
      </c>
    </row>
    <row r="293" spans="1:3">
      <c r="A293">
        <v>292</v>
      </c>
      <c r="B293">
        <v>1.9719</v>
      </c>
      <c r="C293">
        <v>2.6173999999999999</v>
      </c>
    </row>
    <row r="294" spans="1:3">
      <c r="A294">
        <v>293</v>
      </c>
      <c r="B294">
        <v>1.9719</v>
      </c>
      <c r="C294">
        <v>2.6173999999999999</v>
      </c>
    </row>
    <row r="295" spans="1:3">
      <c r="A295">
        <v>294</v>
      </c>
      <c r="B295">
        <v>1.9719</v>
      </c>
      <c r="C295">
        <v>2.6173999999999999</v>
      </c>
    </row>
    <row r="296" spans="1:3">
      <c r="A296">
        <v>295</v>
      </c>
      <c r="B296">
        <v>1.9719</v>
      </c>
      <c r="C296">
        <v>2.6173999999999999</v>
      </c>
    </row>
    <row r="297" spans="1:3">
      <c r="A297">
        <v>296</v>
      </c>
      <c r="B297">
        <v>1.9719</v>
      </c>
      <c r="C297">
        <v>2.6173999999999999</v>
      </c>
    </row>
    <row r="298" spans="1:3">
      <c r="A298">
        <v>297</v>
      </c>
      <c r="B298">
        <v>1.9719</v>
      </c>
      <c r="C298">
        <v>2.6173999999999999</v>
      </c>
    </row>
    <row r="299" spans="1:3">
      <c r="A299">
        <v>298</v>
      </c>
      <c r="B299">
        <v>1.9719</v>
      </c>
      <c r="C299">
        <v>2.6173999999999999</v>
      </c>
    </row>
    <row r="300" spans="1:3">
      <c r="A300">
        <v>299</v>
      </c>
      <c r="B300">
        <v>1.9719</v>
      </c>
      <c r="C300">
        <v>2.6173999999999999</v>
      </c>
    </row>
    <row r="301" spans="1:3">
      <c r="A301">
        <v>300</v>
      </c>
      <c r="B301">
        <v>1.9719</v>
      </c>
      <c r="C301">
        <v>2.6173999999999999</v>
      </c>
    </row>
    <row r="302" spans="1:3">
      <c r="A302">
        <v>301</v>
      </c>
      <c r="B302">
        <v>1.9719</v>
      </c>
      <c r="C302">
        <v>2.6173999999999999</v>
      </c>
    </row>
    <row r="303" spans="1:3">
      <c r="A303">
        <v>302</v>
      </c>
      <c r="B303">
        <v>1.9719</v>
      </c>
      <c r="C303">
        <v>2.6173999999999999</v>
      </c>
    </row>
    <row r="304" spans="1:3">
      <c r="A304">
        <v>303</v>
      </c>
      <c r="B304">
        <v>1.9719</v>
      </c>
      <c r="C304">
        <v>2.6173999999999999</v>
      </c>
    </row>
    <row r="305" spans="1:3">
      <c r="A305">
        <v>304</v>
      </c>
      <c r="B305">
        <v>1.9719</v>
      </c>
      <c r="C305">
        <v>2.6173999999999999</v>
      </c>
    </row>
    <row r="306" spans="1:3">
      <c r="A306">
        <v>305</v>
      </c>
      <c r="B306">
        <v>1.9719</v>
      </c>
      <c r="C306">
        <v>2.6173999999999999</v>
      </c>
    </row>
    <row r="307" spans="1:3">
      <c r="A307">
        <v>306</v>
      </c>
      <c r="B307">
        <v>1.9719</v>
      </c>
      <c r="C307">
        <v>2.6173999999999999</v>
      </c>
    </row>
    <row r="308" spans="1:3">
      <c r="A308">
        <v>307</v>
      </c>
      <c r="B308">
        <v>1.9719</v>
      </c>
      <c r="C308">
        <v>2.6173999999999999</v>
      </c>
    </row>
    <row r="309" spans="1:3">
      <c r="A309">
        <v>308</v>
      </c>
      <c r="B309">
        <v>1.9719</v>
      </c>
      <c r="C309">
        <v>2.6173999999999999</v>
      </c>
    </row>
    <row r="310" spans="1:3">
      <c r="A310">
        <v>309</v>
      </c>
      <c r="B310">
        <v>1.9719</v>
      </c>
      <c r="C310">
        <v>2.6173999999999999</v>
      </c>
    </row>
    <row r="311" spans="1:3">
      <c r="A311">
        <v>310</v>
      </c>
      <c r="B311">
        <v>1.9719</v>
      </c>
      <c r="C311">
        <v>2.6173999999999999</v>
      </c>
    </row>
    <row r="312" spans="1:3">
      <c r="A312">
        <v>311</v>
      </c>
      <c r="B312">
        <v>1.9719</v>
      </c>
      <c r="C312">
        <v>2.6173999999999999</v>
      </c>
    </row>
    <row r="313" spans="1:3">
      <c r="A313">
        <v>312</v>
      </c>
      <c r="B313">
        <v>1.9719</v>
      </c>
      <c r="C313">
        <v>2.6173999999999999</v>
      </c>
    </row>
    <row r="314" spans="1:3">
      <c r="A314">
        <v>313</v>
      </c>
      <c r="B314">
        <v>1.9719</v>
      </c>
      <c r="C314">
        <v>2.6173999999999999</v>
      </c>
    </row>
    <row r="315" spans="1:3">
      <c r="A315">
        <v>314</v>
      </c>
      <c r="B315">
        <v>1.9719</v>
      </c>
      <c r="C315">
        <v>2.6173999999999999</v>
      </c>
    </row>
    <row r="316" spans="1:3">
      <c r="A316">
        <v>315</v>
      </c>
      <c r="B316">
        <v>1.9719</v>
      </c>
      <c r="C316">
        <v>2.6173999999999999</v>
      </c>
    </row>
    <row r="317" spans="1:3">
      <c r="A317">
        <v>316</v>
      </c>
      <c r="B317">
        <v>1.9719</v>
      </c>
      <c r="C317">
        <v>2.6173999999999999</v>
      </c>
    </row>
    <row r="318" spans="1:3">
      <c r="A318">
        <v>317</v>
      </c>
      <c r="B318">
        <v>1.9719</v>
      </c>
      <c r="C318">
        <v>2.6173999999999999</v>
      </c>
    </row>
    <row r="319" spans="1:3">
      <c r="A319">
        <v>318</v>
      </c>
      <c r="B319">
        <v>1.9719</v>
      </c>
      <c r="C319">
        <v>2.6173999999999999</v>
      </c>
    </row>
    <row r="320" spans="1:3">
      <c r="A320">
        <v>319</v>
      </c>
      <c r="B320">
        <v>1.9719</v>
      </c>
      <c r="C320">
        <v>2.6173999999999999</v>
      </c>
    </row>
    <row r="321" spans="1:3">
      <c r="A321">
        <v>320</v>
      </c>
      <c r="B321">
        <v>1.9719</v>
      </c>
      <c r="C321">
        <v>2.6173999999999999</v>
      </c>
    </row>
    <row r="322" spans="1:3">
      <c r="A322">
        <v>321</v>
      </c>
      <c r="B322">
        <v>1.9719</v>
      </c>
      <c r="C322">
        <v>2.6173999999999999</v>
      </c>
    </row>
    <row r="323" spans="1:3">
      <c r="A323">
        <v>322</v>
      </c>
      <c r="B323">
        <v>1.9719</v>
      </c>
      <c r="C323">
        <v>2.6173999999999999</v>
      </c>
    </row>
    <row r="324" spans="1:3">
      <c r="A324">
        <v>323</v>
      </c>
      <c r="B324">
        <v>1.9719</v>
      </c>
      <c r="C324">
        <v>2.6173999999999999</v>
      </c>
    </row>
    <row r="325" spans="1:3">
      <c r="A325">
        <v>324</v>
      </c>
      <c r="B325">
        <v>1.9719</v>
      </c>
      <c r="C325">
        <v>2.6173999999999999</v>
      </c>
    </row>
    <row r="326" spans="1:3">
      <c r="A326">
        <v>325</v>
      </c>
      <c r="B326">
        <v>1.9719</v>
      </c>
      <c r="C326">
        <v>2.6173999999999999</v>
      </c>
    </row>
    <row r="327" spans="1:3">
      <c r="A327">
        <v>326</v>
      </c>
      <c r="B327">
        <v>1.9719</v>
      </c>
      <c r="C327">
        <v>2.6173999999999999</v>
      </c>
    </row>
    <row r="328" spans="1:3">
      <c r="A328">
        <v>327</v>
      </c>
      <c r="B328">
        <v>1.9719</v>
      </c>
      <c r="C328">
        <v>2.6173999999999999</v>
      </c>
    </row>
    <row r="329" spans="1:3">
      <c r="A329">
        <v>328</v>
      </c>
      <c r="B329">
        <v>1.9719</v>
      </c>
      <c r="C329">
        <v>2.6173999999999999</v>
      </c>
    </row>
    <row r="330" spans="1:3">
      <c r="A330">
        <v>329</v>
      </c>
      <c r="B330">
        <v>1.9719</v>
      </c>
      <c r="C330">
        <v>2.6173999999999999</v>
      </c>
    </row>
    <row r="331" spans="1:3">
      <c r="A331">
        <v>330</v>
      </c>
      <c r="B331">
        <v>1.9719</v>
      </c>
      <c r="C331">
        <v>2.6173999999999999</v>
      </c>
    </row>
    <row r="332" spans="1:3">
      <c r="A332">
        <v>331</v>
      </c>
      <c r="B332">
        <v>1.9719</v>
      </c>
      <c r="C332">
        <v>2.6173999999999999</v>
      </c>
    </row>
    <row r="333" spans="1:3">
      <c r="A333">
        <v>332</v>
      </c>
      <c r="B333">
        <v>1.9719</v>
      </c>
      <c r="C333">
        <v>2.6173999999999999</v>
      </c>
    </row>
    <row r="334" spans="1:3">
      <c r="A334">
        <v>333</v>
      </c>
      <c r="B334">
        <v>1.9719</v>
      </c>
      <c r="C334">
        <v>2.6173999999999999</v>
      </c>
    </row>
    <row r="335" spans="1:3">
      <c r="A335">
        <v>334</v>
      </c>
      <c r="B335">
        <v>1.9719</v>
      </c>
      <c r="C335">
        <v>2.6173999999999999</v>
      </c>
    </row>
    <row r="336" spans="1:3">
      <c r="A336">
        <v>335</v>
      </c>
      <c r="B336">
        <v>1.9719</v>
      </c>
      <c r="C336">
        <v>2.6173999999999999</v>
      </c>
    </row>
    <row r="337" spans="1:3">
      <c r="A337">
        <v>336</v>
      </c>
      <c r="B337">
        <v>1.9719</v>
      </c>
      <c r="C337">
        <v>2.6173999999999999</v>
      </c>
    </row>
    <row r="338" spans="1:3">
      <c r="A338">
        <v>337</v>
      </c>
      <c r="B338">
        <v>1.9719</v>
      </c>
      <c r="C338">
        <v>2.6173999999999999</v>
      </c>
    </row>
    <row r="339" spans="1:3">
      <c r="A339">
        <v>338</v>
      </c>
      <c r="B339">
        <v>1.9719</v>
      </c>
      <c r="C339">
        <v>2.6173999999999999</v>
      </c>
    </row>
    <row r="340" spans="1:3">
      <c r="A340">
        <v>339</v>
      </c>
      <c r="B340">
        <v>1.9719</v>
      </c>
      <c r="C340">
        <v>2.6173999999999999</v>
      </c>
    </row>
    <row r="341" spans="1:3">
      <c r="A341">
        <v>340</v>
      </c>
      <c r="B341">
        <v>1.9719</v>
      </c>
      <c r="C341">
        <v>2.6173999999999999</v>
      </c>
    </row>
    <row r="342" spans="1:3">
      <c r="A342">
        <v>341</v>
      </c>
      <c r="B342">
        <v>1.9719</v>
      </c>
      <c r="C342">
        <v>2.6173999999999999</v>
      </c>
    </row>
    <row r="343" spans="1:3">
      <c r="A343">
        <v>342</v>
      </c>
      <c r="B343">
        <v>1.9719</v>
      </c>
      <c r="C343">
        <v>2.6173999999999999</v>
      </c>
    </row>
    <row r="344" spans="1:3">
      <c r="A344">
        <v>343</v>
      </c>
      <c r="B344">
        <v>1.9719</v>
      </c>
      <c r="C344">
        <v>2.6173999999999999</v>
      </c>
    </row>
    <row r="345" spans="1:3">
      <c r="A345">
        <v>344</v>
      </c>
      <c r="B345">
        <v>1.9719</v>
      </c>
      <c r="C345">
        <v>2.6173999999999999</v>
      </c>
    </row>
    <row r="346" spans="1:3">
      <c r="A346">
        <v>345</v>
      </c>
      <c r="B346">
        <v>1.9719</v>
      </c>
      <c r="C346">
        <v>2.6173999999999999</v>
      </c>
    </row>
    <row r="347" spans="1:3">
      <c r="A347">
        <v>346</v>
      </c>
      <c r="B347">
        <v>1.9719</v>
      </c>
      <c r="C347">
        <v>2.6173999999999999</v>
      </c>
    </row>
    <row r="348" spans="1:3">
      <c r="A348">
        <v>347</v>
      </c>
      <c r="B348">
        <v>1.9719</v>
      </c>
      <c r="C348">
        <v>2.6173999999999999</v>
      </c>
    </row>
    <row r="349" spans="1:3">
      <c r="A349">
        <v>348</v>
      </c>
      <c r="B349">
        <v>1.9719</v>
      </c>
      <c r="C349">
        <v>2.6173999999999999</v>
      </c>
    </row>
    <row r="350" spans="1:3">
      <c r="A350">
        <v>349</v>
      </c>
      <c r="B350">
        <v>1.9719</v>
      </c>
      <c r="C350">
        <v>2.6173999999999999</v>
      </c>
    </row>
    <row r="351" spans="1:3">
      <c r="A351">
        <v>350</v>
      </c>
      <c r="B351">
        <v>1.9719</v>
      </c>
      <c r="C351">
        <v>2.6173999999999999</v>
      </c>
    </row>
    <row r="352" spans="1:3">
      <c r="A352">
        <v>351</v>
      </c>
      <c r="B352">
        <v>1.9719</v>
      </c>
      <c r="C352">
        <v>2.6173999999999999</v>
      </c>
    </row>
    <row r="353" spans="1:3">
      <c r="A353">
        <v>352</v>
      </c>
      <c r="B353">
        <v>1.9719</v>
      </c>
      <c r="C353">
        <v>2.6173999999999999</v>
      </c>
    </row>
    <row r="354" spans="1:3">
      <c r="A354">
        <v>353</v>
      </c>
      <c r="B354">
        <v>1.9719</v>
      </c>
      <c r="C354">
        <v>2.6173999999999999</v>
      </c>
    </row>
    <row r="355" spans="1:3">
      <c r="A355">
        <v>354</v>
      </c>
      <c r="B355">
        <v>1.9719</v>
      </c>
      <c r="C355">
        <v>2.6173999999999999</v>
      </c>
    </row>
    <row r="356" spans="1:3">
      <c r="A356">
        <v>355</v>
      </c>
      <c r="B356">
        <v>1.9719</v>
      </c>
      <c r="C356">
        <v>2.6173999999999999</v>
      </c>
    </row>
    <row r="357" spans="1:3">
      <c r="A357">
        <v>356</v>
      </c>
      <c r="B357">
        <v>1.9719</v>
      </c>
      <c r="C357">
        <v>2.6173999999999999</v>
      </c>
    </row>
    <row r="358" spans="1:3">
      <c r="A358">
        <v>357</v>
      </c>
      <c r="B358">
        <v>1.9719</v>
      </c>
      <c r="C358">
        <v>2.6173999999999999</v>
      </c>
    </row>
    <row r="359" spans="1:3">
      <c r="A359">
        <v>358</v>
      </c>
      <c r="B359">
        <v>1.9719</v>
      </c>
      <c r="C359">
        <v>2.6173999999999999</v>
      </c>
    </row>
    <row r="360" spans="1:3">
      <c r="A360">
        <v>359</v>
      </c>
      <c r="B360">
        <v>1.9719</v>
      </c>
      <c r="C360">
        <v>2.6173999999999999</v>
      </c>
    </row>
    <row r="361" spans="1:3">
      <c r="A361">
        <v>360</v>
      </c>
      <c r="B361">
        <v>1.9719</v>
      </c>
      <c r="C361">
        <v>2.6173999999999999</v>
      </c>
    </row>
    <row r="362" spans="1:3">
      <c r="A362">
        <v>361</v>
      </c>
      <c r="B362">
        <v>1.9719</v>
      </c>
      <c r="C362">
        <v>2.6173999999999999</v>
      </c>
    </row>
    <row r="363" spans="1:3">
      <c r="A363">
        <v>362</v>
      </c>
      <c r="B363">
        <v>1.9719</v>
      </c>
      <c r="C363">
        <v>2.6173999999999999</v>
      </c>
    </row>
    <row r="364" spans="1:3">
      <c r="A364">
        <v>363</v>
      </c>
      <c r="B364">
        <v>1.9719</v>
      </c>
      <c r="C364">
        <v>2.6173999999999999</v>
      </c>
    </row>
    <row r="365" spans="1:3">
      <c r="A365">
        <v>364</v>
      </c>
      <c r="B365">
        <v>1.9719</v>
      </c>
      <c r="C365">
        <v>2.6173999999999999</v>
      </c>
    </row>
    <row r="366" spans="1:3">
      <c r="A366">
        <v>365</v>
      </c>
      <c r="B366">
        <v>1.9719</v>
      </c>
      <c r="C366">
        <v>2.6173999999999999</v>
      </c>
    </row>
    <row r="367" spans="1:3">
      <c r="A367">
        <v>366</v>
      </c>
      <c r="B367">
        <v>1.9719</v>
      </c>
      <c r="C367">
        <v>2.6173999999999999</v>
      </c>
    </row>
    <row r="368" spans="1:3">
      <c r="A368">
        <v>367</v>
      </c>
      <c r="B368">
        <v>1.9719</v>
      </c>
      <c r="C368">
        <v>2.6173999999999999</v>
      </c>
    </row>
    <row r="369" spans="1:3">
      <c r="A369">
        <v>368</v>
      </c>
      <c r="B369">
        <v>1.9719</v>
      </c>
      <c r="C369">
        <v>2.6173999999999999</v>
      </c>
    </row>
    <row r="370" spans="1:3">
      <c r="A370">
        <v>369</v>
      </c>
      <c r="B370">
        <v>1.9719</v>
      </c>
      <c r="C370">
        <v>2.6173999999999999</v>
      </c>
    </row>
    <row r="371" spans="1:3">
      <c r="A371">
        <v>370</v>
      </c>
      <c r="B371">
        <v>1.9719</v>
      </c>
      <c r="C371">
        <v>2.6173999999999999</v>
      </c>
    </row>
    <row r="372" spans="1:3">
      <c r="A372">
        <v>371</v>
      </c>
      <c r="B372">
        <v>1.9719</v>
      </c>
      <c r="C372">
        <v>2.6173999999999999</v>
      </c>
    </row>
    <row r="373" spans="1:3">
      <c r="A373">
        <v>372</v>
      </c>
      <c r="B373">
        <v>1.9719</v>
      </c>
      <c r="C373">
        <v>2.6173999999999999</v>
      </c>
    </row>
    <row r="374" spans="1:3">
      <c r="A374">
        <v>373</v>
      </c>
      <c r="B374">
        <v>1.9719</v>
      </c>
      <c r="C374">
        <v>2.6173999999999999</v>
      </c>
    </row>
    <row r="375" spans="1:3">
      <c r="A375">
        <v>374</v>
      </c>
      <c r="B375">
        <v>1.9719</v>
      </c>
      <c r="C375">
        <v>2.6173999999999999</v>
      </c>
    </row>
    <row r="376" spans="1:3">
      <c r="A376">
        <v>375</v>
      </c>
      <c r="B376">
        <v>1.9719</v>
      </c>
      <c r="C376">
        <v>2.6173999999999999</v>
      </c>
    </row>
    <row r="377" spans="1:3">
      <c r="A377">
        <v>376</v>
      </c>
      <c r="B377">
        <v>1.9719</v>
      </c>
      <c r="C377">
        <v>2.6173999999999999</v>
      </c>
    </row>
    <row r="378" spans="1:3">
      <c r="A378">
        <v>377</v>
      </c>
      <c r="B378">
        <v>1.9719</v>
      </c>
      <c r="C378">
        <v>2.6173999999999999</v>
      </c>
    </row>
    <row r="379" spans="1:3">
      <c r="A379">
        <v>378</v>
      </c>
      <c r="B379">
        <v>1.9719</v>
      </c>
      <c r="C379">
        <v>2.6173999999999999</v>
      </c>
    </row>
    <row r="380" spans="1:3">
      <c r="A380">
        <v>379</v>
      </c>
      <c r="B380">
        <v>1.9719</v>
      </c>
      <c r="C380">
        <v>2.6173999999999999</v>
      </c>
    </row>
    <row r="381" spans="1:3">
      <c r="A381">
        <v>380</v>
      </c>
      <c r="B381">
        <v>1.9719</v>
      </c>
      <c r="C381">
        <v>2.6173999999999999</v>
      </c>
    </row>
    <row r="382" spans="1:3">
      <c r="A382">
        <v>381</v>
      </c>
      <c r="B382">
        <v>1.9719</v>
      </c>
      <c r="C382">
        <v>2.6173999999999999</v>
      </c>
    </row>
    <row r="383" spans="1:3">
      <c r="A383">
        <v>382</v>
      </c>
      <c r="B383">
        <v>1.9719</v>
      </c>
      <c r="C383">
        <v>2.6173999999999999</v>
      </c>
    </row>
    <row r="384" spans="1:3">
      <c r="A384">
        <v>383</v>
      </c>
      <c r="B384">
        <v>1.9719</v>
      </c>
      <c r="C384">
        <v>2.6173999999999999</v>
      </c>
    </row>
    <row r="385" spans="1:3">
      <c r="A385">
        <v>384</v>
      </c>
      <c r="B385">
        <v>1.9719</v>
      </c>
      <c r="C385">
        <v>2.6173999999999999</v>
      </c>
    </row>
    <row r="386" spans="1:3">
      <c r="A386">
        <v>385</v>
      </c>
      <c r="B386">
        <v>1.9719</v>
      </c>
      <c r="C386">
        <v>2.6173999999999999</v>
      </c>
    </row>
    <row r="387" spans="1:3">
      <c r="A387">
        <v>386</v>
      </c>
      <c r="B387">
        <v>1.9719</v>
      </c>
      <c r="C387">
        <v>2.6173999999999999</v>
      </c>
    </row>
    <row r="388" spans="1:3">
      <c r="A388">
        <v>387</v>
      </c>
      <c r="B388">
        <v>1.9719</v>
      </c>
      <c r="C388">
        <v>2.6173999999999999</v>
      </c>
    </row>
    <row r="389" spans="1:3">
      <c r="A389">
        <v>388</v>
      </c>
      <c r="B389">
        <v>1.9719</v>
      </c>
      <c r="C389">
        <v>2.6173999999999999</v>
      </c>
    </row>
    <row r="390" spans="1:3">
      <c r="A390">
        <v>389</v>
      </c>
      <c r="B390">
        <v>1.9719</v>
      </c>
      <c r="C390">
        <v>2.6173999999999999</v>
      </c>
    </row>
    <row r="391" spans="1:3">
      <c r="A391">
        <v>390</v>
      </c>
      <c r="B391">
        <v>1.9719</v>
      </c>
      <c r="C391">
        <v>2.6173999999999999</v>
      </c>
    </row>
    <row r="392" spans="1:3">
      <c r="A392">
        <v>391</v>
      </c>
      <c r="B392">
        <v>1.9719</v>
      </c>
      <c r="C392">
        <v>2.6173999999999999</v>
      </c>
    </row>
    <row r="393" spans="1:3">
      <c r="A393">
        <v>392</v>
      </c>
      <c r="B393">
        <v>1.9719</v>
      </c>
      <c r="C393">
        <v>2.6173999999999999</v>
      </c>
    </row>
    <row r="394" spans="1:3">
      <c r="A394">
        <v>393</v>
      </c>
      <c r="B394">
        <v>1.9719</v>
      </c>
      <c r="C394">
        <v>2.6173999999999999</v>
      </c>
    </row>
    <row r="395" spans="1:3">
      <c r="A395">
        <v>394</v>
      </c>
      <c r="B395">
        <v>1.9719</v>
      </c>
      <c r="C395">
        <v>2.6173999999999999</v>
      </c>
    </row>
    <row r="396" spans="1:3">
      <c r="A396">
        <v>395</v>
      </c>
      <c r="B396">
        <v>1.9719</v>
      </c>
      <c r="C396">
        <v>2.6173999999999999</v>
      </c>
    </row>
    <row r="397" spans="1:3">
      <c r="A397">
        <v>396</v>
      </c>
      <c r="B397">
        <v>1.9719</v>
      </c>
      <c r="C397">
        <v>2.6173999999999999</v>
      </c>
    </row>
    <row r="398" spans="1:3">
      <c r="A398">
        <v>397</v>
      </c>
      <c r="B398">
        <v>1.9719</v>
      </c>
      <c r="C398">
        <v>2.6173999999999999</v>
      </c>
    </row>
    <row r="399" spans="1:3">
      <c r="A399">
        <v>398</v>
      </c>
      <c r="B399">
        <v>1.9719</v>
      </c>
      <c r="C399">
        <v>2.6173999999999999</v>
      </c>
    </row>
    <row r="400" spans="1:3">
      <c r="A400">
        <v>399</v>
      </c>
      <c r="B400">
        <v>1.9719</v>
      </c>
      <c r="C400">
        <v>2.6173999999999999</v>
      </c>
    </row>
    <row r="401" spans="1:3">
      <c r="A401">
        <v>400</v>
      </c>
      <c r="B401">
        <v>1.9719</v>
      </c>
      <c r="C401">
        <v>2.6173999999999999</v>
      </c>
    </row>
    <row r="402" spans="1:3">
      <c r="A402">
        <v>401</v>
      </c>
      <c r="B402">
        <v>1.9719</v>
      </c>
      <c r="C402">
        <v>2.6173999999999999</v>
      </c>
    </row>
    <row r="403" spans="1:3">
      <c r="A403">
        <v>402</v>
      </c>
      <c r="B403">
        <v>1.9719</v>
      </c>
      <c r="C403">
        <v>2.6173999999999999</v>
      </c>
    </row>
    <row r="404" spans="1:3">
      <c r="A404">
        <v>403</v>
      </c>
      <c r="B404">
        <v>1.9719</v>
      </c>
      <c r="C404">
        <v>2.6173999999999999</v>
      </c>
    </row>
    <row r="405" spans="1:3">
      <c r="A405">
        <v>404</v>
      </c>
      <c r="B405">
        <v>1.9719</v>
      </c>
      <c r="C405">
        <v>2.6173999999999999</v>
      </c>
    </row>
    <row r="406" spans="1:3">
      <c r="A406">
        <v>405</v>
      </c>
      <c r="B406">
        <v>1.9719</v>
      </c>
      <c r="C406">
        <v>2.6173999999999999</v>
      </c>
    </row>
    <row r="407" spans="1:3">
      <c r="A407">
        <v>406</v>
      </c>
      <c r="B407">
        <v>1.9719</v>
      </c>
      <c r="C407">
        <v>2.6173999999999999</v>
      </c>
    </row>
    <row r="408" spans="1:3">
      <c r="A408">
        <v>407</v>
      </c>
      <c r="B408">
        <v>1.9719</v>
      </c>
      <c r="C408">
        <v>2.6173999999999999</v>
      </c>
    </row>
    <row r="409" spans="1:3">
      <c r="A409">
        <v>408</v>
      </c>
      <c r="B409">
        <v>1.9719</v>
      </c>
      <c r="C409">
        <v>2.6173999999999999</v>
      </c>
    </row>
    <row r="410" spans="1:3">
      <c r="A410">
        <v>409</v>
      </c>
      <c r="B410">
        <v>1.9719</v>
      </c>
      <c r="C410">
        <v>2.6173999999999999</v>
      </c>
    </row>
    <row r="411" spans="1:3">
      <c r="A411">
        <v>410</v>
      </c>
      <c r="B411">
        <v>1.9719</v>
      </c>
      <c r="C411">
        <v>2.6173999999999999</v>
      </c>
    </row>
    <row r="412" spans="1:3">
      <c r="A412">
        <v>411</v>
      </c>
      <c r="B412">
        <v>1.9719</v>
      </c>
      <c r="C412">
        <v>2.6173999999999999</v>
      </c>
    </row>
    <row r="413" spans="1:3">
      <c r="A413">
        <v>412</v>
      </c>
      <c r="B413">
        <v>1.9719</v>
      </c>
      <c r="C413">
        <v>2.6173999999999999</v>
      </c>
    </row>
    <row r="414" spans="1:3">
      <c r="A414">
        <v>413</v>
      </c>
      <c r="B414">
        <v>1.9719</v>
      </c>
      <c r="C414">
        <v>2.6173999999999999</v>
      </c>
    </row>
    <row r="415" spans="1:3">
      <c r="A415">
        <v>414</v>
      </c>
      <c r="B415">
        <v>1.9719</v>
      </c>
      <c r="C415">
        <v>2.6173999999999999</v>
      </c>
    </row>
    <row r="416" spans="1:3">
      <c r="A416">
        <v>415</v>
      </c>
      <c r="B416">
        <v>1.9719</v>
      </c>
      <c r="C416">
        <v>2.6173999999999999</v>
      </c>
    </row>
    <row r="417" spans="1:3">
      <c r="A417">
        <v>416</v>
      </c>
      <c r="B417">
        <v>1.9719</v>
      </c>
      <c r="C417">
        <v>2.6173999999999999</v>
      </c>
    </row>
    <row r="418" spans="1:3">
      <c r="A418">
        <v>417</v>
      </c>
      <c r="B418">
        <v>1.9719</v>
      </c>
      <c r="C418">
        <v>2.6173999999999999</v>
      </c>
    </row>
    <row r="419" spans="1:3">
      <c r="A419">
        <v>418</v>
      </c>
      <c r="B419">
        <v>1.9719</v>
      </c>
      <c r="C419">
        <v>2.6173999999999999</v>
      </c>
    </row>
    <row r="420" spans="1:3">
      <c r="A420">
        <v>419</v>
      </c>
      <c r="B420">
        <v>1.9719</v>
      </c>
      <c r="C420">
        <v>2.6173999999999999</v>
      </c>
    </row>
    <row r="421" spans="1:3">
      <c r="A421">
        <v>420</v>
      </c>
      <c r="B421">
        <v>1.9719</v>
      </c>
      <c r="C421">
        <v>2.6173999999999999</v>
      </c>
    </row>
    <row r="422" spans="1:3">
      <c r="A422">
        <v>421</v>
      </c>
      <c r="B422">
        <v>1.9719</v>
      </c>
      <c r="C422">
        <v>2.6173999999999999</v>
      </c>
    </row>
    <row r="423" spans="1:3">
      <c r="A423">
        <v>422</v>
      </c>
      <c r="B423">
        <v>1.9719</v>
      </c>
      <c r="C423">
        <v>2.6173999999999999</v>
      </c>
    </row>
    <row r="424" spans="1:3">
      <c r="A424">
        <v>423</v>
      </c>
      <c r="B424">
        <v>1.9719</v>
      </c>
      <c r="C424">
        <v>2.6173999999999999</v>
      </c>
    </row>
    <row r="425" spans="1:3">
      <c r="A425">
        <v>424</v>
      </c>
      <c r="B425">
        <v>1.9719</v>
      </c>
      <c r="C425">
        <v>2.6173999999999999</v>
      </c>
    </row>
    <row r="426" spans="1:3">
      <c r="A426">
        <v>425</v>
      </c>
      <c r="B426">
        <v>1.9719</v>
      </c>
      <c r="C426">
        <v>2.6173999999999999</v>
      </c>
    </row>
    <row r="427" spans="1:3">
      <c r="A427">
        <v>426</v>
      </c>
      <c r="B427">
        <v>1.9719</v>
      </c>
      <c r="C427">
        <v>2.6173999999999999</v>
      </c>
    </row>
    <row r="428" spans="1:3">
      <c r="A428">
        <v>427</v>
      </c>
      <c r="B428">
        <v>1.9719</v>
      </c>
      <c r="C428">
        <v>2.6173999999999999</v>
      </c>
    </row>
    <row r="429" spans="1:3">
      <c r="A429">
        <v>428</v>
      </c>
      <c r="B429">
        <v>1.9719</v>
      </c>
      <c r="C429">
        <v>2.6173999999999999</v>
      </c>
    </row>
    <row r="430" spans="1:3">
      <c r="A430">
        <v>429</v>
      </c>
      <c r="B430">
        <v>1.9719</v>
      </c>
      <c r="C430">
        <v>2.6173999999999999</v>
      </c>
    </row>
    <row r="431" spans="1:3">
      <c r="A431">
        <v>430</v>
      </c>
      <c r="B431">
        <v>1.9719</v>
      </c>
      <c r="C431">
        <v>2.6173999999999999</v>
      </c>
    </row>
    <row r="432" spans="1:3">
      <c r="A432">
        <v>431</v>
      </c>
      <c r="B432">
        <v>1.9719</v>
      </c>
      <c r="C432">
        <v>2.6173999999999999</v>
      </c>
    </row>
    <row r="433" spans="1:3">
      <c r="A433">
        <v>432</v>
      </c>
      <c r="B433">
        <v>1.9719</v>
      </c>
      <c r="C433">
        <v>2.6173999999999999</v>
      </c>
    </row>
    <row r="434" spans="1:3">
      <c r="A434">
        <v>433</v>
      </c>
      <c r="B434">
        <v>1.9719</v>
      </c>
      <c r="C434">
        <v>2.6173999999999999</v>
      </c>
    </row>
    <row r="435" spans="1:3">
      <c r="A435">
        <v>434</v>
      </c>
      <c r="B435">
        <v>1.9719</v>
      </c>
      <c r="C435">
        <v>2.6173999999999999</v>
      </c>
    </row>
    <row r="436" spans="1:3">
      <c r="A436">
        <v>435</v>
      </c>
      <c r="B436">
        <v>1.9719</v>
      </c>
      <c r="C436">
        <v>2.6173999999999999</v>
      </c>
    </row>
    <row r="437" spans="1:3">
      <c r="A437">
        <v>436</v>
      </c>
      <c r="B437">
        <v>1.9719</v>
      </c>
      <c r="C437">
        <v>2.6173999999999999</v>
      </c>
    </row>
    <row r="438" spans="1:3">
      <c r="A438">
        <v>437</v>
      </c>
      <c r="B438">
        <v>1.9719</v>
      </c>
      <c r="C438">
        <v>2.6173999999999999</v>
      </c>
    </row>
    <row r="439" spans="1:3">
      <c r="A439">
        <v>438</v>
      </c>
      <c r="B439">
        <v>1.9719</v>
      </c>
      <c r="C439">
        <v>2.6173999999999999</v>
      </c>
    </row>
    <row r="440" spans="1:3">
      <c r="A440">
        <v>439</v>
      </c>
      <c r="B440">
        <v>1.9719</v>
      </c>
      <c r="C440">
        <v>2.6173999999999999</v>
      </c>
    </row>
    <row r="441" spans="1:3">
      <c r="A441">
        <v>440</v>
      </c>
      <c r="B441">
        <v>1.9719</v>
      </c>
      <c r="C441">
        <v>2.6173999999999999</v>
      </c>
    </row>
    <row r="442" spans="1:3">
      <c r="A442">
        <v>441</v>
      </c>
      <c r="B442">
        <v>1.9719</v>
      </c>
      <c r="C442">
        <v>2.6173999999999999</v>
      </c>
    </row>
    <row r="443" spans="1:3">
      <c r="A443">
        <v>442</v>
      </c>
      <c r="B443">
        <v>1.9719</v>
      </c>
      <c r="C443">
        <v>2.6173999999999999</v>
      </c>
    </row>
    <row r="444" spans="1:3">
      <c r="A444">
        <v>443</v>
      </c>
      <c r="B444">
        <v>1.9719</v>
      </c>
      <c r="C444">
        <v>2.6173999999999999</v>
      </c>
    </row>
    <row r="445" spans="1:3">
      <c r="A445">
        <v>444</v>
      </c>
      <c r="B445">
        <v>1.9719</v>
      </c>
      <c r="C445">
        <v>2.6173999999999999</v>
      </c>
    </row>
    <row r="446" spans="1:3">
      <c r="A446">
        <v>445</v>
      </c>
      <c r="B446">
        <v>1.9719</v>
      </c>
      <c r="C446">
        <v>2.6173999999999999</v>
      </c>
    </row>
    <row r="447" spans="1:3">
      <c r="A447">
        <v>446</v>
      </c>
      <c r="B447">
        <v>1.9719</v>
      </c>
      <c r="C447">
        <v>2.6173999999999999</v>
      </c>
    </row>
    <row r="448" spans="1:3">
      <c r="A448">
        <v>447</v>
      </c>
      <c r="B448">
        <v>1.9719</v>
      </c>
      <c r="C448">
        <v>2.6173999999999999</v>
      </c>
    </row>
    <row r="449" spans="1:3">
      <c r="A449">
        <v>448</v>
      </c>
      <c r="B449">
        <v>1.9719</v>
      </c>
      <c r="C449">
        <v>2.6173999999999999</v>
      </c>
    </row>
    <row r="450" spans="1:3">
      <c r="A450">
        <v>449</v>
      </c>
      <c r="B450">
        <v>1.9719</v>
      </c>
      <c r="C450">
        <v>2.6173999999999999</v>
      </c>
    </row>
    <row r="451" spans="1:3">
      <c r="A451">
        <v>450</v>
      </c>
      <c r="B451">
        <v>1.9719</v>
      </c>
      <c r="C451">
        <v>2.6173999999999999</v>
      </c>
    </row>
    <row r="452" spans="1:3">
      <c r="A452">
        <v>451</v>
      </c>
      <c r="B452">
        <v>1.9719</v>
      </c>
      <c r="C452">
        <v>2.6173999999999999</v>
      </c>
    </row>
    <row r="453" spans="1:3">
      <c r="A453">
        <v>452</v>
      </c>
      <c r="B453">
        <v>1.9719</v>
      </c>
      <c r="C453">
        <v>2.6173999999999999</v>
      </c>
    </row>
    <row r="454" spans="1:3">
      <c r="A454">
        <v>453</v>
      </c>
      <c r="B454">
        <v>1.9719</v>
      </c>
      <c r="C454">
        <v>2.6173999999999999</v>
      </c>
    </row>
    <row r="455" spans="1:3">
      <c r="A455">
        <v>454</v>
      </c>
      <c r="B455">
        <v>1.9719</v>
      </c>
      <c r="C455">
        <v>2.6173999999999999</v>
      </c>
    </row>
    <row r="456" spans="1:3">
      <c r="A456">
        <v>455</v>
      </c>
      <c r="B456">
        <v>1.9719</v>
      </c>
      <c r="C456">
        <v>2.6173999999999999</v>
      </c>
    </row>
    <row r="457" spans="1:3">
      <c r="A457">
        <v>456</v>
      </c>
      <c r="B457">
        <v>1.9719</v>
      </c>
      <c r="C457">
        <v>2.6173999999999999</v>
      </c>
    </row>
    <row r="458" spans="1:3">
      <c r="A458">
        <v>457</v>
      </c>
      <c r="B458">
        <v>1.9719</v>
      </c>
      <c r="C458">
        <v>2.6173999999999999</v>
      </c>
    </row>
    <row r="459" spans="1:3">
      <c r="A459">
        <v>458</v>
      </c>
      <c r="B459">
        <v>1.9719</v>
      </c>
      <c r="C459">
        <v>2.6173999999999999</v>
      </c>
    </row>
    <row r="460" spans="1:3">
      <c r="A460">
        <v>459</v>
      </c>
      <c r="B460">
        <v>1.9719</v>
      </c>
      <c r="C460">
        <v>2.6173999999999999</v>
      </c>
    </row>
    <row r="461" spans="1:3">
      <c r="A461">
        <v>460</v>
      </c>
      <c r="B461">
        <v>1.9719</v>
      </c>
      <c r="C461">
        <v>2.6173999999999999</v>
      </c>
    </row>
    <row r="462" spans="1:3">
      <c r="A462">
        <v>461</v>
      </c>
      <c r="B462">
        <v>1.9719</v>
      </c>
      <c r="C462">
        <v>2.6173999999999999</v>
      </c>
    </row>
    <row r="463" spans="1:3">
      <c r="A463">
        <v>462</v>
      </c>
      <c r="B463">
        <v>1.9719</v>
      </c>
      <c r="C463">
        <v>2.6173999999999999</v>
      </c>
    </row>
    <row r="464" spans="1:3">
      <c r="A464">
        <v>463</v>
      </c>
      <c r="B464">
        <v>1.9719</v>
      </c>
      <c r="C464">
        <v>2.6173999999999999</v>
      </c>
    </row>
    <row r="465" spans="1:3">
      <c r="A465">
        <v>464</v>
      </c>
      <c r="B465">
        <v>1.9719</v>
      </c>
      <c r="C465">
        <v>2.6173999999999999</v>
      </c>
    </row>
    <row r="466" spans="1:3">
      <c r="A466">
        <v>465</v>
      </c>
      <c r="B466">
        <v>1.9719</v>
      </c>
      <c r="C466">
        <v>2.6173999999999999</v>
      </c>
    </row>
    <row r="467" spans="1:3">
      <c r="A467">
        <v>466</v>
      </c>
      <c r="B467">
        <v>1.9719</v>
      </c>
      <c r="C467">
        <v>2.6173999999999999</v>
      </c>
    </row>
    <row r="468" spans="1:3">
      <c r="A468">
        <v>467</v>
      </c>
      <c r="B468">
        <v>1.9719</v>
      </c>
      <c r="C468">
        <v>2.6173999999999999</v>
      </c>
    </row>
    <row r="469" spans="1:3">
      <c r="A469">
        <v>468</v>
      </c>
      <c r="B469">
        <v>1.9719</v>
      </c>
      <c r="C469">
        <v>2.6173999999999999</v>
      </c>
    </row>
    <row r="470" spans="1:3">
      <c r="A470">
        <v>469</v>
      </c>
      <c r="B470">
        <v>1.9719</v>
      </c>
      <c r="C470">
        <v>2.6173999999999999</v>
      </c>
    </row>
    <row r="471" spans="1:3">
      <c r="A471">
        <v>470</v>
      </c>
      <c r="B471">
        <v>1.9719</v>
      </c>
      <c r="C471">
        <v>2.6173999999999999</v>
      </c>
    </row>
    <row r="472" spans="1:3">
      <c r="A472">
        <v>471</v>
      </c>
      <c r="B472">
        <v>1.9719</v>
      </c>
      <c r="C472">
        <v>2.6173999999999999</v>
      </c>
    </row>
    <row r="473" spans="1:3">
      <c r="A473">
        <v>472</v>
      </c>
      <c r="B473">
        <v>1.9719</v>
      </c>
      <c r="C473">
        <v>2.6173999999999999</v>
      </c>
    </row>
    <row r="474" spans="1:3">
      <c r="A474">
        <v>473</v>
      </c>
      <c r="B474">
        <v>1.9719</v>
      </c>
      <c r="C474">
        <v>2.6173999999999999</v>
      </c>
    </row>
    <row r="475" spans="1:3">
      <c r="A475">
        <v>474</v>
      </c>
      <c r="B475">
        <v>1.9719</v>
      </c>
      <c r="C475">
        <v>2.6173999999999999</v>
      </c>
    </row>
    <row r="476" spans="1:3">
      <c r="A476">
        <v>475</v>
      </c>
      <c r="B476">
        <v>1.9719</v>
      </c>
      <c r="C476">
        <v>2.6173999999999999</v>
      </c>
    </row>
    <row r="477" spans="1:3">
      <c r="A477">
        <v>476</v>
      </c>
      <c r="B477">
        <v>1.9719</v>
      </c>
      <c r="C477">
        <v>2.6173999999999999</v>
      </c>
    </row>
    <row r="478" spans="1:3">
      <c r="A478">
        <v>477</v>
      </c>
      <c r="B478">
        <v>1.9719</v>
      </c>
      <c r="C478">
        <v>2.6173999999999999</v>
      </c>
    </row>
    <row r="479" spans="1:3">
      <c r="A479">
        <v>478</v>
      </c>
      <c r="B479">
        <v>1.9719</v>
      </c>
      <c r="C479">
        <v>2.6173999999999999</v>
      </c>
    </row>
    <row r="480" spans="1:3">
      <c r="A480">
        <v>479</v>
      </c>
      <c r="B480">
        <v>1.9719</v>
      </c>
      <c r="C480">
        <v>2.6173999999999999</v>
      </c>
    </row>
    <row r="481" spans="1:3">
      <c r="A481">
        <v>480</v>
      </c>
      <c r="B481">
        <v>1.9719</v>
      </c>
      <c r="C481">
        <v>2.6173999999999999</v>
      </c>
    </row>
    <row r="482" spans="1:3">
      <c r="A482">
        <v>481</v>
      </c>
      <c r="B482">
        <v>1.9719</v>
      </c>
      <c r="C482">
        <v>2.6173999999999999</v>
      </c>
    </row>
    <row r="483" spans="1:3">
      <c r="A483">
        <v>482</v>
      </c>
      <c r="B483">
        <v>1.9719</v>
      </c>
      <c r="C483">
        <v>2.6173999999999999</v>
      </c>
    </row>
    <row r="484" spans="1:3">
      <c r="A484">
        <v>483</v>
      </c>
      <c r="B484">
        <v>1.9719</v>
      </c>
      <c r="C484">
        <v>2.6173999999999999</v>
      </c>
    </row>
    <row r="485" spans="1:3">
      <c r="A485">
        <v>484</v>
      </c>
      <c r="B485">
        <v>1.9719</v>
      </c>
      <c r="C485">
        <v>2.6173999999999999</v>
      </c>
    </row>
    <row r="486" spans="1:3">
      <c r="A486">
        <v>485</v>
      </c>
      <c r="B486">
        <v>1.9719</v>
      </c>
      <c r="C486">
        <v>2.6173999999999999</v>
      </c>
    </row>
    <row r="487" spans="1:3">
      <c r="A487">
        <v>486</v>
      </c>
      <c r="B487">
        <v>1.9719</v>
      </c>
      <c r="C487">
        <v>2.6173999999999999</v>
      </c>
    </row>
    <row r="488" spans="1:3">
      <c r="A488">
        <v>487</v>
      </c>
      <c r="B488">
        <v>1.9719</v>
      </c>
      <c r="C488">
        <v>2.6173999999999999</v>
      </c>
    </row>
    <row r="489" spans="1:3">
      <c r="A489">
        <v>488</v>
      </c>
      <c r="B489">
        <v>1.9719</v>
      </c>
      <c r="C489">
        <v>2.6173999999999999</v>
      </c>
    </row>
    <row r="490" spans="1:3">
      <c r="A490">
        <v>489</v>
      </c>
      <c r="B490">
        <v>1.9719</v>
      </c>
      <c r="C490">
        <v>2.6173999999999999</v>
      </c>
    </row>
    <row r="491" spans="1:3">
      <c r="A491">
        <v>490</v>
      </c>
      <c r="B491">
        <v>1.9719</v>
      </c>
      <c r="C491">
        <v>2.6173999999999999</v>
      </c>
    </row>
    <row r="492" spans="1:3">
      <c r="A492">
        <v>491</v>
      </c>
      <c r="B492">
        <v>1.9719</v>
      </c>
      <c r="C492">
        <v>2.6173999999999999</v>
      </c>
    </row>
    <row r="493" spans="1:3">
      <c r="A493">
        <v>492</v>
      </c>
      <c r="B493">
        <v>1.9719</v>
      </c>
      <c r="C493">
        <v>2.6173999999999999</v>
      </c>
    </row>
    <row r="494" spans="1:3">
      <c r="A494">
        <v>493</v>
      </c>
      <c r="B494">
        <v>1.9719</v>
      </c>
      <c r="C494">
        <v>2.6173999999999999</v>
      </c>
    </row>
    <row r="495" spans="1:3">
      <c r="A495">
        <v>494</v>
      </c>
      <c r="B495">
        <v>1.9719</v>
      </c>
      <c r="C495">
        <v>2.6173999999999999</v>
      </c>
    </row>
    <row r="496" spans="1:3">
      <c r="A496">
        <v>495</v>
      </c>
      <c r="B496">
        <v>1.9719</v>
      </c>
      <c r="C496">
        <v>2.6173999999999999</v>
      </c>
    </row>
    <row r="497" spans="1:3">
      <c r="A497">
        <v>496</v>
      </c>
      <c r="B497">
        <v>1.9719</v>
      </c>
      <c r="C497">
        <v>2.6173999999999999</v>
      </c>
    </row>
    <row r="498" spans="1:3">
      <c r="A498">
        <v>497</v>
      </c>
      <c r="B498">
        <v>1.9719</v>
      </c>
      <c r="C498">
        <v>2.6173999999999999</v>
      </c>
    </row>
    <row r="499" spans="1:3">
      <c r="A499">
        <v>498</v>
      </c>
      <c r="B499">
        <v>1.9719</v>
      </c>
      <c r="C499">
        <v>2.6173999999999999</v>
      </c>
    </row>
    <row r="500" spans="1:3">
      <c r="A500">
        <v>499</v>
      </c>
      <c r="B500">
        <v>1.9719</v>
      </c>
      <c r="C500">
        <v>2.6173999999999999</v>
      </c>
    </row>
    <row r="501" spans="1:3">
      <c r="A501">
        <v>500</v>
      </c>
      <c r="B501">
        <v>1.9719</v>
      </c>
      <c r="C501">
        <v>2.6173999999999999</v>
      </c>
    </row>
    <row r="502" spans="1:3">
      <c r="A502">
        <v>501</v>
      </c>
      <c r="B502">
        <v>1.9719</v>
      </c>
      <c r="C502">
        <v>2.6173999999999999</v>
      </c>
    </row>
    <row r="503" spans="1:3">
      <c r="A503">
        <v>502</v>
      </c>
      <c r="B503">
        <v>1.9719</v>
      </c>
      <c r="C503">
        <v>2.6173999999999999</v>
      </c>
    </row>
    <row r="504" spans="1:3">
      <c r="A504">
        <v>503</v>
      </c>
      <c r="B504">
        <v>1.9719</v>
      </c>
      <c r="C504">
        <v>2.6173999999999999</v>
      </c>
    </row>
    <row r="505" spans="1:3">
      <c r="A505">
        <v>504</v>
      </c>
      <c r="B505">
        <v>1.9719</v>
      </c>
      <c r="C505">
        <v>2.6173999999999999</v>
      </c>
    </row>
    <row r="506" spans="1:3">
      <c r="A506">
        <v>505</v>
      </c>
      <c r="B506">
        <v>1.9719</v>
      </c>
      <c r="C506">
        <v>2.6173999999999999</v>
      </c>
    </row>
    <row r="507" spans="1:3">
      <c r="A507">
        <v>506</v>
      </c>
      <c r="B507">
        <v>1.9719</v>
      </c>
      <c r="C507">
        <v>2.6173999999999999</v>
      </c>
    </row>
    <row r="508" spans="1:3">
      <c r="A508">
        <v>507</v>
      </c>
      <c r="B508">
        <v>1.9719</v>
      </c>
      <c r="C508">
        <v>2.6173999999999999</v>
      </c>
    </row>
    <row r="509" spans="1:3">
      <c r="A509">
        <v>508</v>
      </c>
      <c r="B509">
        <v>1.9719</v>
      </c>
      <c r="C509">
        <v>2.6173999999999999</v>
      </c>
    </row>
    <row r="510" spans="1:3">
      <c r="A510">
        <v>509</v>
      </c>
      <c r="B510">
        <v>1.9719</v>
      </c>
      <c r="C510">
        <v>2.6173999999999999</v>
      </c>
    </row>
    <row r="511" spans="1:3">
      <c r="A511">
        <v>510</v>
      </c>
      <c r="B511">
        <v>1.9719</v>
      </c>
      <c r="C511">
        <v>2.6173999999999999</v>
      </c>
    </row>
    <row r="512" spans="1:3">
      <c r="A512">
        <v>511</v>
      </c>
      <c r="B512">
        <v>1.9719</v>
      </c>
      <c r="C512">
        <v>2.6173999999999999</v>
      </c>
    </row>
    <row r="513" spans="1:3">
      <c r="A513">
        <v>512</v>
      </c>
      <c r="B513">
        <v>1.9719</v>
      </c>
      <c r="C513">
        <v>2.6173999999999999</v>
      </c>
    </row>
    <row r="514" spans="1:3">
      <c r="A514">
        <v>513</v>
      </c>
      <c r="B514">
        <v>1.9719</v>
      </c>
      <c r="C514">
        <v>2.6173999999999999</v>
      </c>
    </row>
    <row r="515" spans="1:3">
      <c r="A515">
        <v>514</v>
      </c>
      <c r="B515">
        <v>1.9719</v>
      </c>
      <c r="C515">
        <v>2.6173999999999999</v>
      </c>
    </row>
    <row r="516" spans="1:3">
      <c r="A516">
        <v>515</v>
      </c>
      <c r="B516">
        <v>1.9719</v>
      </c>
      <c r="C516">
        <v>2.6173999999999999</v>
      </c>
    </row>
    <row r="517" spans="1:3">
      <c r="A517">
        <v>516</v>
      </c>
      <c r="B517">
        <v>1.9719</v>
      </c>
      <c r="C517">
        <v>2.6173999999999999</v>
      </c>
    </row>
    <row r="518" spans="1:3">
      <c r="A518">
        <v>517</v>
      </c>
      <c r="B518">
        <v>1.9719</v>
      </c>
      <c r="C518">
        <v>2.6173999999999999</v>
      </c>
    </row>
    <row r="519" spans="1:3">
      <c r="A519">
        <v>518</v>
      </c>
      <c r="B519">
        <v>1.9719</v>
      </c>
      <c r="C519">
        <v>2.6173999999999999</v>
      </c>
    </row>
    <row r="520" spans="1:3">
      <c r="A520">
        <v>519</v>
      </c>
      <c r="B520">
        <v>1.9719</v>
      </c>
      <c r="C520">
        <v>2.6173999999999999</v>
      </c>
    </row>
    <row r="521" spans="1:3">
      <c r="A521">
        <v>520</v>
      </c>
      <c r="B521">
        <v>1.9719</v>
      </c>
      <c r="C521">
        <v>2.6173999999999999</v>
      </c>
    </row>
    <row r="522" spans="1:3">
      <c r="A522">
        <v>521</v>
      </c>
      <c r="B522">
        <v>1.9719</v>
      </c>
      <c r="C522">
        <v>2.6173999999999999</v>
      </c>
    </row>
    <row r="523" spans="1:3">
      <c r="A523">
        <v>522</v>
      </c>
      <c r="B523">
        <v>1.9719</v>
      </c>
      <c r="C523">
        <v>2.6173999999999999</v>
      </c>
    </row>
    <row r="524" spans="1:3">
      <c r="A524">
        <v>523</v>
      </c>
      <c r="B524">
        <v>1.9719</v>
      </c>
      <c r="C524">
        <v>2.6173999999999999</v>
      </c>
    </row>
    <row r="525" spans="1:3">
      <c r="A525">
        <v>524</v>
      </c>
      <c r="B525">
        <v>1.9719</v>
      </c>
      <c r="C525">
        <v>2.6173999999999999</v>
      </c>
    </row>
    <row r="526" spans="1:3">
      <c r="A526">
        <v>525</v>
      </c>
      <c r="B526">
        <v>1.9719</v>
      </c>
      <c r="C526">
        <v>2.6173999999999999</v>
      </c>
    </row>
    <row r="527" spans="1:3">
      <c r="A527">
        <v>526</v>
      </c>
      <c r="B527">
        <v>1.9719</v>
      </c>
      <c r="C527">
        <v>2.6173999999999999</v>
      </c>
    </row>
    <row r="528" spans="1:3">
      <c r="A528">
        <v>527</v>
      </c>
      <c r="B528">
        <v>1.9719</v>
      </c>
      <c r="C528">
        <v>2.6173999999999999</v>
      </c>
    </row>
    <row r="529" spans="1:3">
      <c r="A529">
        <v>528</v>
      </c>
      <c r="B529">
        <v>1.9719</v>
      </c>
      <c r="C529">
        <v>2.6173999999999999</v>
      </c>
    </row>
    <row r="530" spans="1:3">
      <c r="A530">
        <v>529</v>
      </c>
      <c r="B530">
        <v>1.9719</v>
      </c>
      <c r="C530">
        <v>2.6173999999999999</v>
      </c>
    </row>
    <row r="531" spans="1:3">
      <c r="A531">
        <v>530</v>
      </c>
      <c r="B531">
        <v>1.9719</v>
      </c>
      <c r="C531">
        <v>2.6173999999999999</v>
      </c>
    </row>
    <row r="532" spans="1:3">
      <c r="A532">
        <v>531</v>
      </c>
      <c r="B532">
        <v>1.9719</v>
      </c>
      <c r="C532">
        <v>2.6173999999999999</v>
      </c>
    </row>
    <row r="533" spans="1:3">
      <c r="A533">
        <v>532</v>
      </c>
      <c r="B533">
        <v>1.9719</v>
      </c>
      <c r="C533">
        <v>2.6173999999999999</v>
      </c>
    </row>
    <row r="534" spans="1:3">
      <c r="A534">
        <v>533</v>
      </c>
      <c r="B534">
        <v>1.9719</v>
      </c>
      <c r="C534">
        <v>2.6173999999999999</v>
      </c>
    </row>
    <row r="535" spans="1:3">
      <c r="A535">
        <v>534</v>
      </c>
      <c r="B535">
        <v>1.9719</v>
      </c>
      <c r="C535">
        <v>2.6173999999999999</v>
      </c>
    </row>
    <row r="536" spans="1:3">
      <c r="A536">
        <v>535</v>
      </c>
      <c r="B536">
        <v>1.9719</v>
      </c>
      <c r="C536">
        <v>2.6173999999999999</v>
      </c>
    </row>
    <row r="537" spans="1:3">
      <c r="A537">
        <v>536</v>
      </c>
      <c r="B537">
        <v>1.9719</v>
      </c>
      <c r="C537">
        <v>2.6173999999999999</v>
      </c>
    </row>
    <row r="538" spans="1:3">
      <c r="A538">
        <v>537</v>
      </c>
      <c r="B538">
        <v>1.9719</v>
      </c>
      <c r="C538">
        <v>2.6173999999999999</v>
      </c>
    </row>
    <row r="539" spans="1:3">
      <c r="A539">
        <v>538</v>
      </c>
      <c r="B539">
        <v>1.9719</v>
      </c>
      <c r="C539">
        <v>2.6173999999999999</v>
      </c>
    </row>
    <row r="540" spans="1:3">
      <c r="A540">
        <v>539</v>
      </c>
      <c r="B540">
        <v>1.9719</v>
      </c>
      <c r="C540">
        <v>2.6173999999999999</v>
      </c>
    </row>
    <row r="541" spans="1:3">
      <c r="A541">
        <v>540</v>
      </c>
      <c r="B541">
        <v>1.9719</v>
      </c>
      <c r="C541">
        <v>2.6173999999999999</v>
      </c>
    </row>
    <row r="542" spans="1:3">
      <c r="A542">
        <v>541</v>
      </c>
      <c r="B542">
        <v>1.9719</v>
      </c>
      <c r="C542">
        <v>2.6173999999999999</v>
      </c>
    </row>
    <row r="543" spans="1:3">
      <c r="A543">
        <v>542</v>
      </c>
      <c r="B543">
        <v>1.9719</v>
      </c>
      <c r="C543">
        <v>2.6173999999999999</v>
      </c>
    </row>
    <row r="544" spans="1:3">
      <c r="A544">
        <v>543</v>
      </c>
      <c r="B544">
        <v>1.9719</v>
      </c>
      <c r="C544">
        <v>2.6173999999999999</v>
      </c>
    </row>
    <row r="545" spans="1:3">
      <c r="A545">
        <v>544</v>
      </c>
      <c r="B545">
        <v>1.9719</v>
      </c>
      <c r="C545">
        <v>2.6173999999999999</v>
      </c>
    </row>
    <row r="546" spans="1:3">
      <c r="A546">
        <v>545</v>
      </c>
      <c r="B546">
        <v>1.9719</v>
      </c>
      <c r="C546">
        <v>2.6173999999999999</v>
      </c>
    </row>
    <row r="547" spans="1:3">
      <c r="A547">
        <v>546</v>
      </c>
      <c r="B547">
        <v>1.9719</v>
      </c>
      <c r="C547">
        <v>2.6173999999999999</v>
      </c>
    </row>
    <row r="548" spans="1:3">
      <c r="A548">
        <v>547</v>
      </c>
      <c r="B548">
        <v>1.9719</v>
      </c>
      <c r="C548">
        <v>2.6173999999999999</v>
      </c>
    </row>
    <row r="549" spans="1:3">
      <c r="A549">
        <v>548</v>
      </c>
      <c r="B549">
        <v>1.9719</v>
      </c>
      <c r="C549">
        <v>2.6173999999999999</v>
      </c>
    </row>
    <row r="550" spans="1:3">
      <c r="A550">
        <v>549</v>
      </c>
      <c r="B550">
        <v>1.9719</v>
      </c>
      <c r="C550">
        <v>2.6173999999999999</v>
      </c>
    </row>
    <row r="551" spans="1:3">
      <c r="A551">
        <v>550</v>
      </c>
      <c r="B551">
        <v>1.9719</v>
      </c>
      <c r="C551">
        <v>2.6173999999999999</v>
      </c>
    </row>
    <row r="552" spans="1:3">
      <c r="A552">
        <v>551</v>
      </c>
      <c r="B552">
        <v>1.9719</v>
      </c>
      <c r="C552">
        <v>2.6173999999999999</v>
      </c>
    </row>
    <row r="553" spans="1:3">
      <c r="A553">
        <v>552</v>
      </c>
      <c r="B553">
        <v>1.9719</v>
      </c>
      <c r="C553">
        <v>2.6173999999999999</v>
      </c>
    </row>
    <row r="554" spans="1:3">
      <c r="A554">
        <v>553</v>
      </c>
      <c r="B554">
        <v>1.9719</v>
      </c>
      <c r="C554">
        <v>2.6173999999999999</v>
      </c>
    </row>
    <row r="555" spans="1:3">
      <c r="A555">
        <v>554</v>
      </c>
      <c r="B555">
        <v>1.9719</v>
      </c>
      <c r="C555">
        <v>2.6173999999999999</v>
      </c>
    </row>
    <row r="556" spans="1:3">
      <c r="A556">
        <v>555</v>
      </c>
      <c r="B556">
        <v>1.9719</v>
      </c>
      <c r="C556">
        <v>2.6173999999999999</v>
      </c>
    </row>
    <row r="557" spans="1:3">
      <c r="A557">
        <v>556</v>
      </c>
      <c r="B557">
        <v>1.9719</v>
      </c>
      <c r="C557">
        <v>2.6173999999999999</v>
      </c>
    </row>
    <row r="558" spans="1:3">
      <c r="A558">
        <v>557</v>
      </c>
      <c r="B558">
        <v>1.9719</v>
      </c>
      <c r="C558">
        <v>2.6173999999999999</v>
      </c>
    </row>
    <row r="559" spans="1:3">
      <c r="A559">
        <v>558</v>
      </c>
      <c r="B559">
        <v>1.9719</v>
      </c>
      <c r="C559">
        <v>2.6173999999999999</v>
      </c>
    </row>
    <row r="560" spans="1:3">
      <c r="A560">
        <v>559</v>
      </c>
      <c r="B560">
        <v>1.9719</v>
      </c>
      <c r="C560">
        <v>2.6173999999999999</v>
      </c>
    </row>
    <row r="561" spans="1:3">
      <c r="A561">
        <v>560</v>
      </c>
      <c r="B561">
        <v>1.9719</v>
      </c>
      <c r="C561">
        <v>2.6173999999999999</v>
      </c>
    </row>
    <row r="562" spans="1:3">
      <c r="A562">
        <v>561</v>
      </c>
      <c r="B562">
        <v>1.9719</v>
      </c>
      <c r="C562">
        <v>2.6173999999999999</v>
      </c>
    </row>
    <row r="563" spans="1:3">
      <c r="A563">
        <v>562</v>
      </c>
      <c r="B563">
        <v>1.9719</v>
      </c>
      <c r="C563">
        <v>2.6173999999999999</v>
      </c>
    </row>
    <row r="564" spans="1:3">
      <c r="A564">
        <v>563</v>
      </c>
      <c r="B564">
        <v>1.9719</v>
      </c>
      <c r="C564">
        <v>2.6173999999999999</v>
      </c>
    </row>
    <row r="565" spans="1:3">
      <c r="A565">
        <v>564</v>
      </c>
      <c r="B565">
        <v>1.9719</v>
      </c>
      <c r="C565">
        <v>2.6173999999999999</v>
      </c>
    </row>
    <row r="566" spans="1:3">
      <c r="A566">
        <v>565</v>
      </c>
      <c r="B566">
        <v>1.9719</v>
      </c>
      <c r="C566">
        <v>2.6173999999999999</v>
      </c>
    </row>
    <row r="567" spans="1:3">
      <c r="A567">
        <v>566</v>
      </c>
      <c r="B567">
        <v>1.9719</v>
      </c>
      <c r="C567">
        <v>2.6173999999999999</v>
      </c>
    </row>
    <row r="568" spans="1:3">
      <c r="A568">
        <v>567</v>
      </c>
      <c r="B568">
        <v>1.9719</v>
      </c>
      <c r="C568">
        <v>2.6173999999999999</v>
      </c>
    </row>
    <row r="569" spans="1:3">
      <c r="A569">
        <v>568</v>
      </c>
      <c r="B569">
        <v>1.9719</v>
      </c>
      <c r="C569">
        <v>2.6173999999999999</v>
      </c>
    </row>
    <row r="570" spans="1:3">
      <c r="A570">
        <v>569</v>
      </c>
      <c r="B570">
        <v>1.9719</v>
      </c>
      <c r="C570">
        <v>2.6173999999999999</v>
      </c>
    </row>
    <row r="571" spans="1:3">
      <c r="A571">
        <v>570</v>
      </c>
      <c r="B571">
        <v>1.9719</v>
      </c>
      <c r="C571">
        <v>2.6173999999999999</v>
      </c>
    </row>
    <row r="572" spans="1:3">
      <c r="A572">
        <v>571</v>
      </c>
      <c r="B572">
        <v>1.9719</v>
      </c>
      <c r="C572">
        <v>2.6173999999999999</v>
      </c>
    </row>
    <row r="573" spans="1:3">
      <c r="A573">
        <v>572</v>
      </c>
      <c r="B573">
        <v>1.9719</v>
      </c>
      <c r="C573">
        <v>2.6173999999999999</v>
      </c>
    </row>
    <row r="574" spans="1:3">
      <c r="A574">
        <v>573</v>
      </c>
      <c r="B574">
        <v>1.9719</v>
      </c>
      <c r="C574">
        <v>2.6173999999999999</v>
      </c>
    </row>
    <row r="575" spans="1:3">
      <c r="A575">
        <v>574</v>
      </c>
      <c r="B575">
        <v>1.9719</v>
      </c>
      <c r="C575">
        <v>2.6173999999999999</v>
      </c>
    </row>
    <row r="576" spans="1:3">
      <c r="A576">
        <v>575</v>
      </c>
      <c r="B576">
        <v>1.9719</v>
      </c>
      <c r="C576">
        <v>2.6173999999999999</v>
      </c>
    </row>
    <row r="577" spans="1:3">
      <c r="A577">
        <v>576</v>
      </c>
      <c r="B577">
        <v>1.9719</v>
      </c>
      <c r="C577">
        <v>2.6173999999999999</v>
      </c>
    </row>
    <row r="578" spans="1:3">
      <c r="A578">
        <v>577</v>
      </c>
      <c r="B578">
        <v>1.9719</v>
      </c>
      <c r="C578">
        <v>2.6173999999999999</v>
      </c>
    </row>
    <row r="579" spans="1:3">
      <c r="A579">
        <v>578</v>
      </c>
      <c r="B579">
        <v>1.9719</v>
      </c>
      <c r="C579">
        <v>2.6173999999999999</v>
      </c>
    </row>
    <row r="580" spans="1:3">
      <c r="A580">
        <v>579</v>
      </c>
      <c r="B580">
        <v>1.9719</v>
      </c>
      <c r="C580">
        <v>2.6173999999999999</v>
      </c>
    </row>
    <row r="581" spans="1:3">
      <c r="A581">
        <v>580</v>
      </c>
      <c r="B581">
        <v>1.9719</v>
      </c>
      <c r="C581">
        <v>2.6173999999999999</v>
      </c>
    </row>
    <row r="582" spans="1:3">
      <c r="A582">
        <v>581</v>
      </c>
      <c r="B582">
        <v>1.9719</v>
      </c>
      <c r="C582">
        <v>2.6173999999999999</v>
      </c>
    </row>
    <row r="583" spans="1:3">
      <c r="A583">
        <v>582</v>
      </c>
      <c r="B583">
        <v>1.9719</v>
      </c>
      <c r="C583">
        <v>2.6173999999999999</v>
      </c>
    </row>
    <row r="584" spans="1:3">
      <c r="A584">
        <v>583</v>
      </c>
      <c r="B584">
        <v>1.9719</v>
      </c>
      <c r="C584">
        <v>2.6173999999999999</v>
      </c>
    </row>
    <row r="585" spans="1:3">
      <c r="A585">
        <v>584</v>
      </c>
      <c r="B585">
        <v>1.9719</v>
      </c>
      <c r="C585">
        <v>2.6173999999999999</v>
      </c>
    </row>
    <row r="586" spans="1:3">
      <c r="A586">
        <v>585</v>
      </c>
      <c r="B586">
        <v>1.9719</v>
      </c>
      <c r="C586">
        <v>2.6173999999999999</v>
      </c>
    </row>
    <row r="587" spans="1:3">
      <c r="A587">
        <v>586</v>
      </c>
      <c r="B587">
        <v>1.9719</v>
      </c>
      <c r="C587">
        <v>2.6173999999999999</v>
      </c>
    </row>
    <row r="588" spans="1:3">
      <c r="A588">
        <v>587</v>
      </c>
      <c r="B588">
        <v>1.9719</v>
      </c>
      <c r="C588">
        <v>2.6173999999999999</v>
      </c>
    </row>
    <row r="589" spans="1:3">
      <c r="A589">
        <v>588</v>
      </c>
      <c r="B589">
        <v>1.9719</v>
      </c>
      <c r="C589">
        <v>2.6173999999999999</v>
      </c>
    </row>
    <row r="590" spans="1:3">
      <c r="A590">
        <v>589</v>
      </c>
      <c r="B590">
        <v>1.9719</v>
      </c>
      <c r="C590">
        <v>2.6173999999999999</v>
      </c>
    </row>
    <row r="591" spans="1:3">
      <c r="A591">
        <v>590</v>
      </c>
      <c r="B591">
        <v>1.9719</v>
      </c>
      <c r="C591">
        <v>2.6173999999999999</v>
      </c>
    </row>
    <row r="592" spans="1:3">
      <c r="A592">
        <v>591</v>
      </c>
      <c r="B592">
        <v>1.9719</v>
      </c>
      <c r="C592">
        <v>2.6173999999999999</v>
      </c>
    </row>
    <row r="593" spans="1:3">
      <c r="A593">
        <v>592</v>
      </c>
      <c r="B593">
        <v>1.9719</v>
      </c>
      <c r="C593">
        <v>2.6173999999999999</v>
      </c>
    </row>
    <row r="594" spans="1:3">
      <c r="A594">
        <v>593</v>
      </c>
      <c r="B594">
        <v>1.9719</v>
      </c>
      <c r="C594">
        <v>2.6173999999999999</v>
      </c>
    </row>
    <row r="595" spans="1:3">
      <c r="A595">
        <v>594</v>
      </c>
      <c r="B595">
        <v>1.9719</v>
      </c>
      <c r="C595">
        <v>2.6173999999999999</v>
      </c>
    </row>
    <row r="596" spans="1:3">
      <c r="A596">
        <v>595</v>
      </c>
      <c r="B596">
        <v>1.9719</v>
      </c>
      <c r="C596">
        <v>2.6173999999999999</v>
      </c>
    </row>
    <row r="597" spans="1:3">
      <c r="A597">
        <v>596</v>
      </c>
      <c r="B597">
        <v>1.9719</v>
      </c>
      <c r="C597">
        <v>2.6173999999999999</v>
      </c>
    </row>
    <row r="598" spans="1:3">
      <c r="A598">
        <v>597</v>
      </c>
      <c r="B598">
        <v>1.9719</v>
      </c>
      <c r="C598">
        <v>2.6173999999999999</v>
      </c>
    </row>
    <row r="599" spans="1:3">
      <c r="A599">
        <v>598</v>
      </c>
      <c r="B599">
        <v>1.9719</v>
      </c>
      <c r="C599">
        <v>2.6173999999999999</v>
      </c>
    </row>
    <row r="600" spans="1:3">
      <c r="A600">
        <v>599</v>
      </c>
      <c r="B600">
        <v>1.9719</v>
      </c>
      <c r="C600">
        <v>2.6173999999999999</v>
      </c>
    </row>
    <row r="601" spans="1:3">
      <c r="A601">
        <v>600</v>
      </c>
      <c r="B601">
        <v>1.9719</v>
      </c>
      <c r="C601">
        <v>2.6173999999999999</v>
      </c>
    </row>
    <row r="602" spans="1:3">
      <c r="A602">
        <v>601</v>
      </c>
      <c r="B602">
        <v>1.9719</v>
      </c>
      <c r="C602">
        <v>2.6173999999999999</v>
      </c>
    </row>
    <row r="603" spans="1:3">
      <c r="A603">
        <v>602</v>
      </c>
      <c r="B603">
        <v>1.9719</v>
      </c>
      <c r="C603">
        <v>2.6173999999999999</v>
      </c>
    </row>
    <row r="604" spans="1:3">
      <c r="A604">
        <v>603</v>
      </c>
      <c r="B604">
        <v>1.9719</v>
      </c>
      <c r="C604">
        <v>2.6173999999999999</v>
      </c>
    </row>
    <row r="605" spans="1:3">
      <c r="A605">
        <v>604</v>
      </c>
      <c r="B605">
        <v>1.9719</v>
      </c>
      <c r="C605">
        <v>2.6173999999999999</v>
      </c>
    </row>
    <row r="606" spans="1:3">
      <c r="A606">
        <v>605</v>
      </c>
      <c r="B606">
        <v>1.9719</v>
      </c>
      <c r="C606">
        <v>2.6173999999999999</v>
      </c>
    </row>
    <row r="607" spans="1:3">
      <c r="A607">
        <v>606</v>
      </c>
      <c r="B607">
        <v>1.9719</v>
      </c>
      <c r="C607">
        <v>2.6173999999999999</v>
      </c>
    </row>
    <row r="608" spans="1:3">
      <c r="A608">
        <v>607</v>
      </c>
      <c r="B608">
        <v>1.9719</v>
      </c>
      <c r="C608">
        <v>2.6173999999999999</v>
      </c>
    </row>
    <row r="609" spans="1:3">
      <c r="A609">
        <v>608</v>
      </c>
      <c r="B609">
        <v>1.9719</v>
      </c>
      <c r="C609">
        <v>2.6173999999999999</v>
      </c>
    </row>
    <row r="610" spans="1:3">
      <c r="A610">
        <v>609</v>
      </c>
      <c r="B610">
        <v>1.9719</v>
      </c>
      <c r="C610">
        <v>2.6173999999999999</v>
      </c>
    </row>
    <row r="611" spans="1:3">
      <c r="A611">
        <v>610</v>
      </c>
      <c r="B611">
        <v>1.9719</v>
      </c>
      <c r="C611">
        <v>2.6173999999999999</v>
      </c>
    </row>
    <row r="612" spans="1:3">
      <c r="A612">
        <v>611</v>
      </c>
      <c r="B612">
        <v>1.9719</v>
      </c>
      <c r="C612">
        <v>2.6173999999999999</v>
      </c>
    </row>
    <row r="613" spans="1:3">
      <c r="A613">
        <v>612</v>
      </c>
      <c r="B613">
        <v>1.9719</v>
      </c>
      <c r="C613">
        <v>2.6173999999999999</v>
      </c>
    </row>
    <row r="614" spans="1:3">
      <c r="A614">
        <v>613</v>
      </c>
      <c r="B614">
        <v>1.9719</v>
      </c>
      <c r="C614">
        <v>2.6173999999999999</v>
      </c>
    </row>
    <row r="615" spans="1:3">
      <c r="A615">
        <v>614</v>
      </c>
      <c r="B615">
        <v>1.9719</v>
      </c>
      <c r="C615">
        <v>2.6173999999999999</v>
      </c>
    </row>
    <row r="616" spans="1:3">
      <c r="A616">
        <v>615</v>
      </c>
      <c r="B616">
        <v>1.9719</v>
      </c>
      <c r="C616">
        <v>2.6173999999999999</v>
      </c>
    </row>
    <row r="617" spans="1:3">
      <c r="A617">
        <v>616</v>
      </c>
      <c r="B617">
        <v>1.9719</v>
      </c>
      <c r="C617">
        <v>2.6173999999999999</v>
      </c>
    </row>
    <row r="618" spans="1:3">
      <c r="A618">
        <v>617</v>
      </c>
      <c r="B618">
        <v>1.9719</v>
      </c>
      <c r="C618">
        <v>2.6173999999999999</v>
      </c>
    </row>
    <row r="619" spans="1:3">
      <c r="A619">
        <v>618</v>
      </c>
      <c r="B619">
        <v>1.9719</v>
      </c>
      <c r="C619">
        <v>2.6173999999999999</v>
      </c>
    </row>
    <row r="620" spans="1:3">
      <c r="A620">
        <v>619</v>
      </c>
      <c r="B620">
        <v>1.9719</v>
      </c>
      <c r="C620">
        <v>2.6173999999999999</v>
      </c>
    </row>
    <row r="621" spans="1:3">
      <c r="A621">
        <v>620</v>
      </c>
      <c r="B621">
        <v>1.9719</v>
      </c>
      <c r="C621">
        <v>2.6173999999999999</v>
      </c>
    </row>
    <row r="622" spans="1:3">
      <c r="A622">
        <v>621</v>
      </c>
      <c r="B622">
        <v>1.9719</v>
      </c>
      <c r="C622">
        <v>2.6173999999999999</v>
      </c>
    </row>
    <row r="623" spans="1:3">
      <c r="A623">
        <v>622</v>
      </c>
      <c r="B623">
        <v>1.9719</v>
      </c>
      <c r="C623">
        <v>2.6173999999999999</v>
      </c>
    </row>
    <row r="624" spans="1:3">
      <c r="A624">
        <v>623</v>
      </c>
      <c r="B624">
        <v>1.9719</v>
      </c>
      <c r="C624">
        <v>2.6173999999999999</v>
      </c>
    </row>
    <row r="625" spans="1:3">
      <c r="A625">
        <v>624</v>
      </c>
      <c r="B625">
        <v>1.9719</v>
      </c>
      <c r="C625">
        <v>2.6173999999999999</v>
      </c>
    </row>
    <row r="626" spans="1:3">
      <c r="A626">
        <v>625</v>
      </c>
      <c r="B626">
        <v>1.9719</v>
      </c>
      <c r="C626">
        <v>2.6173999999999999</v>
      </c>
    </row>
    <row r="627" spans="1:3">
      <c r="A627">
        <v>626</v>
      </c>
      <c r="B627">
        <v>1.9719</v>
      </c>
      <c r="C627">
        <v>2.6173999999999999</v>
      </c>
    </row>
    <row r="628" spans="1:3">
      <c r="A628">
        <v>627</v>
      </c>
      <c r="B628">
        <v>1.9719</v>
      </c>
      <c r="C628">
        <v>2.6173999999999999</v>
      </c>
    </row>
    <row r="629" spans="1:3">
      <c r="A629">
        <v>628</v>
      </c>
      <c r="B629">
        <v>1.9719</v>
      </c>
      <c r="C629">
        <v>2.6173999999999999</v>
      </c>
    </row>
    <row r="630" spans="1:3">
      <c r="A630">
        <v>629</v>
      </c>
      <c r="B630">
        <v>1.9719</v>
      </c>
      <c r="C630">
        <v>2.6173999999999999</v>
      </c>
    </row>
    <row r="631" spans="1:3">
      <c r="A631">
        <v>630</v>
      </c>
      <c r="B631">
        <v>1.9719</v>
      </c>
      <c r="C631">
        <v>2.6173999999999999</v>
      </c>
    </row>
    <row r="632" spans="1:3">
      <c r="A632">
        <v>631</v>
      </c>
      <c r="B632">
        <v>1.9719</v>
      </c>
      <c r="C632">
        <v>2.6173999999999999</v>
      </c>
    </row>
    <row r="633" spans="1:3">
      <c r="A633">
        <v>632</v>
      </c>
      <c r="B633">
        <v>1.9719</v>
      </c>
      <c r="C633">
        <v>2.6173999999999999</v>
      </c>
    </row>
    <row r="634" spans="1:3">
      <c r="A634">
        <v>633</v>
      </c>
      <c r="B634">
        <v>1.9719</v>
      </c>
      <c r="C634">
        <v>2.6173999999999999</v>
      </c>
    </row>
    <row r="635" spans="1:3">
      <c r="A635">
        <v>634</v>
      </c>
      <c r="B635">
        <v>1.9719</v>
      </c>
      <c r="C635">
        <v>2.6173999999999999</v>
      </c>
    </row>
    <row r="636" spans="1:3">
      <c r="A636">
        <v>635</v>
      </c>
      <c r="B636">
        <v>1.9719</v>
      </c>
      <c r="C636">
        <v>2.6173999999999999</v>
      </c>
    </row>
    <row r="637" spans="1:3">
      <c r="A637">
        <v>636</v>
      </c>
      <c r="B637">
        <v>1.9719</v>
      </c>
      <c r="C637">
        <v>2.6173999999999999</v>
      </c>
    </row>
    <row r="638" spans="1:3">
      <c r="A638">
        <v>637</v>
      </c>
      <c r="B638">
        <v>1.9719</v>
      </c>
      <c r="C638">
        <v>2.6173999999999999</v>
      </c>
    </row>
    <row r="639" spans="1:3">
      <c r="A639">
        <v>638</v>
      </c>
      <c r="B639">
        <v>1.9719</v>
      </c>
      <c r="C639">
        <v>2.6173999999999999</v>
      </c>
    </row>
    <row r="640" spans="1:3">
      <c r="A640">
        <v>639</v>
      </c>
      <c r="B640">
        <v>1.9719</v>
      </c>
      <c r="C640">
        <v>2.6173999999999999</v>
      </c>
    </row>
    <row r="641" spans="1:3">
      <c r="A641">
        <v>640</v>
      </c>
      <c r="B641">
        <v>1.9719</v>
      </c>
      <c r="C641">
        <v>2.6173999999999999</v>
      </c>
    </row>
    <row r="642" spans="1:3">
      <c r="A642">
        <v>641</v>
      </c>
      <c r="B642">
        <v>1.9719</v>
      </c>
      <c r="C642">
        <v>2.6173999999999999</v>
      </c>
    </row>
    <row r="643" spans="1:3">
      <c r="A643">
        <v>642</v>
      </c>
      <c r="B643">
        <v>1.9719</v>
      </c>
      <c r="C643">
        <v>2.6173999999999999</v>
      </c>
    </row>
    <row r="644" spans="1:3">
      <c r="A644">
        <v>643</v>
      </c>
      <c r="B644">
        <v>1.9719</v>
      </c>
      <c r="C644">
        <v>2.6173999999999999</v>
      </c>
    </row>
    <row r="645" spans="1:3">
      <c r="A645">
        <v>644</v>
      </c>
      <c r="B645">
        <v>1.9719</v>
      </c>
      <c r="C645">
        <v>2.6173999999999999</v>
      </c>
    </row>
    <row r="646" spans="1:3">
      <c r="A646">
        <v>645</v>
      </c>
      <c r="B646">
        <v>1.9719</v>
      </c>
      <c r="C646">
        <v>2.6173999999999999</v>
      </c>
    </row>
    <row r="647" spans="1:3">
      <c r="A647">
        <v>646</v>
      </c>
      <c r="B647">
        <v>1.9719</v>
      </c>
      <c r="C647">
        <v>2.6173999999999999</v>
      </c>
    </row>
    <row r="648" spans="1:3">
      <c r="A648">
        <v>647</v>
      </c>
      <c r="B648">
        <v>1.9719</v>
      </c>
      <c r="C648">
        <v>2.6173999999999999</v>
      </c>
    </row>
    <row r="649" spans="1:3">
      <c r="A649">
        <v>648</v>
      </c>
      <c r="B649">
        <v>1.9719</v>
      </c>
      <c r="C649">
        <v>2.6173999999999999</v>
      </c>
    </row>
    <row r="650" spans="1:3">
      <c r="A650">
        <v>649</v>
      </c>
      <c r="B650">
        <v>1.9719</v>
      </c>
      <c r="C650">
        <v>2.6173999999999999</v>
      </c>
    </row>
    <row r="651" spans="1:3">
      <c r="A651">
        <v>650</v>
      </c>
      <c r="B651">
        <v>1.9719</v>
      </c>
      <c r="C651">
        <v>2.6173999999999999</v>
      </c>
    </row>
    <row r="652" spans="1:3">
      <c r="A652">
        <v>651</v>
      </c>
      <c r="B652">
        <v>1.9719</v>
      </c>
      <c r="C652">
        <v>2.6173999999999999</v>
      </c>
    </row>
    <row r="653" spans="1:3">
      <c r="A653">
        <v>652</v>
      </c>
      <c r="B653">
        <v>1.9719</v>
      </c>
      <c r="C653">
        <v>2.6173999999999999</v>
      </c>
    </row>
    <row r="654" spans="1:3">
      <c r="A654">
        <v>653</v>
      </c>
      <c r="B654">
        <v>1.9719</v>
      </c>
      <c r="C654">
        <v>2.6173999999999999</v>
      </c>
    </row>
    <row r="655" spans="1:3">
      <c r="A655">
        <v>654</v>
      </c>
      <c r="B655">
        <v>1.9719</v>
      </c>
      <c r="C655">
        <v>2.6173999999999999</v>
      </c>
    </row>
    <row r="656" spans="1:3">
      <c r="A656">
        <v>655</v>
      </c>
      <c r="B656">
        <v>1.9719</v>
      </c>
      <c r="C656">
        <v>2.6173999999999999</v>
      </c>
    </row>
    <row r="657" spans="1:3">
      <c r="A657">
        <v>656</v>
      </c>
      <c r="B657">
        <v>1.9719</v>
      </c>
      <c r="C657">
        <v>2.6173999999999999</v>
      </c>
    </row>
    <row r="658" spans="1:3">
      <c r="A658">
        <v>657</v>
      </c>
      <c r="B658">
        <v>1.9719</v>
      </c>
      <c r="C658">
        <v>2.6173999999999999</v>
      </c>
    </row>
    <row r="659" spans="1:3">
      <c r="A659">
        <v>658</v>
      </c>
      <c r="B659">
        <v>1.9719</v>
      </c>
      <c r="C659">
        <v>2.6173999999999999</v>
      </c>
    </row>
    <row r="660" spans="1:3">
      <c r="A660">
        <v>659</v>
      </c>
      <c r="B660">
        <v>1.9719</v>
      </c>
      <c r="C660">
        <v>2.6173999999999999</v>
      </c>
    </row>
    <row r="661" spans="1:3">
      <c r="A661">
        <v>660</v>
      </c>
      <c r="B661">
        <v>1.9719</v>
      </c>
      <c r="C661">
        <v>2.6173999999999999</v>
      </c>
    </row>
    <row r="662" spans="1:3">
      <c r="A662">
        <v>661</v>
      </c>
      <c r="B662">
        <v>1.9719</v>
      </c>
      <c r="C662">
        <v>2.6173999999999999</v>
      </c>
    </row>
    <row r="663" spans="1:3">
      <c r="A663">
        <v>662</v>
      </c>
      <c r="B663">
        <v>1.9719</v>
      </c>
      <c r="C663">
        <v>2.6173999999999999</v>
      </c>
    </row>
    <row r="664" spans="1:3">
      <c r="A664">
        <v>663</v>
      </c>
      <c r="B664">
        <v>1.9719</v>
      </c>
      <c r="C664">
        <v>2.6173999999999999</v>
      </c>
    </row>
    <row r="665" spans="1:3">
      <c r="A665">
        <v>664</v>
      </c>
      <c r="B665">
        <v>1.9719</v>
      </c>
      <c r="C665">
        <v>2.6173999999999999</v>
      </c>
    </row>
    <row r="666" spans="1:3">
      <c r="A666">
        <v>665</v>
      </c>
      <c r="B666">
        <v>1.9719</v>
      </c>
      <c r="C666">
        <v>2.6173999999999999</v>
      </c>
    </row>
    <row r="667" spans="1:3">
      <c r="A667">
        <v>666</v>
      </c>
      <c r="B667">
        <v>1.9719</v>
      </c>
      <c r="C667">
        <v>2.6173999999999999</v>
      </c>
    </row>
    <row r="668" spans="1:3">
      <c r="A668">
        <v>667</v>
      </c>
      <c r="B668">
        <v>1.9719</v>
      </c>
      <c r="C668">
        <v>2.6173999999999999</v>
      </c>
    </row>
    <row r="669" spans="1:3">
      <c r="A669">
        <v>668</v>
      </c>
      <c r="B669">
        <v>1.9719</v>
      </c>
      <c r="C669">
        <v>2.6173999999999999</v>
      </c>
    </row>
    <row r="670" spans="1:3">
      <c r="A670">
        <v>669</v>
      </c>
      <c r="B670">
        <v>1.9719</v>
      </c>
      <c r="C670">
        <v>2.6173999999999999</v>
      </c>
    </row>
    <row r="671" spans="1:3">
      <c r="A671">
        <v>670</v>
      </c>
      <c r="B671">
        <v>1.9719</v>
      </c>
      <c r="C671">
        <v>2.6173999999999999</v>
      </c>
    </row>
    <row r="672" spans="1:3">
      <c r="A672">
        <v>671</v>
      </c>
      <c r="B672">
        <v>1.9719</v>
      </c>
      <c r="C672">
        <v>2.6173999999999999</v>
      </c>
    </row>
    <row r="673" spans="1:3">
      <c r="A673">
        <v>672</v>
      </c>
      <c r="B673">
        <v>1.9719</v>
      </c>
      <c r="C673">
        <v>2.6173999999999999</v>
      </c>
    </row>
    <row r="674" spans="1:3">
      <c r="A674">
        <v>673</v>
      </c>
      <c r="B674">
        <v>1.9719</v>
      </c>
      <c r="C674">
        <v>2.6173999999999999</v>
      </c>
    </row>
    <row r="675" spans="1:3">
      <c r="A675">
        <v>674</v>
      </c>
      <c r="B675">
        <v>1.9719</v>
      </c>
      <c r="C675">
        <v>2.6173999999999999</v>
      </c>
    </row>
    <row r="676" spans="1:3">
      <c r="A676">
        <v>675</v>
      </c>
      <c r="B676">
        <v>1.9719</v>
      </c>
      <c r="C676">
        <v>2.6173999999999999</v>
      </c>
    </row>
    <row r="677" spans="1:3">
      <c r="A677">
        <v>676</v>
      </c>
      <c r="B677">
        <v>1.9719</v>
      </c>
      <c r="C677">
        <v>2.6173999999999999</v>
      </c>
    </row>
    <row r="678" spans="1:3">
      <c r="A678">
        <v>677</v>
      </c>
      <c r="B678">
        <v>1.9719</v>
      </c>
      <c r="C678">
        <v>2.6173999999999999</v>
      </c>
    </row>
    <row r="679" spans="1:3">
      <c r="A679">
        <v>678</v>
      </c>
      <c r="B679">
        <v>1.9719</v>
      </c>
      <c r="C679">
        <v>2.6173999999999999</v>
      </c>
    </row>
    <row r="680" spans="1:3">
      <c r="A680">
        <v>679</v>
      </c>
      <c r="B680">
        <v>1.9719</v>
      </c>
      <c r="C680">
        <v>2.6173999999999999</v>
      </c>
    </row>
    <row r="681" spans="1:3">
      <c r="A681">
        <v>680</v>
      </c>
      <c r="B681">
        <v>1.9719</v>
      </c>
      <c r="C681">
        <v>2.6173999999999999</v>
      </c>
    </row>
    <row r="682" spans="1:3">
      <c r="A682">
        <v>681</v>
      </c>
      <c r="B682">
        <v>1.9719</v>
      </c>
      <c r="C682">
        <v>2.6173999999999999</v>
      </c>
    </row>
    <row r="683" spans="1:3">
      <c r="A683">
        <v>682</v>
      </c>
      <c r="B683">
        <v>1.9719</v>
      </c>
      <c r="C683">
        <v>2.6173999999999999</v>
      </c>
    </row>
    <row r="684" spans="1:3">
      <c r="A684">
        <v>683</v>
      </c>
      <c r="B684">
        <v>1.9719</v>
      </c>
      <c r="C684">
        <v>2.6173999999999999</v>
      </c>
    </row>
    <row r="685" spans="1:3">
      <c r="A685">
        <v>684</v>
      </c>
      <c r="B685">
        <v>1.9719</v>
      </c>
      <c r="C685">
        <v>2.6173999999999999</v>
      </c>
    </row>
    <row r="686" spans="1:3">
      <c r="A686">
        <v>685</v>
      </c>
      <c r="B686">
        <v>1.9719</v>
      </c>
      <c r="C686">
        <v>2.6173999999999999</v>
      </c>
    </row>
    <row r="687" spans="1:3">
      <c r="A687">
        <v>686</v>
      </c>
      <c r="B687">
        <v>1.9719</v>
      </c>
      <c r="C687">
        <v>2.6173999999999999</v>
      </c>
    </row>
    <row r="688" spans="1:3">
      <c r="A688">
        <v>687</v>
      </c>
      <c r="B688">
        <v>1.9719</v>
      </c>
      <c r="C688">
        <v>2.6173999999999999</v>
      </c>
    </row>
    <row r="689" spans="1:3">
      <c r="A689">
        <v>688</v>
      </c>
      <c r="B689">
        <v>1.9719</v>
      </c>
      <c r="C689">
        <v>2.6173999999999999</v>
      </c>
    </row>
    <row r="690" spans="1:3">
      <c r="A690">
        <v>689</v>
      </c>
      <c r="B690">
        <v>1.9719</v>
      </c>
      <c r="C690">
        <v>2.6173999999999999</v>
      </c>
    </row>
    <row r="691" spans="1:3">
      <c r="A691">
        <v>690</v>
      </c>
      <c r="B691">
        <v>1.9719</v>
      </c>
      <c r="C691">
        <v>2.6173999999999999</v>
      </c>
    </row>
    <row r="692" spans="1:3">
      <c r="A692">
        <v>691</v>
      </c>
      <c r="B692">
        <v>1.9719</v>
      </c>
      <c r="C692">
        <v>2.6173999999999999</v>
      </c>
    </row>
    <row r="693" spans="1:3">
      <c r="A693">
        <v>692</v>
      </c>
      <c r="B693">
        <v>1.9719</v>
      </c>
      <c r="C693">
        <v>2.6173999999999999</v>
      </c>
    </row>
    <row r="694" spans="1:3">
      <c r="A694">
        <v>693</v>
      </c>
      <c r="B694">
        <v>1.9719</v>
      </c>
      <c r="C694">
        <v>2.6173999999999999</v>
      </c>
    </row>
    <row r="695" spans="1:3">
      <c r="A695">
        <v>694</v>
      </c>
      <c r="B695">
        <v>1.9719</v>
      </c>
      <c r="C695">
        <v>2.6173999999999999</v>
      </c>
    </row>
    <row r="696" spans="1:3">
      <c r="A696">
        <v>695</v>
      </c>
      <c r="B696">
        <v>1.9719</v>
      </c>
      <c r="C696">
        <v>2.6173999999999999</v>
      </c>
    </row>
    <row r="697" spans="1:3">
      <c r="A697">
        <v>696</v>
      </c>
      <c r="B697">
        <v>1.9719</v>
      </c>
      <c r="C697">
        <v>2.6173999999999999</v>
      </c>
    </row>
    <row r="698" spans="1:3">
      <c r="A698">
        <v>697</v>
      </c>
      <c r="B698">
        <v>1.9719</v>
      </c>
      <c r="C698">
        <v>2.6173999999999999</v>
      </c>
    </row>
    <row r="699" spans="1:3">
      <c r="A699">
        <v>698</v>
      </c>
      <c r="B699">
        <v>1.9719</v>
      </c>
      <c r="C699">
        <v>2.6173999999999999</v>
      </c>
    </row>
    <row r="700" spans="1:3">
      <c r="A700">
        <v>699</v>
      </c>
      <c r="B700">
        <v>1.9719</v>
      </c>
      <c r="C700">
        <v>2.6173999999999999</v>
      </c>
    </row>
    <row r="701" spans="1:3">
      <c r="A701">
        <v>700</v>
      </c>
      <c r="B701">
        <v>1.9719</v>
      </c>
      <c r="C701">
        <v>2.6173999999999999</v>
      </c>
    </row>
    <row r="702" spans="1:3">
      <c r="A702">
        <v>701</v>
      </c>
      <c r="B702">
        <v>1.9719</v>
      </c>
      <c r="C702">
        <v>2.6173999999999999</v>
      </c>
    </row>
    <row r="703" spans="1:3">
      <c r="A703">
        <v>702</v>
      </c>
      <c r="B703">
        <v>1.9719</v>
      </c>
      <c r="C703">
        <v>2.6173999999999999</v>
      </c>
    </row>
    <row r="704" spans="1:3">
      <c r="A704">
        <v>703</v>
      </c>
      <c r="B704">
        <v>1.9719</v>
      </c>
      <c r="C704">
        <v>2.6173999999999999</v>
      </c>
    </row>
    <row r="705" spans="1:3">
      <c r="A705">
        <v>704</v>
      </c>
      <c r="B705">
        <v>1.9719</v>
      </c>
      <c r="C705">
        <v>2.6173999999999999</v>
      </c>
    </row>
    <row r="706" spans="1:3">
      <c r="A706">
        <v>705</v>
      </c>
      <c r="B706">
        <v>1.9719</v>
      </c>
      <c r="C706">
        <v>2.6173999999999999</v>
      </c>
    </row>
    <row r="707" spans="1:3">
      <c r="A707">
        <v>706</v>
      </c>
      <c r="B707">
        <v>1.9719</v>
      </c>
      <c r="C707">
        <v>2.6173999999999999</v>
      </c>
    </row>
    <row r="708" spans="1:3">
      <c r="A708">
        <v>707</v>
      </c>
      <c r="B708">
        <v>1.9719</v>
      </c>
      <c r="C708">
        <v>2.6173999999999999</v>
      </c>
    </row>
    <row r="709" spans="1:3">
      <c r="A709">
        <v>708</v>
      </c>
      <c r="B709">
        <v>1.9719</v>
      </c>
      <c r="C709">
        <v>2.6173999999999999</v>
      </c>
    </row>
    <row r="710" spans="1:3">
      <c r="A710">
        <v>709</v>
      </c>
      <c r="B710">
        <v>1.9719</v>
      </c>
      <c r="C710">
        <v>2.6173999999999999</v>
      </c>
    </row>
    <row r="711" spans="1:3">
      <c r="A711">
        <v>710</v>
      </c>
      <c r="B711">
        <v>1.9719</v>
      </c>
      <c r="C711">
        <v>2.6173999999999999</v>
      </c>
    </row>
    <row r="712" spans="1:3">
      <c r="A712">
        <v>711</v>
      </c>
      <c r="B712">
        <v>1.9719</v>
      </c>
      <c r="C712">
        <v>2.6173999999999999</v>
      </c>
    </row>
    <row r="713" spans="1:3">
      <c r="A713">
        <v>712</v>
      </c>
      <c r="B713">
        <v>1.9719</v>
      </c>
      <c r="C713">
        <v>2.6173999999999999</v>
      </c>
    </row>
    <row r="714" spans="1:3">
      <c r="A714">
        <v>713</v>
      </c>
      <c r="B714">
        <v>1.9719</v>
      </c>
      <c r="C714">
        <v>2.6173999999999999</v>
      </c>
    </row>
    <row r="715" spans="1:3">
      <c r="A715">
        <v>714</v>
      </c>
      <c r="B715">
        <v>1.9719</v>
      </c>
      <c r="C715">
        <v>2.6173999999999999</v>
      </c>
    </row>
    <row r="716" spans="1:3">
      <c r="A716">
        <v>715</v>
      </c>
      <c r="B716">
        <v>1.9719</v>
      </c>
      <c r="C716">
        <v>2.6173999999999999</v>
      </c>
    </row>
    <row r="717" spans="1:3">
      <c r="A717">
        <v>716</v>
      </c>
      <c r="B717">
        <v>1.9719</v>
      </c>
      <c r="C717">
        <v>2.6173999999999999</v>
      </c>
    </row>
    <row r="718" spans="1:3">
      <c r="A718">
        <v>717</v>
      </c>
      <c r="B718">
        <v>1.9719</v>
      </c>
      <c r="C718">
        <v>2.6173999999999999</v>
      </c>
    </row>
    <row r="719" spans="1:3">
      <c r="A719">
        <v>718</v>
      </c>
      <c r="B719">
        <v>1.9719</v>
      </c>
      <c r="C719">
        <v>2.6173999999999999</v>
      </c>
    </row>
    <row r="720" spans="1:3">
      <c r="A720">
        <v>719</v>
      </c>
      <c r="B720">
        <v>1.9719</v>
      </c>
      <c r="C720">
        <v>2.6173999999999999</v>
      </c>
    </row>
    <row r="721" spans="1:3">
      <c r="A721">
        <v>720</v>
      </c>
      <c r="B721">
        <v>1.9719</v>
      </c>
      <c r="C721">
        <v>2.6173999999999999</v>
      </c>
    </row>
    <row r="722" spans="1:3">
      <c r="A722">
        <v>721</v>
      </c>
      <c r="B722">
        <v>1.9719</v>
      </c>
      <c r="C722">
        <v>2.6173999999999999</v>
      </c>
    </row>
    <row r="723" spans="1:3">
      <c r="A723">
        <v>722</v>
      </c>
      <c r="B723">
        <v>1.9719</v>
      </c>
      <c r="C723">
        <v>2.6173999999999999</v>
      </c>
    </row>
    <row r="724" spans="1:3">
      <c r="A724">
        <v>723</v>
      </c>
      <c r="B724">
        <v>1.9719</v>
      </c>
      <c r="C724">
        <v>2.6173999999999999</v>
      </c>
    </row>
    <row r="725" spans="1:3">
      <c r="A725">
        <v>724</v>
      </c>
      <c r="B725">
        <v>1.9719</v>
      </c>
      <c r="C725">
        <v>2.6173999999999999</v>
      </c>
    </row>
    <row r="726" spans="1:3">
      <c r="A726">
        <v>725</v>
      </c>
      <c r="B726">
        <v>1.9719</v>
      </c>
      <c r="C726">
        <v>2.6173999999999999</v>
      </c>
    </row>
    <row r="727" spans="1:3">
      <c r="A727">
        <v>726</v>
      </c>
      <c r="B727">
        <v>1.9719</v>
      </c>
      <c r="C727">
        <v>2.6173999999999999</v>
      </c>
    </row>
    <row r="728" spans="1:3">
      <c r="A728">
        <v>727</v>
      </c>
      <c r="B728">
        <v>1.9719</v>
      </c>
      <c r="C728">
        <v>2.6173999999999999</v>
      </c>
    </row>
    <row r="729" spans="1:3">
      <c r="A729">
        <v>728</v>
      </c>
      <c r="B729">
        <v>1.9719</v>
      </c>
      <c r="C729">
        <v>2.6173999999999999</v>
      </c>
    </row>
    <row r="730" spans="1:3">
      <c r="A730">
        <v>729</v>
      </c>
      <c r="B730">
        <v>1.9719</v>
      </c>
      <c r="C730">
        <v>2.6173999999999999</v>
      </c>
    </row>
    <row r="731" spans="1:3">
      <c r="A731">
        <v>730</v>
      </c>
      <c r="B731">
        <v>1.9719</v>
      </c>
      <c r="C731">
        <v>2.6173999999999999</v>
      </c>
    </row>
    <row r="732" spans="1:3">
      <c r="A732">
        <v>731</v>
      </c>
      <c r="B732">
        <v>1.9719</v>
      </c>
      <c r="C732">
        <v>2.6173999999999999</v>
      </c>
    </row>
    <row r="733" spans="1:3">
      <c r="A733">
        <v>732</v>
      </c>
      <c r="B733">
        <v>1.9719</v>
      </c>
      <c r="C733">
        <v>2.6173999999999999</v>
      </c>
    </row>
    <row r="734" spans="1:3">
      <c r="A734">
        <v>733</v>
      </c>
      <c r="B734">
        <v>1.9719</v>
      </c>
      <c r="C734">
        <v>2.6173999999999999</v>
      </c>
    </row>
    <row r="735" spans="1:3">
      <c r="A735">
        <v>734</v>
      </c>
      <c r="B735">
        <v>1.9719</v>
      </c>
      <c r="C735">
        <v>2.6173999999999999</v>
      </c>
    </row>
    <row r="736" spans="1:3">
      <c r="A736">
        <v>735</v>
      </c>
      <c r="B736">
        <v>1.9719</v>
      </c>
      <c r="C736">
        <v>2.6173999999999999</v>
      </c>
    </row>
    <row r="737" spans="1:3">
      <c r="A737">
        <v>736</v>
      </c>
      <c r="B737">
        <v>1.9719</v>
      </c>
      <c r="C737">
        <v>2.6173999999999999</v>
      </c>
    </row>
    <row r="738" spans="1:3">
      <c r="A738">
        <v>737</v>
      </c>
      <c r="B738">
        <v>1.9719</v>
      </c>
      <c r="C738">
        <v>2.6173999999999999</v>
      </c>
    </row>
    <row r="739" spans="1:3">
      <c r="A739">
        <v>738</v>
      </c>
      <c r="B739">
        <v>1.9719</v>
      </c>
      <c r="C739">
        <v>2.6173999999999999</v>
      </c>
    </row>
    <row r="740" spans="1:3">
      <c r="A740">
        <v>739</v>
      </c>
      <c r="B740">
        <v>1.9719</v>
      </c>
      <c r="C740">
        <v>2.6173999999999999</v>
      </c>
    </row>
    <row r="741" spans="1:3">
      <c r="A741">
        <v>740</v>
      </c>
      <c r="B741">
        <v>1.9719</v>
      </c>
      <c r="C741">
        <v>2.6173999999999999</v>
      </c>
    </row>
    <row r="742" spans="1:3">
      <c r="A742">
        <v>741</v>
      </c>
      <c r="B742">
        <v>1.9719</v>
      </c>
      <c r="C742">
        <v>2.6173999999999999</v>
      </c>
    </row>
    <row r="743" spans="1:3">
      <c r="A743">
        <v>742</v>
      </c>
      <c r="B743">
        <v>1.9719</v>
      </c>
      <c r="C743">
        <v>2.6173999999999999</v>
      </c>
    </row>
    <row r="744" spans="1:3">
      <c r="A744">
        <v>743</v>
      </c>
      <c r="B744">
        <v>1.9719</v>
      </c>
      <c r="C744">
        <v>2.6173999999999999</v>
      </c>
    </row>
    <row r="745" spans="1:3">
      <c r="A745">
        <v>744</v>
      </c>
      <c r="B745">
        <v>1.9719</v>
      </c>
      <c r="C745">
        <v>2.6173999999999999</v>
      </c>
    </row>
    <row r="746" spans="1:3">
      <c r="A746">
        <v>745</v>
      </c>
      <c r="B746">
        <v>1.9719</v>
      </c>
      <c r="C746">
        <v>2.6173999999999999</v>
      </c>
    </row>
    <row r="747" spans="1:3">
      <c r="A747">
        <v>746</v>
      </c>
      <c r="B747">
        <v>1.9719</v>
      </c>
      <c r="C747">
        <v>2.6173999999999999</v>
      </c>
    </row>
    <row r="748" spans="1:3">
      <c r="A748">
        <v>747</v>
      </c>
      <c r="B748">
        <v>1.9719</v>
      </c>
      <c r="C748">
        <v>2.6173999999999999</v>
      </c>
    </row>
    <row r="749" spans="1:3">
      <c r="A749">
        <v>748</v>
      </c>
      <c r="B749">
        <v>1.9719</v>
      </c>
      <c r="C749">
        <v>2.6173999999999999</v>
      </c>
    </row>
    <row r="750" spans="1:3">
      <c r="A750">
        <v>749</v>
      </c>
      <c r="B750">
        <v>1.9719</v>
      </c>
      <c r="C750">
        <v>2.6173999999999999</v>
      </c>
    </row>
    <row r="751" spans="1:3">
      <c r="A751">
        <v>750</v>
      </c>
      <c r="B751">
        <v>1.9719</v>
      </c>
      <c r="C751">
        <v>2.6173999999999999</v>
      </c>
    </row>
    <row r="752" spans="1:3">
      <c r="A752">
        <v>751</v>
      </c>
      <c r="B752">
        <v>1.9719</v>
      </c>
      <c r="C752">
        <v>2.6173999999999999</v>
      </c>
    </row>
    <row r="753" spans="1:3">
      <c r="A753">
        <v>752</v>
      </c>
      <c r="B753">
        <v>1.9719</v>
      </c>
      <c r="C753">
        <v>2.6173999999999999</v>
      </c>
    </row>
    <row r="754" spans="1:3">
      <c r="A754">
        <v>753</v>
      </c>
      <c r="B754">
        <v>1.9719</v>
      </c>
      <c r="C754">
        <v>2.6173999999999999</v>
      </c>
    </row>
    <row r="755" spans="1:3">
      <c r="A755">
        <v>754</v>
      </c>
      <c r="B755">
        <v>1.9719</v>
      </c>
      <c r="C755">
        <v>2.6173999999999999</v>
      </c>
    </row>
    <row r="756" spans="1:3">
      <c r="A756">
        <v>755</v>
      </c>
      <c r="B756">
        <v>1.9719</v>
      </c>
      <c r="C756">
        <v>2.6173999999999999</v>
      </c>
    </row>
    <row r="757" spans="1:3">
      <c r="A757">
        <v>756</v>
      </c>
      <c r="B757">
        <v>1.9719</v>
      </c>
      <c r="C757">
        <v>2.6173999999999999</v>
      </c>
    </row>
    <row r="758" spans="1:3">
      <c r="A758">
        <v>757</v>
      </c>
      <c r="B758">
        <v>1.9719</v>
      </c>
      <c r="C758">
        <v>2.6173999999999999</v>
      </c>
    </row>
    <row r="759" spans="1:3">
      <c r="A759">
        <v>758</v>
      </c>
      <c r="B759">
        <v>1.9719</v>
      </c>
      <c r="C759">
        <v>2.6173999999999999</v>
      </c>
    </row>
    <row r="760" spans="1:3">
      <c r="A760">
        <v>759</v>
      </c>
      <c r="B760">
        <v>1.9719</v>
      </c>
      <c r="C760">
        <v>2.6173999999999999</v>
      </c>
    </row>
    <row r="761" spans="1:3">
      <c r="A761">
        <v>760</v>
      </c>
      <c r="B761">
        <v>1.9719</v>
      </c>
      <c r="C761">
        <v>2.6173999999999999</v>
      </c>
    </row>
    <row r="762" spans="1:3">
      <c r="A762">
        <v>761</v>
      </c>
      <c r="B762">
        <v>1.9719</v>
      </c>
      <c r="C762">
        <v>2.6173999999999999</v>
      </c>
    </row>
    <row r="763" spans="1:3">
      <c r="A763">
        <v>762</v>
      </c>
      <c r="B763">
        <v>1.9719</v>
      </c>
      <c r="C763">
        <v>2.6173999999999999</v>
      </c>
    </row>
    <row r="764" spans="1:3">
      <c r="A764">
        <v>763</v>
      </c>
      <c r="B764">
        <v>1.9719</v>
      </c>
      <c r="C764">
        <v>2.6173999999999999</v>
      </c>
    </row>
    <row r="765" spans="1:3">
      <c r="A765">
        <v>764</v>
      </c>
      <c r="B765">
        <v>1.9719</v>
      </c>
      <c r="C765">
        <v>2.6173999999999999</v>
      </c>
    </row>
    <row r="766" spans="1:3">
      <c r="A766">
        <v>765</v>
      </c>
      <c r="B766">
        <v>1.9719</v>
      </c>
      <c r="C766">
        <v>2.6173999999999999</v>
      </c>
    </row>
    <row r="767" spans="1:3">
      <c r="A767">
        <v>766</v>
      </c>
      <c r="B767">
        <v>1.9719</v>
      </c>
      <c r="C767">
        <v>2.6173999999999999</v>
      </c>
    </row>
    <row r="768" spans="1:3">
      <c r="A768">
        <v>767</v>
      </c>
      <c r="B768">
        <v>1.9719</v>
      </c>
      <c r="C768">
        <v>2.6173999999999999</v>
      </c>
    </row>
    <row r="769" spans="1:3">
      <c r="A769">
        <v>768</v>
      </c>
      <c r="B769">
        <v>1.9719</v>
      </c>
      <c r="C769">
        <v>2.6173999999999999</v>
      </c>
    </row>
    <row r="770" spans="1:3">
      <c r="A770">
        <v>769</v>
      </c>
      <c r="B770">
        <v>1.9719</v>
      </c>
      <c r="C770">
        <v>2.6173999999999999</v>
      </c>
    </row>
    <row r="771" spans="1:3">
      <c r="A771">
        <v>770</v>
      </c>
      <c r="B771">
        <v>1.9719</v>
      </c>
      <c r="C771">
        <v>2.6173999999999999</v>
      </c>
    </row>
    <row r="772" spans="1:3">
      <c r="A772">
        <v>771</v>
      </c>
      <c r="B772">
        <v>1.9719</v>
      </c>
      <c r="C772">
        <v>2.6173999999999999</v>
      </c>
    </row>
    <row r="773" spans="1:3">
      <c r="A773">
        <v>772</v>
      </c>
      <c r="B773">
        <v>1.9719</v>
      </c>
      <c r="C773">
        <v>2.6173999999999999</v>
      </c>
    </row>
    <row r="774" spans="1:3">
      <c r="A774">
        <v>773</v>
      </c>
      <c r="B774">
        <v>1.9719</v>
      </c>
      <c r="C774">
        <v>2.6173999999999999</v>
      </c>
    </row>
    <row r="775" spans="1:3">
      <c r="A775">
        <v>774</v>
      </c>
      <c r="B775">
        <v>1.9719</v>
      </c>
      <c r="C775">
        <v>2.6173999999999999</v>
      </c>
    </row>
    <row r="776" spans="1:3">
      <c r="A776">
        <v>775</v>
      </c>
      <c r="B776">
        <v>1.9719</v>
      </c>
      <c r="C776">
        <v>2.6173999999999999</v>
      </c>
    </row>
    <row r="777" spans="1:3">
      <c r="A777">
        <v>776</v>
      </c>
      <c r="B777">
        <v>1.9719</v>
      </c>
      <c r="C777">
        <v>2.6173999999999999</v>
      </c>
    </row>
    <row r="778" spans="1:3">
      <c r="A778">
        <v>777</v>
      </c>
      <c r="B778">
        <v>1.9719</v>
      </c>
      <c r="C778">
        <v>2.6173999999999999</v>
      </c>
    </row>
    <row r="779" spans="1:3">
      <c r="A779">
        <v>778</v>
      </c>
      <c r="B779">
        <v>1.9719</v>
      </c>
      <c r="C779">
        <v>2.6173999999999999</v>
      </c>
    </row>
    <row r="780" spans="1:3">
      <c r="A780">
        <v>779</v>
      </c>
      <c r="B780">
        <v>1.9719</v>
      </c>
      <c r="C780">
        <v>2.6173999999999999</v>
      </c>
    </row>
    <row r="781" spans="1:3">
      <c r="A781">
        <v>780</v>
      </c>
      <c r="B781">
        <v>1.9719</v>
      </c>
      <c r="C781">
        <v>2.6173999999999999</v>
      </c>
    </row>
    <row r="782" spans="1:3">
      <c r="A782">
        <v>781</v>
      </c>
      <c r="B782">
        <v>1.9719</v>
      </c>
      <c r="C782">
        <v>2.6173999999999999</v>
      </c>
    </row>
    <row r="783" spans="1:3">
      <c r="A783">
        <v>782</v>
      </c>
      <c r="B783">
        <v>1.9719</v>
      </c>
      <c r="C783">
        <v>2.6173999999999999</v>
      </c>
    </row>
    <row r="784" spans="1:3">
      <c r="A784">
        <v>783</v>
      </c>
      <c r="B784">
        <v>1.9719</v>
      </c>
      <c r="C784">
        <v>2.6173999999999999</v>
      </c>
    </row>
    <row r="785" spans="1:3">
      <c r="A785">
        <v>784</v>
      </c>
      <c r="B785">
        <v>1.9719</v>
      </c>
      <c r="C785">
        <v>2.6173999999999999</v>
      </c>
    </row>
    <row r="786" spans="1:3">
      <c r="A786">
        <v>785</v>
      </c>
      <c r="B786">
        <v>1.9719</v>
      </c>
      <c r="C786">
        <v>2.6173999999999999</v>
      </c>
    </row>
    <row r="787" spans="1:3">
      <c r="A787">
        <v>786</v>
      </c>
      <c r="B787">
        <v>1.9719</v>
      </c>
      <c r="C787">
        <v>2.6173999999999999</v>
      </c>
    </row>
    <row r="788" spans="1:3">
      <c r="A788">
        <v>787</v>
      </c>
      <c r="B788">
        <v>1.9719</v>
      </c>
      <c r="C788">
        <v>2.6173999999999999</v>
      </c>
    </row>
    <row r="789" spans="1:3">
      <c r="A789">
        <v>788</v>
      </c>
      <c r="B789">
        <v>1.9719</v>
      </c>
      <c r="C789">
        <v>2.6173999999999999</v>
      </c>
    </row>
    <row r="790" spans="1:3">
      <c r="A790">
        <v>789</v>
      </c>
      <c r="B790">
        <v>1.9719</v>
      </c>
      <c r="C790">
        <v>2.6173999999999999</v>
      </c>
    </row>
    <row r="791" spans="1:3">
      <c r="A791">
        <v>790</v>
      </c>
      <c r="B791">
        <v>1.9719</v>
      </c>
      <c r="C791">
        <v>2.6173999999999999</v>
      </c>
    </row>
    <row r="792" spans="1:3">
      <c r="A792">
        <v>791</v>
      </c>
      <c r="B792">
        <v>1.9719</v>
      </c>
      <c r="C792">
        <v>2.6173999999999999</v>
      </c>
    </row>
    <row r="793" spans="1:3">
      <c r="A793">
        <v>792</v>
      </c>
      <c r="B793">
        <v>1.9719</v>
      </c>
      <c r="C793">
        <v>2.6173999999999999</v>
      </c>
    </row>
    <row r="794" spans="1:3">
      <c r="A794">
        <v>793</v>
      </c>
      <c r="B794">
        <v>1.9719</v>
      </c>
      <c r="C794">
        <v>2.6173999999999999</v>
      </c>
    </row>
    <row r="795" spans="1:3">
      <c r="A795">
        <v>794</v>
      </c>
      <c r="B795">
        <v>1.9719</v>
      </c>
      <c r="C795">
        <v>2.6173999999999999</v>
      </c>
    </row>
    <row r="796" spans="1:3">
      <c r="A796">
        <v>795</v>
      </c>
      <c r="B796">
        <v>1.9719</v>
      </c>
      <c r="C796">
        <v>2.6173999999999999</v>
      </c>
    </row>
    <row r="797" spans="1:3">
      <c r="A797">
        <v>796</v>
      </c>
      <c r="B797">
        <v>1.9719</v>
      </c>
      <c r="C797">
        <v>2.6173999999999999</v>
      </c>
    </row>
    <row r="798" spans="1:3">
      <c r="A798">
        <v>797</v>
      </c>
      <c r="B798">
        <v>1.9719</v>
      </c>
      <c r="C798">
        <v>2.6173999999999999</v>
      </c>
    </row>
    <row r="799" spans="1:3">
      <c r="A799">
        <v>798</v>
      </c>
      <c r="B799">
        <v>1.9719</v>
      </c>
      <c r="C799">
        <v>2.6173999999999999</v>
      </c>
    </row>
    <row r="800" spans="1:3">
      <c r="A800">
        <v>799</v>
      </c>
      <c r="B800">
        <v>1.9719</v>
      </c>
      <c r="C800">
        <v>2.6173999999999999</v>
      </c>
    </row>
    <row r="801" spans="1:3">
      <c r="A801">
        <v>800</v>
      </c>
      <c r="B801">
        <v>1.9719</v>
      </c>
      <c r="C801">
        <v>2.6173999999999999</v>
      </c>
    </row>
    <row r="802" spans="1:3">
      <c r="A802">
        <v>801</v>
      </c>
      <c r="B802">
        <v>1.9719</v>
      </c>
      <c r="C802">
        <v>2.6173999999999999</v>
      </c>
    </row>
    <row r="803" spans="1:3">
      <c r="A803">
        <v>802</v>
      </c>
      <c r="B803">
        <v>1.9719</v>
      </c>
      <c r="C803">
        <v>2.6173999999999999</v>
      </c>
    </row>
    <row r="804" spans="1:3">
      <c r="A804">
        <v>803</v>
      </c>
      <c r="B804">
        <v>1.9719</v>
      </c>
      <c r="C804">
        <v>2.6173999999999999</v>
      </c>
    </row>
    <row r="805" spans="1:3">
      <c r="A805">
        <v>804</v>
      </c>
      <c r="B805">
        <v>1.9719</v>
      </c>
      <c r="C805">
        <v>2.6173999999999999</v>
      </c>
    </row>
    <row r="806" spans="1:3">
      <c r="A806">
        <v>805</v>
      </c>
      <c r="B806">
        <v>1.9719</v>
      </c>
      <c r="C806">
        <v>2.6173999999999999</v>
      </c>
    </row>
    <row r="807" spans="1:3">
      <c r="A807">
        <v>806</v>
      </c>
      <c r="B807">
        <v>1.9719</v>
      </c>
      <c r="C807">
        <v>2.6173999999999999</v>
      </c>
    </row>
    <row r="808" spans="1:3">
      <c r="A808">
        <v>807</v>
      </c>
      <c r="B808">
        <v>1.9719</v>
      </c>
      <c r="C808">
        <v>2.6173999999999999</v>
      </c>
    </row>
    <row r="809" spans="1:3">
      <c r="A809">
        <v>808</v>
      </c>
      <c r="B809">
        <v>1.9719</v>
      </c>
      <c r="C809">
        <v>2.6173999999999999</v>
      </c>
    </row>
    <row r="810" spans="1:3">
      <c r="A810">
        <v>809</v>
      </c>
      <c r="B810">
        <v>1.9719</v>
      </c>
      <c r="C810">
        <v>2.6173999999999999</v>
      </c>
    </row>
    <row r="811" spans="1:3">
      <c r="A811">
        <v>810</v>
      </c>
      <c r="B811">
        <v>1.9719</v>
      </c>
      <c r="C811">
        <v>2.6173999999999999</v>
      </c>
    </row>
    <row r="812" spans="1:3">
      <c r="A812">
        <v>811</v>
      </c>
      <c r="B812">
        <v>1.9719</v>
      </c>
      <c r="C812">
        <v>2.6173999999999999</v>
      </c>
    </row>
    <row r="813" spans="1:3">
      <c r="A813">
        <v>812</v>
      </c>
      <c r="B813">
        <v>1.9719</v>
      </c>
      <c r="C813">
        <v>2.6173999999999999</v>
      </c>
    </row>
    <row r="814" spans="1:3">
      <c r="A814">
        <v>813</v>
      </c>
      <c r="B814">
        <v>1.9719</v>
      </c>
      <c r="C814">
        <v>2.6173999999999999</v>
      </c>
    </row>
    <row r="815" spans="1:3">
      <c r="A815">
        <v>814</v>
      </c>
      <c r="B815">
        <v>1.9719</v>
      </c>
      <c r="C815">
        <v>2.6173999999999999</v>
      </c>
    </row>
    <row r="816" spans="1:3">
      <c r="A816">
        <v>815</v>
      </c>
      <c r="B816">
        <v>1.9719</v>
      </c>
      <c r="C816">
        <v>2.6173999999999999</v>
      </c>
    </row>
    <row r="817" spans="1:3">
      <c r="A817">
        <v>816</v>
      </c>
      <c r="B817">
        <v>1.9719</v>
      </c>
      <c r="C817">
        <v>2.6173999999999999</v>
      </c>
    </row>
    <row r="818" spans="1:3">
      <c r="A818">
        <v>817</v>
      </c>
      <c r="B818">
        <v>1.9719</v>
      </c>
      <c r="C818">
        <v>2.6173999999999999</v>
      </c>
    </row>
    <row r="819" spans="1:3">
      <c r="A819">
        <v>818</v>
      </c>
      <c r="B819">
        <v>1.9719</v>
      </c>
      <c r="C819">
        <v>2.6173999999999999</v>
      </c>
    </row>
    <row r="820" spans="1:3">
      <c r="A820">
        <v>819</v>
      </c>
      <c r="B820">
        <v>1.9719</v>
      </c>
      <c r="C820">
        <v>2.6173999999999999</v>
      </c>
    </row>
    <row r="821" spans="1:3">
      <c r="A821">
        <v>820</v>
      </c>
      <c r="B821">
        <v>1.9719</v>
      </c>
      <c r="C821">
        <v>2.6173999999999999</v>
      </c>
    </row>
    <row r="822" spans="1:3">
      <c r="A822">
        <v>821</v>
      </c>
      <c r="B822">
        <v>1.9719</v>
      </c>
      <c r="C822">
        <v>2.6173999999999999</v>
      </c>
    </row>
    <row r="823" spans="1:3">
      <c r="A823">
        <v>822</v>
      </c>
      <c r="B823">
        <v>1.9719</v>
      </c>
      <c r="C823">
        <v>2.6173999999999999</v>
      </c>
    </row>
    <row r="824" spans="1:3">
      <c r="A824">
        <v>823</v>
      </c>
      <c r="B824">
        <v>1.9719</v>
      </c>
      <c r="C824">
        <v>2.6173999999999999</v>
      </c>
    </row>
    <row r="825" spans="1:3">
      <c r="A825">
        <v>824</v>
      </c>
      <c r="B825">
        <v>1.9719</v>
      </c>
      <c r="C825">
        <v>2.6173999999999999</v>
      </c>
    </row>
    <row r="826" spans="1:3">
      <c r="A826">
        <v>825</v>
      </c>
      <c r="B826">
        <v>1.9719</v>
      </c>
      <c r="C826">
        <v>2.6173999999999999</v>
      </c>
    </row>
    <row r="827" spans="1:3">
      <c r="A827">
        <v>826</v>
      </c>
      <c r="B827">
        <v>1.9719</v>
      </c>
      <c r="C827">
        <v>2.6173999999999999</v>
      </c>
    </row>
    <row r="828" spans="1:3">
      <c r="A828">
        <v>827</v>
      </c>
      <c r="B828">
        <v>1.9719</v>
      </c>
      <c r="C828">
        <v>2.6173999999999999</v>
      </c>
    </row>
    <row r="829" spans="1:3">
      <c r="A829">
        <v>828</v>
      </c>
      <c r="B829">
        <v>1.9719</v>
      </c>
      <c r="C829">
        <v>2.6173999999999999</v>
      </c>
    </row>
    <row r="830" spans="1:3">
      <c r="A830">
        <v>829</v>
      </c>
      <c r="B830">
        <v>1.9719</v>
      </c>
      <c r="C830">
        <v>2.6173999999999999</v>
      </c>
    </row>
    <row r="831" spans="1:3">
      <c r="A831">
        <v>830</v>
      </c>
      <c r="B831">
        <v>1.9719</v>
      </c>
      <c r="C831">
        <v>2.6173999999999999</v>
      </c>
    </row>
    <row r="832" spans="1:3">
      <c r="A832">
        <v>831</v>
      </c>
      <c r="B832">
        <v>1.9719</v>
      </c>
      <c r="C832">
        <v>2.6173999999999999</v>
      </c>
    </row>
    <row r="833" spans="1:3">
      <c r="A833">
        <v>832</v>
      </c>
      <c r="B833">
        <v>1.9719</v>
      </c>
      <c r="C833">
        <v>2.6173999999999999</v>
      </c>
    </row>
    <row r="834" spans="1:3">
      <c r="A834">
        <v>833</v>
      </c>
      <c r="B834">
        <v>1.9719</v>
      </c>
      <c r="C834">
        <v>2.6173999999999999</v>
      </c>
    </row>
    <row r="835" spans="1:3">
      <c r="A835">
        <v>834</v>
      </c>
      <c r="B835">
        <v>1.9719</v>
      </c>
      <c r="C835">
        <v>2.6173999999999999</v>
      </c>
    </row>
    <row r="836" spans="1:3">
      <c r="A836">
        <v>835</v>
      </c>
      <c r="B836">
        <v>1.9719</v>
      </c>
      <c r="C836">
        <v>2.6173999999999999</v>
      </c>
    </row>
    <row r="837" spans="1:3">
      <c r="A837">
        <v>836</v>
      </c>
      <c r="B837">
        <v>1.9719</v>
      </c>
      <c r="C837">
        <v>2.6173999999999999</v>
      </c>
    </row>
    <row r="838" spans="1:3">
      <c r="A838">
        <v>837</v>
      </c>
      <c r="B838">
        <v>1.9719</v>
      </c>
      <c r="C838">
        <v>2.6173999999999999</v>
      </c>
    </row>
    <row r="839" spans="1:3">
      <c r="A839">
        <v>838</v>
      </c>
      <c r="B839">
        <v>1.9719</v>
      </c>
      <c r="C839">
        <v>2.6173999999999999</v>
      </c>
    </row>
    <row r="840" spans="1:3">
      <c r="A840">
        <v>839</v>
      </c>
      <c r="B840">
        <v>1.9719</v>
      </c>
      <c r="C840">
        <v>2.6173999999999999</v>
      </c>
    </row>
    <row r="841" spans="1:3">
      <c r="A841">
        <v>840</v>
      </c>
      <c r="B841">
        <v>1.9719</v>
      </c>
      <c r="C841">
        <v>2.6173999999999999</v>
      </c>
    </row>
    <row r="842" spans="1:3">
      <c r="A842">
        <v>841</v>
      </c>
      <c r="B842">
        <v>1.9719</v>
      </c>
      <c r="C842">
        <v>2.6173999999999999</v>
      </c>
    </row>
    <row r="843" spans="1:3">
      <c r="A843">
        <v>842</v>
      </c>
      <c r="B843">
        <v>1.9719</v>
      </c>
      <c r="C843">
        <v>2.6173999999999999</v>
      </c>
    </row>
    <row r="844" spans="1:3">
      <c r="A844">
        <v>843</v>
      </c>
      <c r="B844">
        <v>1.9719</v>
      </c>
      <c r="C844">
        <v>2.6173999999999999</v>
      </c>
    </row>
    <row r="845" spans="1:3">
      <c r="A845">
        <v>844</v>
      </c>
      <c r="B845">
        <v>1.9719</v>
      </c>
      <c r="C845">
        <v>2.6173999999999999</v>
      </c>
    </row>
    <row r="846" spans="1:3">
      <c r="A846">
        <v>845</v>
      </c>
      <c r="B846">
        <v>1.9719</v>
      </c>
      <c r="C846">
        <v>2.6173999999999999</v>
      </c>
    </row>
    <row r="847" spans="1:3">
      <c r="A847">
        <v>846</v>
      </c>
      <c r="B847">
        <v>1.9719</v>
      </c>
      <c r="C847">
        <v>2.6173999999999999</v>
      </c>
    </row>
    <row r="848" spans="1:3">
      <c r="A848">
        <v>847</v>
      </c>
      <c r="B848">
        <v>1.9719</v>
      </c>
      <c r="C848">
        <v>2.6173999999999999</v>
      </c>
    </row>
    <row r="849" spans="1:3">
      <c r="A849">
        <v>848</v>
      </c>
      <c r="B849">
        <v>1.9719</v>
      </c>
      <c r="C849">
        <v>2.6173999999999999</v>
      </c>
    </row>
    <row r="850" spans="1:3">
      <c r="A850">
        <v>849</v>
      </c>
      <c r="B850">
        <v>1.9719</v>
      </c>
      <c r="C850">
        <v>2.6173999999999999</v>
      </c>
    </row>
    <row r="851" spans="1:3">
      <c r="A851">
        <v>850</v>
      </c>
      <c r="B851">
        <v>1.9719</v>
      </c>
      <c r="C851">
        <v>2.6173999999999999</v>
      </c>
    </row>
    <row r="852" spans="1:3">
      <c r="A852">
        <v>851</v>
      </c>
      <c r="B852">
        <v>1.9719</v>
      </c>
      <c r="C852">
        <v>2.6173999999999999</v>
      </c>
    </row>
    <row r="853" spans="1:3">
      <c r="A853">
        <v>852</v>
      </c>
      <c r="B853">
        <v>1.9719</v>
      </c>
      <c r="C853">
        <v>2.6173999999999999</v>
      </c>
    </row>
    <row r="854" spans="1:3">
      <c r="A854">
        <v>853</v>
      </c>
      <c r="B854">
        <v>1.9719</v>
      </c>
      <c r="C854">
        <v>2.6173999999999999</v>
      </c>
    </row>
    <row r="855" spans="1:3">
      <c r="A855">
        <v>854</v>
      </c>
      <c r="B855">
        <v>1.9719</v>
      </c>
      <c r="C855">
        <v>2.6173999999999999</v>
      </c>
    </row>
    <row r="856" spans="1:3">
      <c r="A856">
        <v>855</v>
      </c>
      <c r="B856">
        <v>1.9719</v>
      </c>
      <c r="C856">
        <v>2.6173999999999999</v>
      </c>
    </row>
    <row r="857" spans="1:3">
      <c r="A857">
        <v>856</v>
      </c>
      <c r="B857">
        <v>1.9719</v>
      </c>
      <c r="C857">
        <v>2.6173999999999999</v>
      </c>
    </row>
    <row r="858" spans="1:3">
      <c r="A858">
        <v>857</v>
      </c>
      <c r="B858">
        <v>1.9719</v>
      </c>
      <c r="C858">
        <v>2.6173999999999999</v>
      </c>
    </row>
    <row r="859" spans="1:3">
      <c r="A859">
        <v>858</v>
      </c>
      <c r="B859">
        <v>1.9719</v>
      </c>
      <c r="C859">
        <v>2.6173999999999999</v>
      </c>
    </row>
    <row r="860" spans="1:3">
      <c r="A860">
        <v>859</v>
      </c>
      <c r="B860">
        <v>1.9719</v>
      </c>
      <c r="C860">
        <v>2.6173999999999999</v>
      </c>
    </row>
    <row r="861" spans="1:3">
      <c r="A861">
        <v>860</v>
      </c>
      <c r="B861">
        <v>1.9719</v>
      </c>
      <c r="C861">
        <v>2.6173999999999999</v>
      </c>
    </row>
    <row r="862" spans="1:3">
      <c r="A862">
        <v>861</v>
      </c>
      <c r="B862">
        <v>1.9719</v>
      </c>
      <c r="C862">
        <v>2.6173999999999999</v>
      </c>
    </row>
    <row r="863" spans="1:3">
      <c r="A863">
        <v>862</v>
      </c>
      <c r="B863">
        <v>1.9719</v>
      </c>
      <c r="C863">
        <v>2.6173999999999999</v>
      </c>
    </row>
    <row r="864" spans="1:3">
      <c r="A864">
        <v>863</v>
      </c>
      <c r="B864">
        <v>1.9719</v>
      </c>
      <c r="C864">
        <v>2.6173999999999999</v>
      </c>
    </row>
    <row r="865" spans="1:3">
      <c r="A865">
        <v>864</v>
      </c>
      <c r="B865">
        <v>1.9719</v>
      </c>
      <c r="C865">
        <v>2.6173999999999999</v>
      </c>
    </row>
    <row r="866" spans="1:3">
      <c r="A866">
        <v>865</v>
      </c>
      <c r="B866">
        <v>1.9719</v>
      </c>
      <c r="C866">
        <v>2.6173999999999999</v>
      </c>
    </row>
    <row r="867" spans="1:3">
      <c r="A867">
        <v>866</v>
      </c>
      <c r="B867">
        <v>1.9719</v>
      </c>
      <c r="C867">
        <v>2.6173999999999999</v>
      </c>
    </row>
    <row r="868" spans="1:3">
      <c r="A868">
        <v>867</v>
      </c>
      <c r="B868">
        <v>1.9719</v>
      </c>
      <c r="C868">
        <v>2.6173999999999999</v>
      </c>
    </row>
    <row r="869" spans="1:3">
      <c r="A869">
        <v>868</v>
      </c>
      <c r="B869">
        <v>1.9719</v>
      </c>
      <c r="C869">
        <v>2.6173999999999999</v>
      </c>
    </row>
    <row r="870" spans="1:3">
      <c r="A870">
        <v>869</v>
      </c>
      <c r="B870">
        <v>1.9719</v>
      </c>
      <c r="C870">
        <v>2.6173999999999999</v>
      </c>
    </row>
    <row r="871" spans="1:3">
      <c r="A871">
        <v>870</v>
      </c>
      <c r="B871">
        <v>1.9719</v>
      </c>
      <c r="C871">
        <v>2.6173999999999999</v>
      </c>
    </row>
    <row r="872" spans="1:3">
      <c r="A872">
        <v>871</v>
      </c>
      <c r="B872">
        <v>1.9719</v>
      </c>
      <c r="C872">
        <v>2.6173999999999999</v>
      </c>
    </row>
    <row r="873" spans="1:3">
      <c r="A873">
        <v>872</v>
      </c>
      <c r="B873">
        <v>1.9719</v>
      </c>
      <c r="C873">
        <v>2.6173999999999999</v>
      </c>
    </row>
    <row r="874" spans="1:3">
      <c r="A874">
        <v>873</v>
      </c>
      <c r="B874">
        <v>1.9719</v>
      </c>
      <c r="C874">
        <v>2.6173999999999999</v>
      </c>
    </row>
    <row r="875" spans="1:3">
      <c r="A875">
        <v>874</v>
      </c>
      <c r="B875">
        <v>1.9719</v>
      </c>
      <c r="C875">
        <v>2.6173999999999999</v>
      </c>
    </row>
    <row r="876" spans="1:3">
      <c r="A876">
        <v>875</v>
      </c>
      <c r="B876">
        <v>1.9719</v>
      </c>
      <c r="C876">
        <v>2.6173999999999999</v>
      </c>
    </row>
    <row r="877" spans="1:3">
      <c r="A877">
        <v>876</v>
      </c>
      <c r="B877">
        <v>1.9719</v>
      </c>
      <c r="C877">
        <v>2.6173999999999999</v>
      </c>
    </row>
    <row r="878" spans="1:3">
      <c r="A878">
        <v>877</v>
      </c>
      <c r="B878">
        <v>1.9719</v>
      </c>
      <c r="C878">
        <v>2.6173999999999999</v>
      </c>
    </row>
    <row r="879" spans="1:3">
      <c r="A879">
        <v>878</v>
      </c>
      <c r="B879">
        <v>1.9719</v>
      </c>
      <c r="C879">
        <v>2.6173999999999999</v>
      </c>
    </row>
    <row r="880" spans="1:3">
      <c r="A880">
        <v>879</v>
      </c>
      <c r="B880">
        <v>1.9719</v>
      </c>
      <c r="C880">
        <v>2.6173999999999999</v>
      </c>
    </row>
    <row r="881" spans="1:3">
      <c r="A881">
        <v>880</v>
      </c>
      <c r="B881">
        <v>1.9719</v>
      </c>
      <c r="C881">
        <v>2.6173999999999999</v>
      </c>
    </row>
    <row r="882" spans="1:3">
      <c r="A882">
        <v>881</v>
      </c>
      <c r="B882">
        <v>1.9719</v>
      </c>
      <c r="C882">
        <v>2.6173999999999999</v>
      </c>
    </row>
    <row r="883" spans="1:3">
      <c r="A883">
        <v>882</v>
      </c>
      <c r="B883">
        <v>1.9719</v>
      </c>
      <c r="C883">
        <v>2.6173999999999999</v>
      </c>
    </row>
    <row r="884" spans="1:3">
      <c r="A884">
        <v>883</v>
      </c>
      <c r="B884">
        <v>1.9719</v>
      </c>
      <c r="C884">
        <v>2.6173999999999999</v>
      </c>
    </row>
    <row r="885" spans="1:3">
      <c r="A885">
        <v>884</v>
      </c>
      <c r="B885">
        <v>1.9719</v>
      </c>
      <c r="C885">
        <v>2.6173999999999999</v>
      </c>
    </row>
    <row r="886" spans="1:3">
      <c r="A886">
        <v>885</v>
      </c>
      <c r="B886">
        <v>1.9719</v>
      </c>
      <c r="C886">
        <v>2.6173999999999999</v>
      </c>
    </row>
    <row r="887" spans="1:3">
      <c r="A887">
        <v>886</v>
      </c>
      <c r="B887">
        <v>1.9719</v>
      </c>
      <c r="C887">
        <v>2.6173999999999999</v>
      </c>
    </row>
    <row r="888" spans="1:3">
      <c r="A888">
        <v>887</v>
      </c>
      <c r="B888">
        <v>1.9719</v>
      </c>
      <c r="C888">
        <v>2.6173999999999999</v>
      </c>
    </row>
    <row r="889" spans="1:3">
      <c r="A889">
        <v>888</v>
      </c>
      <c r="B889">
        <v>1.9719</v>
      </c>
      <c r="C889">
        <v>2.6173999999999999</v>
      </c>
    </row>
    <row r="890" spans="1:3">
      <c r="A890">
        <v>889</v>
      </c>
      <c r="B890">
        <v>1.9719</v>
      </c>
      <c r="C890">
        <v>2.6173999999999999</v>
      </c>
    </row>
    <row r="891" spans="1:3">
      <c r="A891">
        <v>890</v>
      </c>
      <c r="B891">
        <v>1.9719</v>
      </c>
      <c r="C891">
        <v>2.6173999999999999</v>
      </c>
    </row>
    <row r="892" spans="1:3">
      <c r="A892">
        <v>891</v>
      </c>
      <c r="B892">
        <v>1.9719</v>
      </c>
      <c r="C892">
        <v>2.6173999999999999</v>
      </c>
    </row>
    <row r="893" spans="1:3">
      <c r="A893">
        <v>892</v>
      </c>
      <c r="B893">
        <v>1.9719</v>
      </c>
      <c r="C893">
        <v>2.6173999999999999</v>
      </c>
    </row>
    <row r="894" spans="1:3">
      <c r="A894">
        <v>893</v>
      </c>
      <c r="B894">
        <v>1.9719</v>
      </c>
      <c r="C894">
        <v>2.6173999999999999</v>
      </c>
    </row>
    <row r="895" spans="1:3">
      <c r="A895">
        <v>894</v>
      </c>
      <c r="B895">
        <v>1.9719</v>
      </c>
      <c r="C895">
        <v>2.6173999999999999</v>
      </c>
    </row>
    <row r="896" spans="1:3">
      <c r="A896">
        <v>895</v>
      </c>
      <c r="B896">
        <v>1.9719</v>
      </c>
      <c r="C896">
        <v>2.6173999999999999</v>
      </c>
    </row>
    <row r="897" spans="1:3">
      <c r="A897">
        <v>896</v>
      </c>
      <c r="B897">
        <v>1.9719</v>
      </c>
      <c r="C897">
        <v>2.6173999999999999</v>
      </c>
    </row>
    <row r="898" spans="1:3">
      <c r="A898">
        <v>897</v>
      </c>
      <c r="B898">
        <v>1.9719</v>
      </c>
      <c r="C898">
        <v>2.6173999999999999</v>
      </c>
    </row>
    <row r="899" spans="1:3">
      <c r="A899">
        <v>898</v>
      </c>
      <c r="B899">
        <v>1.9719</v>
      </c>
      <c r="C899">
        <v>2.6173999999999999</v>
      </c>
    </row>
    <row r="900" spans="1:3">
      <c r="A900">
        <v>899</v>
      </c>
      <c r="B900">
        <v>1.9719</v>
      </c>
      <c r="C900">
        <v>2.6173999999999999</v>
      </c>
    </row>
    <row r="901" spans="1:3">
      <c r="A901">
        <v>900</v>
      </c>
      <c r="B901">
        <v>1.9719</v>
      </c>
      <c r="C901">
        <v>2.6173999999999999</v>
      </c>
    </row>
    <row r="902" spans="1:3">
      <c r="A902">
        <v>901</v>
      </c>
      <c r="B902">
        <v>1.9719</v>
      </c>
      <c r="C902">
        <v>2.6173999999999999</v>
      </c>
    </row>
    <row r="903" spans="1:3">
      <c r="A903">
        <v>902</v>
      </c>
      <c r="B903">
        <v>1.9719</v>
      </c>
      <c r="C903">
        <v>2.6173999999999999</v>
      </c>
    </row>
    <row r="904" spans="1:3">
      <c r="A904">
        <v>903</v>
      </c>
      <c r="B904">
        <v>1.9719</v>
      </c>
      <c r="C904">
        <v>2.6173999999999999</v>
      </c>
    </row>
    <row r="905" spans="1:3">
      <c r="A905">
        <v>904</v>
      </c>
      <c r="B905">
        <v>1.9719</v>
      </c>
      <c r="C905">
        <v>2.6173999999999999</v>
      </c>
    </row>
    <row r="906" spans="1:3">
      <c r="A906">
        <v>905</v>
      </c>
      <c r="B906">
        <v>1.9719</v>
      </c>
      <c r="C906">
        <v>2.6173999999999999</v>
      </c>
    </row>
    <row r="907" spans="1:3">
      <c r="A907">
        <v>906</v>
      </c>
      <c r="B907">
        <v>1.9719</v>
      </c>
      <c r="C907">
        <v>2.6173999999999999</v>
      </c>
    </row>
    <row r="908" spans="1:3">
      <c r="A908">
        <v>907</v>
      </c>
      <c r="B908">
        <v>1.9719</v>
      </c>
      <c r="C908">
        <v>2.6173999999999999</v>
      </c>
    </row>
    <row r="909" spans="1:3">
      <c r="A909">
        <v>908</v>
      </c>
      <c r="B909">
        <v>1.9719</v>
      </c>
      <c r="C909">
        <v>2.6173999999999999</v>
      </c>
    </row>
    <row r="910" spans="1:3">
      <c r="A910">
        <v>909</v>
      </c>
      <c r="B910">
        <v>1.9719</v>
      </c>
      <c r="C910">
        <v>2.6173999999999999</v>
      </c>
    </row>
    <row r="911" spans="1:3">
      <c r="A911">
        <v>910</v>
      </c>
      <c r="B911">
        <v>1.9719</v>
      </c>
      <c r="C911">
        <v>2.6173999999999999</v>
      </c>
    </row>
    <row r="912" spans="1:3">
      <c r="A912">
        <v>911</v>
      </c>
      <c r="B912">
        <v>1.9719</v>
      </c>
      <c r="C912">
        <v>2.6173999999999999</v>
      </c>
    </row>
    <row r="913" spans="1:3">
      <c r="A913">
        <v>912</v>
      </c>
      <c r="B913">
        <v>1.9719</v>
      </c>
      <c r="C913">
        <v>2.6173999999999999</v>
      </c>
    </row>
    <row r="914" spans="1:3">
      <c r="A914">
        <v>913</v>
      </c>
      <c r="B914">
        <v>1.9719</v>
      </c>
      <c r="C914">
        <v>2.6173999999999999</v>
      </c>
    </row>
    <row r="915" spans="1:3">
      <c r="A915">
        <v>914</v>
      </c>
      <c r="B915">
        <v>1.9719</v>
      </c>
      <c r="C915">
        <v>2.6173999999999999</v>
      </c>
    </row>
    <row r="916" spans="1:3">
      <c r="A916">
        <v>915</v>
      </c>
      <c r="B916">
        <v>1.9719</v>
      </c>
      <c r="C916">
        <v>2.6173999999999999</v>
      </c>
    </row>
    <row r="917" spans="1:3">
      <c r="A917">
        <v>916</v>
      </c>
      <c r="B917">
        <v>1.9719</v>
      </c>
      <c r="C917">
        <v>2.6173999999999999</v>
      </c>
    </row>
    <row r="918" spans="1:3">
      <c r="A918">
        <v>917</v>
      </c>
      <c r="B918">
        <v>1.9719</v>
      </c>
      <c r="C918">
        <v>2.6173999999999999</v>
      </c>
    </row>
    <row r="919" spans="1:3">
      <c r="A919">
        <v>918</v>
      </c>
      <c r="B919">
        <v>1.9719</v>
      </c>
      <c r="C919">
        <v>2.6173999999999999</v>
      </c>
    </row>
    <row r="920" spans="1:3">
      <c r="A920">
        <v>919</v>
      </c>
      <c r="B920">
        <v>1.9719</v>
      </c>
      <c r="C920">
        <v>2.6173999999999999</v>
      </c>
    </row>
    <row r="921" spans="1:3">
      <c r="A921">
        <v>920</v>
      </c>
      <c r="B921">
        <v>1.9719</v>
      </c>
      <c r="C921">
        <v>2.6173999999999999</v>
      </c>
    </row>
    <row r="922" spans="1:3">
      <c r="A922">
        <v>921</v>
      </c>
      <c r="B922">
        <v>1.9719</v>
      </c>
      <c r="C922">
        <v>2.6173999999999999</v>
      </c>
    </row>
    <row r="923" spans="1:3">
      <c r="A923">
        <v>922</v>
      </c>
      <c r="B923">
        <v>1.9719</v>
      </c>
      <c r="C923">
        <v>2.6173999999999999</v>
      </c>
    </row>
    <row r="924" spans="1:3">
      <c r="A924">
        <v>923</v>
      </c>
      <c r="B924">
        <v>1.9719</v>
      </c>
      <c r="C924">
        <v>2.6173999999999999</v>
      </c>
    </row>
    <row r="925" spans="1:3">
      <c r="A925">
        <v>924</v>
      </c>
      <c r="B925">
        <v>1.9719</v>
      </c>
      <c r="C925">
        <v>2.6173999999999999</v>
      </c>
    </row>
    <row r="926" spans="1:3">
      <c r="A926">
        <v>925</v>
      </c>
      <c r="B926">
        <v>1.9719</v>
      </c>
      <c r="C926">
        <v>2.6173999999999999</v>
      </c>
    </row>
    <row r="927" spans="1:3">
      <c r="A927">
        <v>926</v>
      </c>
      <c r="B927">
        <v>1.9719</v>
      </c>
      <c r="C927">
        <v>2.6173999999999999</v>
      </c>
    </row>
    <row r="928" spans="1:3">
      <c r="A928">
        <v>927</v>
      </c>
      <c r="B928">
        <v>1.9719</v>
      </c>
      <c r="C928">
        <v>2.6173999999999999</v>
      </c>
    </row>
    <row r="929" spans="1:3">
      <c r="A929">
        <v>928</v>
      </c>
      <c r="B929">
        <v>1.9719</v>
      </c>
      <c r="C929">
        <v>2.6173999999999999</v>
      </c>
    </row>
    <row r="930" spans="1:3">
      <c r="A930">
        <v>929</v>
      </c>
      <c r="B930">
        <v>1.9719</v>
      </c>
      <c r="C930">
        <v>2.6173999999999999</v>
      </c>
    </row>
    <row r="931" spans="1:3">
      <c r="A931">
        <v>930</v>
      </c>
      <c r="B931">
        <v>1.9719</v>
      </c>
      <c r="C931">
        <v>2.6173999999999999</v>
      </c>
    </row>
    <row r="932" spans="1:3">
      <c r="A932">
        <v>931</v>
      </c>
      <c r="B932">
        <v>1.9719</v>
      </c>
      <c r="C932">
        <v>2.6173999999999999</v>
      </c>
    </row>
    <row r="933" spans="1:3">
      <c r="A933">
        <v>932</v>
      </c>
      <c r="B933">
        <v>1.9719</v>
      </c>
      <c r="C933">
        <v>2.6173999999999999</v>
      </c>
    </row>
    <row r="934" spans="1:3">
      <c r="A934">
        <v>933</v>
      </c>
      <c r="B934">
        <v>1.9719</v>
      </c>
      <c r="C934">
        <v>2.6173999999999999</v>
      </c>
    </row>
    <row r="935" spans="1:3">
      <c r="A935">
        <v>934</v>
      </c>
      <c r="B935">
        <v>1.9719</v>
      </c>
      <c r="C935">
        <v>2.6173999999999999</v>
      </c>
    </row>
    <row r="936" spans="1:3">
      <c r="A936">
        <v>935</v>
      </c>
      <c r="B936">
        <v>1.9719</v>
      </c>
      <c r="C936">
        <v>2.6173999999999999</v>
      </c>
    </row>
    <row r="937" spans="1:3">
      <c r="A937">
        <v>936</v>
      </c>
      <c r="B937">
        <v>1.9719</v>
      </c>
      <c r="C937">
        <v>2.6173999999999999</v>
      </c>
    </row>
    <row r="938" spans="1:3">
      <c r="A938">
        <v>937</v>
      </c>
      <c r="B938">
        <v>1.9719</v>
      </c>
      <c r="C938">
        <v>2.6173999999999999</v>
      </c>
    </row>
    <row r="939" spans="1:3">
      <c r="A939">
        <v>938</v>
      </c>
      <c r="B939">
        <v>1.9719</v>
      </c>
      <c r="C939">
        <v>2.6173999999999999</v>
      </c>
    </row>
    <row r="940" spans="1:3">
      <c r="A940">
        <v>939</v>
      </c>
      <c r="B940">
        <v>1.9719</v>
      </c>
      <c r="C940">
        <v>2.6173999999999999</v>
      </c>
    </row>
    <row r="941" spans="1:3">
      <c r="A941">
        <v>940</v>
      </c>
      <c r="B941">
        <v>1.9719</v>
      </c>
      <c r="C941">
        <v>2.6173999999999999</v>
      </c>
    </row>
    <row r="942" spans="1:3">
      <c r="A942">
        <v>941</v>
      </c>
      <c r="B942">
        <v>1.9719</v>
      </c>
      <c r="C942">
        <v>2.6173999999999999</v>
      </c>
    </row>
    <row r="943" spans="1:3">
      <c r="A943">
        <v>942</v>
      </c>
      <c r="B943">
        <v>1.9719</v>
      </c>
      <c r="C943">
        <v>2.6173999999999999</v>
      </c>
    </row>
    <row r="944" spans="1:3">
      <c r="A944">
        <v>943</v>
      </c>
      <c r="B944">
        <v>1.9719</v>
      </c>
      <c r="C944">
        <v>2.6173999999999999</v>
      </c>
    </row>
    <row r="945" spans="1:3">
      <c r="A945">
        <v>944</v>
      </c>
      <c r="B945">
        <v>1.9719</v>
      </c>
      <c r="C945">
        <v>2.6173999999999999</v>
      </c>
    </row>
    <row r="946" spans="1:3">
      <c r="A946">
        <v>945</v>
      </c>
      <c r="B946">
        <v>1.9719</v>
      </c>
      <c r="C946">
        <v>2.6173999999999999</v>
      </c>
    </row>
    <row r="947" spans="1:3">
      <c r="A947">
        <v>946</v>
      </c>
      <c r="B947">
        <v>1.9719</v>
      </c>
      <c r="C947">
        <v>2.6173999999999999</v>
      </c>
    </row>
    <row r="948" spans="1:3">
      <c r="A948">
        <v>947</v>
      </c>
      <c r="B948">
        <v>1.9719</v>
      </c>
      <c r="C948">
        <v>2.6173999999999999</v>
      </c>
    </row>
    <row r="949" spans="1:3">
      <c r="A949">
        <v>948</v>
      </c>
      <c r="B949">
        <v>1.9719</v>
      </c>
      <c r="C949">
        <v>2.6173999999999999</v>
      </c>
    </row>
    <row r="950" spans="1:3">
      <c r="A950">
        <v>949</v>
      </c>
      <c r="B950">
        <v>1.9719</v>
      </c>
      <c r="C950">
        <v>2.6173999999999999</v>
      </c>
    </row>
    <row r="951" spans="1:3">
      <c r="A951">
        <v>950</v>
      </c>
      <c r="B951">
        <v>1.9719</v>
      </c>
      <c r="C951">
        <v>2.6173999999999999</v>
      </c>
    </row>
    <row r="952" spans="1:3">
      <c r="A952">
        <v>951</v>
      </c>
      <c r="B952">
        <v>1.9719</v>
      </c>
      <c r="C952">
        <v>2.6173999999999999</v>
      </c>
    </row>
    <row r="953" spans="1:3">
      <c r="A953">
        <v>952</v>
      </c>
      <c r="B953">
        <v>1.9719</v>
      </c>
      <c r="C953">
        <v>2.6173999999999999</v>
      </c>
    </row>
    <row r="954" spans="1:3">
      <c r="A954">
        <v>953</v>
      </c>
      <c r="B954">
        <v>1.9719</v>
      </c>
      <c r="C954">
        <v>2.6173999999999999</v>
      </c>
    </row>
    <row r="955" spans="1:3">
      <c r="A955">
        <v>954</v>
      </c>
      <c r="B955">
        <v>1.9719</v>
      </c>
      <c r="C955">
        <v>2.6173999999999999</v>
      </c>
    </row>
    <row r="956" spans="1:3">
      <c r="A956">
        <v>955</v>
      </c>
      <c r="B956">
        <v>1.9719</v>
      </c>
      <c r="C956">
        <v>2.6173999999999999</v>
      </c>
    </row>
    <row r="957" spans="1:3">
      <c r="A957">
        <v>956</v>
      </c>
      <c r="B957">
        <v>1.9719</v>
      </c>
      <c r="C957">
        <v>2.6173999999999999</v>
      </c>
    </row>
    <row r="958" spans="1:3">
      <c r="A958">
        <v>957</v>
      </c>
      <c r="B958">
        <v>1.9719</v>
      </c>
      <c r="C958">
        <v>2.6173999999999999</v>
      </c>
    </row>
    <row r="959" spans="1:3">
      <c r="A959">
        <v>958</v>
      </c>
      <c r="B959">
        <v>1.9719</v>
      </c>
      <c r="C959">
        <v>2.6173999999999999</v>
      </c>
    </row>
    <row r="960" spans="1:3">
      <c r="A960">
        <v>959</v>
      </c>
      <c r="B960">
        <v>1.9719</v>
      </c>
      <c r="C960">
        <v>2.6173999999999999</v>
      </c>
    </row>
    <row r="961" spans="1:3">
      <c r="A961">
        <v>960</v>
      </c>
      <c r="B961">
        <v>1.9719</v>
      </c>
      <c r="C961">
        <v>2.6173999999999999</v>
      </c>
    </row>
    <row r="962" spans="1:3">
      <c r="A962">
        <v>961</v>
      </c>
      <c r="B962">
        <v>1.9719</v>
      </c>
      <c r="C962">
        <v>2.6173999999999999</v>
      </c>
    </row>
    <row r="963" spans="1:3">
      <c r="A963">
        <v>962</v>
      </c>
      <c r="B963">
        <v>1.9719</v>
      </c>
      <c r="C963">
        <v>2.6173999999999999</v>
      </c>
    </row>
    <row r="964" spans="1:3">
      <c r="A964">
        <v>963</v>
      </c>
      <c r="B964">
        <v>1.9719</v>
      </c>
      <c r="C964">
        <v>2.6173999999999999</v>
      </c>
    </row>
    <row r="965" spans="1:3">
      <c r="A965">
        <v>964</v>
      </c>
      <c r="B965">
        <v>1.9719</v>
      </c>
      <c r="C965">
        <v>2.6173999999999999</v>
      </c>
    </row>
    <row r="966" spans="1:3">
      <c r="A966">
        <v>965</v>
      </c>
      <c r="B966">
        <v>1.9719</v>
      </c>
      <c r="C966">
        <v>2.6173999999999999</v>
      </c>
    </row>
    <row r="967" spans="1:3">
      <c r="A967">
        <v>966</v>
      </c>
      <c r="B967">
        <v>1.9719</v>
      </c>
      <c r="C967">
        <v>2.6173999999999999</v>
      </c>
    </row>
    <row r="968" spans="1:3">
      <c r="A968">
        <v>967</v>
      </c>
      <c r="B968">
        <v>1.9719</v>
      </c>
      <c r="C968">
        <v>2.6173999999999999</v>
      </c>
    </row>
    <row r="969" spans="1:3">
      <c r="A969">
        <v>968</v>
      </c>
      <c r="B969">
        <v>1.9719</v>
      </c>
      <c r="C969">
        <v>2.6173999999999999</v>
      </c>
    </row>
    <row r="970" spans="1:3">
      <c r="A970">
        <v>969</v>
      </c>
      <c r="B970">
        <v>1.9719</v>
      </c>
      <c r="C970">
        <v>2.6173999999999999</v>
      </c>
    </row>
    <row r="971" spans="1:3">
      <c r="A971">
        <v>970</v>
      </c>
      <c r="B971">
        <v>1.9719</v>
      </c>
      <c r="C971">
        <v>2.6173999999999999</v>
      </c>
    </row>
    <row r="972" spans="1:3">
      <c r="A972">
        <v>971</v>
      </c>
      <c r="B972">
        <v>1.9719</v>
      </c>
      <c r="C972">
        <v>2.6173999999999999</v>
      </c>
    </row>
    <row r="973" spans="1:3">
      <c r="A973">
        <v>972</v>
      </c>
      <c r="B973">
        <v>1.9719</v>
      </c>
      <c r="C973">
        <v>2.6173999999999999</v>
      </c>
    </row>
    <row r="974" spans="1:3">
      <c r="A974">
        <v>973</v>
      </c>
      <c r="B974">
        <v>1.9719</v>
      </c>
      <c r="C974">
        <v>2.6173999999999999</v>
      </c>
    </row>
    <row r="975" spans="1:3">
      <c r="A975">
        <v>974</v>
      </c>
      <c r="B975">
        <v>1.9719</v>
      </c>
      <c r="C975">
        <v>2.6173999999999999</v>
      </c>
    </row>
    <row r="976" spans="1:3">
      <c r="A976">
        <v>975</v>
      </c>
      <c r="B976">
        <v>1.9719</v>
      </c>
      <c r="C976">
        <v>2.6173999999999999</v>
      </c>
    </row>
    <row r="977" spans="1:3">
      <c r="A977">
        <v>976</v>
      </c>
      <c r="B977">
        <v>1.9719</v>
      </c>
      <c r="C977">
        <v>2.6173999999999999</v>
      </c>
    </row>
    <row r="978" spans="1:3">
      <c r="A978">
        <v>977</v>
      </c>
      <c r="B978">
        <v>1.9719</v>
      </c>
      <c r="C978">
        <v>2.6173999999999999</v>
      </c>
    </row>
    <row r="979" spans="1:3">
      <c r="A979">
        <v>978</v>
      </c>
      <c r="B979">
        <v>1.9719</v>
      </c>
      <c r="C979">
        <v>2.6173999999999999</v>
      </c>
    </row>
    <row r="980" spans="1:3">
      <c r="A980">
        <v>979</v>
      </c>
      <c r="B980">
        <v>1.9719</v>
      </c>
      <c r="C980">
        <v>2.6173999999999999</v>
      </c>
    </row>
    <row r="981" spans="1:3">
      <c r="A981">
        <v>980</v>
      </c>
      <c r="B981">
        <v>1.9719</v>
      </c>
      <c r="C981">
        <v>2.6173999999999999</v>
      </c>
    </row>
    <row r="982" spans="1:3">
      <c r="A982">
        <v>981</v>
      </c>
      <c r="B982">
        <v>1.9719</v>
      </c>
      <c r="C982">
        <v>2.6173999999999999</v>
      </c>
    </row>
    <row r="983" spans="1:3">
      <c r="A983">
        <v>982</v>
      </c>
      <c r="B983">
        <v>1.9719</v>
      </c>
      <c r="C983">
        <v>2.6173999999999999</v>
      </c>
    </row>
    <row r="984" spans="1:3">
      <c r="A984">
        <v>983</v>
      </c>
      <c r="B984">
        <v>1.9719</v>
      </c>
      <c r="C984">
        <v>2.6173999999999999</v>
      </c>
    </row>
    <row r="985" spans="1:3">
      <c r="A985">
        <v>984</v>
      </c>
      <c r="B985">
        <v>1.9719</v>
      </c>
      <c r="C985">
        <v>2.6173999999999999</v>
      </c>
    </row>
    <row r="986" spans="1:3">
      <c r="A986">
        <v>985</v>
      </c>
      <c r="B986">
        <v>1.9719</v>
      </c>
      <c r="C986">
        <v>2.6173999999999999</v>
      </c>
    </row>
    <row r="987" spans="1:3">
      <c r="A987">
        <v>986</v>
      </c>
      <c r="B987">
        <v>1.9719</v>
      </c>
      <c r="C987">
        <v>2.6173999999999999</v>
      </c>
    </row>
    <row r="988" spans="1:3">
      <c r="A988">
        <v>987</v>
      </c>
      <c r="B988">
        <v>1.9719</v>
      </c>
      <c r="C988">
        <v>2.6173999999999999</v>
      </c>
    </row>
    <row r="989" spans="1:3">
      <c r="A989">
        <v>988</v>
      </c>
      <c r="B989">
        <v>1.9719</v>
      </c>
      <c r="C989">
        <v>2.6173999999999999</v>
      </c>
    </row>
    <row r="990" spans="1:3">
      <c r="A990">
        <v>989</v>
      </c>
      <c r="B990">
        <v>1.9719</v>
      </c>
      <c r="C990">
        <v>2.6173999999999999</v>
      </c>
    </row>
    <row r="991" spans="1:3">
      <c r="A991">
        <v>990</v>
      </c>
      <c r="B991">
        <v>1.9719</v>
      </c>
      <c r="C991">
        <v>2.6173999999999999</v>
      </c>
    </row>
    <row r="992" spans="1:3">
      <c r="A992">
        <v>991</v>
      </c>
      <c r="B992">
        <v>1.9719</v>
      </c>
      <c r="C992">
        <v>2.6173999999999999</v>
      </c>
    </row>
    <row r="993" spans="1:3">
      <c r="A993">
        <v>992</v>
      </c>
      <c r="B993">
        <v>1.9719</v>
      </c>
      <c r="C993">
        <v>2.6173999999999999</v>
      </c>
    </row>
    <row r="994" spans="1:3">
      <c r="A994">
        <v>993</v>
      </c>
      <c r="B994">
        <v>1.9719</v>
      </c>
      <c r="C994">
        <v>2.6173999999999999</v>
      </c>
    </row>
    <row r="995" spans="1:3">
      <c r="A995">
        <v>994</v>
      </c>
      <c r="B995">
        <v>1.9719</v>
      </c>
      <c r="C995">
        <v>2.6173999999999999</v>
      </c>
    </row>
    <row r="996" spans="1:3">
      <c r="A996">
        <v>995</v>
      </c>
      <c r="B996">
        <v>1.9719</v>
      </c>
      <c r="C996">
        <v>2.6173999999999999</v>
      </c>
    </row>
    <row r="997" spans="1:3">
      <c r="A997">
        <v>996</v>
      </c>
      <c r="B997">
        <v>1.9719</v>
      </c>
      <c r="C997">
        <v>2.6173999999999999</v>
      </c>
    </row>
    <row r="998" spans="1:3">
      <c r="A998">
        <v>997</v>
      </c>
      <c r="B998">
        <v>1.9719</v>
      </c>
      <c r="C998">
        <v>2.6173999999999999</v>
      </c>
    </row>
    <row r="999" spans="1:3">
      <c r="A999">
        <v>998</v>
      </c>
      <c r="B999">
        <v>1.9719</v>
      </c>
      <c r="C999">
        <v>2.6173999999999999</v>
      </c>
    </row>
    <row r="1000" spans="1:3">
      <c r="A1000">
        <v>999</v>
      </c>
      <c r="B1000">
        <v>1.9719</v>
      </c>
      <c r="C1000">
        <v>2.6173999999999999</v>
      </c>
    </row>
    <row r="1001" spans="1:3">
      <c r="A1001">
        <v>1000</v>
      </c>
      <c r="B1001">
        <v>1.9719</v>
      </c>
      <c r="C1001">
        <v>2.6173999999999999</v>
      </c>
    </row>
    <row r="1002" spans="1:3">
      <c r="A1002">
        <v>1001</v>
      </c>
      <c r="B1002">
        <v>1.9719</v>
      </c>
      <c r="C1002">
        <v>2.6173999999999999</v>
      </c>
    </row>
    <row r="1003" spans="1:3">
      <c r="A1003">
        <v>1002</v>
      </c>
      <c r="B1003">
        <v>1.9719</v>
      </c>
      <c r="C1003">
        <v>2.6173999999999999</v>
      </c>
    </row>
    <row r="1004" spans="1:3">
      <c r="A1004">
        <v>1003</v>
      </c>
      <c r="B1004">
        <v>1.9719</v>
      </c>
      <c r="C1004">
        <v>2.6173999999999999</v>
      </c>
    </row>
    <row r="1005" spans="1:3">
      <c r="A1005">
        <v>1004</v>
      </c>
      <c r="B1005">
        <v>1.9719</v>
      </c>
      <c r="C1005">
        <v>2.6173999999999999</v>
      </c>
    </row>
    <row r="1006" spans="1:3">
      <c r="A1006">
        <v>1005</v>
      </c>
      <c r="B1006">
        <v>1.9719</v>
      </c>
      <c r="C1006">
        <v>2.6173999999999999</v>
      </c>
    </row>
    <row r="1007" spans="1:3">
      <c r="A1007">
        <v>1006</v>
      </c>
      <c r="B1007">
        <v>1.9719</v>
      </c>
      <c r="C1007">
        <v>2.6173999999999999</v>
      </c>
    </row>
    <row r="1008" spans="1:3">
      <c r="A1008">
        <v>1007</v>
      </c>
      <c r="B1008">
        <v>1.9719</v>
      </c>
      <c r="C1008">
        <v>2.6173999999999999</v>
      </c>
    </row>
    <row r="1009" spans="1:3">
      <c r="A1009">
        <v>1008</v>
      </c>
      <c r="B1009">
        <v>1.9719</v>
      </c>
      <c r="C1009">
        <v>2.6173999999999999</v>
      </c>
    </row>
    <row r="1010" spans="1:3">
      <c r="A1010">
        <v>1009</v>
      </c>
      <c r="B1010">
        <v>1.9719</v>
      </c>
      <c r="C1010">
        <v>2.6173999999999999</v>
      </c>
    </row>
    <row r="1011" spans="1:3">
      <c r="A1011">
        <v>1010</v>
      </c>
      <c r="B1011">
        <v>1.9719</v>
      </c>
      <c r="C1011">
        <v>2.6173999999999999</v>
      </c>
    </row>
    <row r="1012" spans="1:3">
      <c r="A1012">
        <v>1011</v>
      </c>
      <c r="B1012">
        <v>1.9719</v>
      </c>
      <c r="C1012">
        <v>2.6173999999999999</v>
      </c>
    </row>
    <row r="1013" spans="1:3">
      <c r="A1013">
        <v>1012</v>
      </c>
      <c r="B1013">
        <v>1.9719</v>
      </c>
      <c r="C1013">
        <v>2.6173999999999999</v>
      </c>
    </row>
    <row r="1014" spans="1:3">
      <c r="A1014">
        <v>1013</v>
      </c>
      <c r="B1014">
        <v>1.9719</v>
      </c>
      <c r="C1014">
        <v>2.6173999999999999</v>
      </c>
    </row>
    <row r="1015" spans="1:3">
      <c r="A1015">
        <v>1014</v>
      </c>
      <c r="B1015">
        <v>1.9719</v>
      </c>
      <c r="C1015">
        <v>2.6173999999999999</v>
      </c>
    </row>
    <row r="1016" spans="1:3">
      <c r="A1016">
        <v>1015</v>
      </c>
      <c r="B1016">
        <v>1.9719</v>
      </c>
      <c r="C1016">
        <v>2.6173999999999999</v>
      </c>
    </row>
    <row r="1017" spans="1:3">
      <c r="A1017">
        <v>1016</v>
      </c>
      <c r="B1017">
        <v>1.9719</v>
      </c>
      <c r="C1017">
        <v>2.6173999999999999</v>
      </c>
    </row>
    <row r="1018" spans="1:3">
      <c r="A1018">
        <v>1017</v>
      </c>
      <c r="B1018">
        <v>1.9719</v>
      </c>
      <c r="C1018">
        <v>2.6173999999999999</v>
      </c>
    </row>
    <row r="1019" spans="1:3">
      <c r="A1019">
        <v>1018</v>
      </c>
      <c r="B1019">
        <v>1.9719</v>
      </c>
      <c r="C1019">
        <v>2.6173999999999999</v>
      </c>
    </row>
    <row r="1020" spans="1:3">
      <c r="A1020">
        <v>1019</v>
      </c>
      <c r="B1020">
        <v>1.9719</v>
      </c>
      <c r="C1020">
        <v>2.6173999999999999</v>
      </c>
    </row>
    <row r="1021" spans="1:3">
      <c r="A1021">
        <v>1020</v>
      </c>
      <c r="B1021">
        <v>1.9719</v>
      </c>
      <c r="C1021">
        <v>2.6173999999999999</v>
      </c>
    </row>
    <row r="1022" spans="1:3">
      <c r="A1022">
        <v>1021</v>
      </c>
      <c r="B1022">
        <v>1.9719</v>
      </c>
      <c r="C1022">
        <v>2.6173999999999999</v>
      </c>
    </row>
    <row r="1023" spans="1:3">
      <c r="A1023">
        <v>1022</v>
      </c>
      <c r="B1023">
        <v>1.9719</v>
      </c>
      <c r="C1023">
        <v>2.6173999999999999</v>
      </c>
    </row>
    <row r="1024" spans="1:3">
      <c r="A1024">
        <v>1023</v>
      </c>
      <c r="B1024">
        <v>1.9719</v>
      </c>
      <c r="C1024">
        <v>2.6173999999999999</v>
      </c>
    </row>
    <row r="1025" spans="1:3">
      <c r="A1025">
        <v>1024</v>
      </c>
      <c r="B1025">
        <v>1.9719</v>
      </c>
      <c r="C1025">
        <v>2.6173999999999999</v>
      </c>
    </row>
    <row r="1026" spans="1:3">
      <c r="A1026">
        <v>1025</v>
      </c>
      <c r="B1026">
        <v>1.9719</v>
      </c>
      <c r="C1026">
        <v>2.6173999999999999</v>
      </c>
    </row>
    <row r="1027" spans="1:3">
      <c r="A1027">
        <v>1026</v>
      </c>
      <c r="B1027">
        <v>1.9719</v>
      </c>
      <c r="C1027">
        <v>2.6173999999999999</v>
      </c>
    </row>
    <row r="1028" spans="1:3">
      <c r="A1028">
        <v>1027</v>
      </c>
      <c r="B1028">
        <v>1.9719</v>
      </c>
      <c r="C1028">
        <v>2.6173999999999999</v>
      </c>
    </row>
    <row r="1029" spans="1:3">
      <c r="A1029">
        <v>1028</v>
      </c>
      <c r="B1029">
        <v>1.9719</v>
      </c>
      <c r="C1029">
        <v>2.6173999999999999</v>
      </c>
    </row>
    <row r="1030" spans="1:3">
      <c r="A1030">
        <v>1029</v>
      </c>
      <c r="B1030">
        <v>1.9719</v>
      </c>
      <c r="C1030">
        <v>2.6173999999999999</v>
      </c>
    </row>
    <row r="1031" spans="1:3">
      <c r="A1031">
        <v>1030</v>
      </c>
      <c r="B1031">
        <v>1.9719</v>
      </c>
      <c r="C1031">
        <v>2.6173999999999999</v>
      </c>
    </row>
    <row r="1032" spans="1:3">
      <c r="A1032">
        <v>1031</v>
      </c>
      <c r="B1032">
        <v>1.9719</v>
      </c>
      <c r="C1032">
        <v>2.6173999999999999</v>
      </c>
    </row>
    <row r="1033" spans="1:3">
      <c r="A1033">
        <v>1032</v>
      </c>
      <c r="B1033">
        <v>1.9719</v>
      </c>
      <c r="C1033">
        <v>2.6173999999999999</v>
      </c>
    </row>
    <row r="1034" spans="1:3">
      <c r="A1034">
        <v>1033</v>
      </c>
      <c r="B1034">
        <v>1.9719</v>
      </c>
      <c r="C1034">
        <v>2.6173999999999999</v>
      </c>
    </row>
    <row r="1035" spans="1:3">
      <c r="A1035">
        <v>1034</v>
      </c>
      <c r="B1035">
        <v>1.9719</v>
      </c>
      <c r="C1035">
        <v>2.6173999999999999</v>
      </c>
    </row>
    <row r="1036" spans="1:3">
      <c r="A1036">
        <v>1035</v>
      </c>
      <c r="B1036">
        <v>1.9719</v>
      </c>
      <c r="C1036">
        <v>2.6173999999999999</v>
      </c>
    </row>
    <row r="1037" spans="1:3">
      <c r="A1037">
        <v>1036</v>
      </c>
      <c r="B1037">
        <v>1.9719</v>
      </c>
      <c r="C1037">
        <v>2.6173999999999999</v>
      </c>
    </row>
    <row r="1038" spans="1:3">
      <c r="A1038">
        <v>1037</v>
      </c>
      <c r="B1038">
        <v>1.9719</v>
      </c>
      <c r="C1038">
        <v>2.6173999999999999</v>
      </c>
    </row>
    <row r="1039" spans="1:3">
      <c r="A1039">
        <v>1038</v>
      </c>
      <c r="B1039">
        <v>1.9719</v>
      </c>
      <c r="C1039">
        <v>2.6173999999999999</v>
      </c>
    </row>
    <row r="1040" spans="1:3">
      <c r="A1040">
        <v>1039</v>
      </c>
      <c r="B1040">
        <v>1.9719</v>
      </c>
      <c r="C1040">
        <v>2.6173999999999999</v>
      </c>
    </row>
    <row r="1041" spans="1:3">
      <c r="A1041">
        <v>1040</v>
      </c>
      <c r="B1041">
        <v>1.9719</v>
      </c>
      <c r="C1041">
        <v>2.6173999999999999</v>
      </c>
    </row>
    <row r="1042" spans="1:3">
      <c r="A1042">
        <v>1041</v>
      </c>
      <c r="B1042">
        <v>1.9719</v>
      </c>
      <c r="C1042">
        <v>2.6173999999999999</v>
      </c>
    </row>
    <row r="1043" spans="1:3">
      <c r="A1043">
        <v>1042</v>
      </c>
      <c r="B1043">
        <v>1.9719</v>
      </c>
      <c r="C1043">
        <v>2.6173999999999999</v>
      </c>
    </row>
    <row r="1044" spans="1:3">
      <c r="A1044">
        <v>1043</v>
      </c>
      <c r="B1044">
        <v>1.9719</v>
      </c>
      <c r="C1044">
        <v>2.6173999999999999</v>
      </c>
    </row>
    <row r="1045" spans="1:3">
      <c r="A1045">
        <v>1044</v>
      </c>
      <c r="B1045">
        <v>1.9719</v>
      </c>
      <c r="C1045">
        <v>2.6173999999999999</v>
      </c>
    </row>
    <row r="1046" spans="1:3">
      <c r="A1046">
        <v>1045</v>
      </c>
      <c r="B1046">
        <v>1.9719</v>
      </c>
      <c r="C1046">
        <v>2.6173999999999999</v>
      </c>
    </row>
    <row r="1047" spans="1:3">
      <c r="A1047">
        <v>1046</v>
      </c>
      <c r="B1047">
        <v>1.9719</v>
      </c>
      <c r="C1047">
        <v>2.6173999999999999</v>
      </c>
    </row>
    <row r="1048" spans="1:3">
      <c r="A1048">
        <v>1047</v>
      </c>
      <c r="B1048">
        <v>1.9719</v>
      </c>
      <c r="C1048">
        <v>2.6173999999999999</v>
      </c>
    </row>
    <row r="1049" spans="1:3">
      <c r="A1049">
        <v>1048</v>
      </c>
      <c r="B1049">
        <v>1.9719</v>
      </c>
      <c r="C1049">
        <v>2.6173999999999999</v>
      </c>
    </row>
    <row r="1050" spans="1:3">
      <c r="A1050">
        <v>1049</v>
      </c>
      <c r="B1050">
        <v>1.9719</v>
      </c>
      <c r="C1050">
        <v>2.6173999999999999</v>
      </c>
    </row>
    <row r="1051" spans="1:3">
      <c r="A1051">
        <v>1050</v>
      </c>
      <c r="B1051">
        <v>1.9719</v>
      </c>
      <c r="C1051">
        <v>2.6173999999999999</v>
      </c>
    </row>
    <row r="1052" spans="1:3">
      <c r="A1052">
        <v>1051</v>
      </c>
      <c r="B1052">
        <v>1.9719</v>
      </c>
      <c r="C1052">
        <v>2.6173999999999999</v>
      </c>
    </row>
    <row r="1053" spans="1:3">
      <c r="A1053">
        <v>1052</v>
      </c>
      <c r="B1053">
        <v>1.9719</v>
      </c>
      <c r="C1053">
        <v>2.6173999999999999</v>
      </c>
    </row>
    <row r="1054" spans="1:3">
      <c r="A1054">
        <v>1053</v>
      </c>
      <c r="B1054">
        <v>1.9719</v>
      </c>
      <c r="C1054">
        <v>2.6173999999999999</v>
      </c>
    </row>
    <row r="1055" spans="1:3">
      <c r="A1055">
        <v>1054</v>
      </c>
      <c r="B1055">
        <v>1.9719</v>
      </c>
      <c r="C1055">
        <v>2.6173999999999999</v>
      </c>
    </row>
    <row r="1056" spans="1:3">
      <c r="A1056">
        <v>1055</v>
      </c>
      <c r="B1056">
        <v>1.9719</v>
      </c>
      <c r="C1056">
        <v>2.6173999999999999</v>
      </c>
    </row>
    <row r="1057" spans="1:3">
      <c r="A1057">
        <v>1056</v>
      </c>
      <c r="B1057">
        <v>1.9719</v>
      </c>
      <c r="C1057">
        <v>2.6173999999999999</v>
      </c>
    </row>
    <row r="1058" spans="1:3">
      <c r="A1058">
        <v>1057</v>
      </c>
      <c r="B1058">
        <v>1.9719</v>
      </c>
      <c r="C1058">
        <v>2.6173999999999999</v>
      </c>
    </row>
    <row r="1059" spans="1:3">
      <c r="A1059">
        <v>1058</v>
      </c>
      <c r="B1059">
        <v>1.9719</v>
      </c>
      <c r="C1059">
        <v>2.6173999999999999</v>
      </c>
    </row>
    <row r="1060" spans="1:3">
      <c r="A1060">
        <v>1059</v>
      </c>
      <c r="B1060">
        <v>1.9719</v>
      </c>
      <c r="C1060">
        <v>2.6173999999999999</v>
      </c>
    </row>
    <row r="1061" spans="1:3">
      <c r="A1061">
        <v>1060</v>
      </c>
      <c r="B1061">
        <v>1.9719</v>
      </c>
      <c r="C1061">
        <v>2.6173999999999999</v>
      </c>
    </row>
    <row r="1062" spans="1:3">
      <c r="A1062">
        <v>1061</v>
      </c>
      <c r="B1062">
        <v>1.9719</v>
      </c>
      <c r="C1062">
        <v>2.6173999999999999</v>
      </c>
    </row>
    <row r="1063" spans="1:3">
      <c r="A1063">
        <v>1062</v>
      </c>
      <c r="B1063">
        <v>1.9719</v>
      </c>
      <c r="C1063">
        <v>2.6173999999999999</v>
      </c>
    </row>
    <row r="1064" spans="1:3">
      <c r="A1064">
        <v>1063</v>
      </c>
      <c r="B1064">
        <v>1.9719</v>
      </c>
      <c r="C1064">
        <v>2.6173999999999999</v>
      </c>
    </row>
    <row r="1065" spans="1:3">
      <c r="A1065">
        <v>1064</v>
      </c>
      <c r="B1065">
        <v>1.9719</v>
      </c>
      <c r="C1065">
        <v>2.6173999999999999</v>
      </c>
    </row>
    <row r="1066" spans="1:3">
      <c r="A1066">
        <v>1065</v>
      </c>
      <c r="B1066">
        <v>1.9719</v>
      </c>
      <c r="C1066">
        <v>2.6173999999999999</v>
      </c>
    </row>
    <row r="1067" spans="1:3">
      <c r="A1067">
        <v>1066</v>
      </c>
      <c r="B1067">
        <v>1.9719</v>
      </c>
      <c r="C1067">
        <v>2.6173999999999999</v>
      </c>
    </row>
    <row r="1068" spans="1:3">
      <c r="A1068">
        <v>1067</v>
      </c>
      <c r="B1068">
        <v>1.9719</v>
      </c>
      <c r="C1068">
        <v>2.6173999999999999</v>
      </c>
    </row>
    <row r="1069" spans="1:3">
      <c r="A1069">
        <v>1068</v>
      </c>
      <c r="B1069">
        <v>1.9719</v>
      </c>
      <c r="C1069">
        <v>2.6173999999999999</v>
      </c>
    </row>
    <row r="1070" spans="1:3">
      <c r="A1070">
        <v>1069</v>
      </c>
      <c r="B1070">
        <v>1.9719</v>
      </c>
      <c r="C1070">
        <v>2.6173999999999999</v>
      </c>
    </row>
    <row r="1071" spans="1:3">
      <c r="A1071">
        <v>1070</v>
      </c>
      <c r="B1071">
        <v>1.9719</v>
      </c>
      <c r="C1071">
        <v>2.6173999999999999</v>
      </c>
    </row>
    <row r="1072" spans="1:3">
      <c r="A1072">
        <v>1071</v>
      </c>
      <c r="B1072">
        <v>1.9719</v>
      </c>
      <c r="C1072">
        <v>2.6173999999999999</v>
      </c>
    </row>
    <row r="1073" spans="1:3">
      <c r="A1073">
        <v>1072</v>
      </c>
      <c r="B1073">
        <v>1.9719</v>
      </c>
      <c r="C1073">
        <v>2.6173999999999999</v>
      </c>
    </row>
    <row r="1074" spans="1:3">
      <c r="A1074">
        <v>1073</v>
      </c>
      <c r="B1074">
        <v>1.9719</v>
      </c>
      <c r="C1074">
        <v>2.6173999999999999</v>
      </c>
    </row>
    <row r="1075" spans="1:3">
      <c r="A1075">
        <v>1074</v>
      </c>
      <c r="B1075">
        <v>1.9719</v>
      </c>
      <c r="C1075">
        <v>2.6173999999999999</v>
      </c>
    </row>
    <row r="1076" spans="1:3">
      <c r="A1076">
        <v>1075</v>
      </c>
      <c r="B1076">
        <v>1.9719</v>
      </c>
      <c r="C1076">
        <v>2.6173999999999999</v>
      </c>
    </row>
    <row r="1077" spans="1:3">
      <c r="A1077">
        <v>1076</v>
      </c>
      <c r="B1077">
        <v>1.9719</v>
      </c>
      <c r="C1077">
        <v>2.6173999999999999</v>
      </c>
    </row>
    <row r="1078" spans="1:3">
      <c r="A1078">
        <v>1077</v>
      </c>
      <c r="B1078">
        <v>1.9719</v>
      </c>
      <c r="C1078">
        <v>2.6173999999999999</v>
      </c>
    </row>
    <row r="1079" spans="1:3">
      <c r="A1079">
        <v>1078</v>
      </c>
      <c r="B1079">
        <v>1.9719</v>
      </c>
      <c r="C1079">
        <v>2.6173999999999999</v>
      </c>
    </row>
    <row r="1080" spans="1:3">
      <c r="A1080">
        <v>1079</v>
      </c>
      <c r="B1080">
        <v>1.9719</v>
      </c>
      <c r="C1080">
        <v>2.6173999999999999</v>
      </c>
    </row>
    <row r="1081" spans="1:3">
      <c r="A1081">
        <v>1080</v>
      </c>
      <c r="B1081">
        <v>1.9719</v>
      </c>
      <c r="C1081">
        <v>2.6173999999999999</v>
      </c>
    </row>
    <row r="1082" spans="1:3">
      <c r="A1082">
        <v>1081</v>
      </c>
      <c r="B1082">
        <v>1.9719</v>
      </c>
      <c r="C1082">
        <v>2.6173999999999999</v>
      </c>
    </row>
    <row r="1083" spans="1:3">
      <c r="A1083">
        <v>1082</v>
      </c>
      <c r="B1083">
        <v>1.9719</v>
      </c>
      <c r="C1083">
        <v>2.6173999999999999</v>
      </c>
    </row>
    <row r="1084" spans="1:3">
      <c r="A1084">
        <v>1083</v>
      </c>
      <c r="B1084">
        <v>1.9719</v>
      </c>
      <c r="C1084">
        <v>2.6173999999999999</v>
      </c>
    </row>
    <row r="1085" spans="1:3">
      <c r="A1085">
        <v>1084</v>
      </c>
      <c r="B1085">
        <v>1.9719</v>
      </c>
      <c r="C1085">
        <v>2.6173999999999999</v>
      </c>
    </row>
    <row r="1086" spans="1:3">
      <c r="A1086">
        <v>1085</v>
      </c>
      <c r="B1086">
        <v>1.9719</v>
      </c>
      <c r="C1086">
        <v>2.6173999999999999</v>
      </c>
    </row>
    <row r="1087" spans="1:3">
      <c r="A1087">
        <v>1086</v>
      </c>
      <c r="B1087">
        <v>1.9719</v>
      </c>
      <c r="C1087">
        <v>2.6173999999999999</v>
      </c>
    </row>
    <row r="1088" spans="1:3">
      <c r="A1088">
        <v>1087</v>
      </c>
      <c r="B1088">
        <v>1.9719</v>
      </c>
      <c r="C1088">
        <v>2.6173999999999999</v>
      </c>
    </row>
    <row r="1089" spans="1:3">
      <c r="A1089">
        <v>1088</v>
      </c>
      <c r="B1089">
        <v>1.9719</v>
      </c>
      <c r="C1089">
        <v>2.6173999999999999</v>
      </c>
    </row>
    <row r="1090" spans="1:3">
      <c r="A1090">
        <v>1089</v>
      </c>
      <c r="B1090">
        <v>1.9719</v>
      </c>
      <c r="C1090">
        <v>2.6173999999999999</v>
      </c>
    </row>
    <row r="1091" spans="1:3">
      <c r="A1091">
        <v>1090</v>
      </c>
      <c r="B1091">
        <v>1.9719</v>
      </c>
      <c r="C1091">
        <v>2.6173999999999999</v>
      </c>
    </row>
    <row r="1092" spans="1:3">
      <c r="A1092">
        <v>1091</v>
      </c>
      <c r="B1092">
        <v>1.9719</v>
      </c>
      <c r="C1092">
        <v>2.6173999999999999</v>
      </c>
    </row>
    <row r="1093" spans="1:3">
      <c r="A1093">
        <v>1092</v>
      </c>
      <c r="B1093">
        <v>1.9719</v>
      </c>
      <c r="C1093">
        <v>2.6173999999999999</v>
      </c>
    </row>
    <row r="1094" spans="1:3">
      <c r="A1094">
        <v>1093</v>
      </c>
      <c r="B1094">
        <v>1.9719</v>
      </c>
      <c r="C1094">
        <v>2.6173999999999999</v>
      </c>
    </row>
    <row r="1095" spans="1:3">
      <c r="A1095">
        <v>1094</v>
      </c>
      <c r="B1095">
        <v>1.9719</v>
      </c>
      <c r="C1095">
        <v>2.6173999999999999</v>
      </c>
    </row>
    <row r="1096" spans="1:3">
      <c r="A1096">
        <v>1095</v>
      </c>
      <c r="B1096">
        <v>1.9719</v>
      </c>
      <c r="C1096">
        <v>2.6173999999999999</v>
      </c>
    </row>
    <row r="1097" spans="1:3">
      <c r="A1097">
        <v>1096</v>
      </c>
      <c r="B1097">
        <v>1.9719</v>
      </c>
      <c r="C1097">
        <v>2.6173999999999999</v>
      </c>
    </row>
    <row r="1098" spans="1:3">
      <c r="A1098">
        <v>1097</v>
      </c>
      <c r="B1098">
        <v>1.9719</v>
      </c>
      <c r="C1098">
        <v>2.6173999999999999</v>
      </c>
    </row>
    <row r="1099" spans="1:3">
      <c r="A1099">
        <v>1098</v>
      </c>
      <c r="B1099">
        <v>1.9719</v>
      </c>
      <c r="C1099">
        <v>2.6173999999999999</v>
      </c>
    </row>
    <row r="1100" spans="1:3">
      <c r="A1100">
        <v>1099</v>
      </c>
      <c r="B1100">
        <v>1.9719</v>
      </c>
      <c r="C1100">
        <v>2.6173999999999999</v>
      </c>
    </row>
    <row r="1101" spans="1:3">
      <c r="A1101">
        <v>1100</v>
      </c>
      <c r="B1101">
        <v>1.9719</v>
      </c>
      <c r="C1101">
        <v>2.6173999999999999</v>
      </c>
    </row>
    <row r="1102" spans="1:3">
      <c r="A1102">
        <v>1101</v>
      </c>
      <c r="B1102">
        <v>1.9719</v>
      </c>
      <c r="C1102">
        <v>2.6173999999999999</v>
      </c>
    </row>
    <row r="1103" spans="1:3">
      <c r="A1103">
        <v>1102</v>
      </c>
      <c r="B1103">
        <v>1.9719</v>
      </c>
      <c r="C1103">
        <v>2.6173999999999999</v>
      </c>
    </row>
    <row r="1104" spans="1:3">
      <c r="A1104">
        <v>1103</v>
      </c>
      <c r="B1104">
        <v>1.9719</v>
      </c>
      <c r="C1104">
        <v>2.6173999999999999</v>
      </c>
    </row>
    <row r="1105" spans="1:3">
      <c r="A1105">
        <v>1104</v>
      </c>
      <c r="B1105">
        <v>1.9719</v>
      </c>
      <c r="C1105">
        <v>2.6173999999999999</v>
      </c>
    </row>
    <row r="1106" spans="1:3">
      <c r="A1106">
        <v>1105</v>
      </c>
      <c r="B1106">
        <v>1.9719</v>
      </c>
      <c r="C1106">
        <v>2.6173999999999999</v>
      </c>
    </row>
    <row r="1107" spans="1:3">
      <c r="A1107">
        <v>1106</v>
      </c>
      <c r="B1107">
        <v>1.9719</v>
      </c>
      <c r="C1107">
        <v>2.6173999999999999</v>
      </c>
    </row>
    <row r="1108" spans="1:3">
      <c r="A1108">
        <v>1107</v>
      </c>
      <c r="B1108">
        <v>1.9719</v>
      </c>
      <c r="C1108">
        <v>2.6173999999999999</v>
      </c>
    </row>
    <row r="1109" spans="1:3">
      <c r="A1109">
        <v>1108</v>
      </c>
      <c r="B1109">
        <v>1.9719</v>
      </c>
      <c r="C1109">
        <v>2.6173999999999999</v>
      </c>
    </row>
    <row r="1110" spans="1:3">
      <c r="A1110">
        <v>1109</v>
      </c>
      <c r="B1110">
        <v>1.9719</v>
      </c>
      <c r="C1110">
        <v>2.6173999999999999</v>
      </c>
    </row>
    <row r="1111" spans="1:3">
      <c r="A1111">
        <v>1110</v>
      </c>
      <c r="B1111">
        <v>1.9719</v>
      </c>
      <c r="C1111">
        <v>2.6173999999999999</v>
      </c>
    </row>
    <row r="1112" spans="1:3">
      <c r="A1112">
        <v>1111</v>
      </c>
      <c r="B1112">
        <v>1.9719</v>
      </c>
      <c r="C1112">
        <v>2.6173999999999999</v>
      </c>
    </row>
    <row r="1113" spans="1:3">
      <c r="A1113">
        <v>1112</v>
      </c>
      <c r="B1113">
        <v>1.9719</v>
      </c>
      <c r="C1113">
        <v>2.6173999999999999</v>
      </c>
    </row>
    <row r="1114" spans="1:3">
      <c r="A1114">
        <v>1113</v>
      </c>
      <c r="B1114">
        <v>1.9719</v>
      </c>
      <c r="C1114">
        <v>2.6173999999999999</v>
      </c>
    </row>
    <row r="1115" spans="1:3">
      <c r="A1115">
        <v>1114</v>
      </c>
      <c r="B1115">
        <v>1.9719</v>
      </c>
      <c r="C1115">
        <v>2.6173999999999999</v>
      </c>
    </row>
    <row r="1116" spans="1:3">
      <c r="A1116">
        <v>1115</v>
      </c>
      <c r="B1116">
        <v>1.9719</v>
      </c>
      <c r="C1116">
        <v>2.6173999999999999</v>
      </c>
    </row>
    <row r="1117" spans="1:3">
      <c r="A1117">
        <v>1116</v>
      </c>
      <c r="B1117">
        <v>1.9719</v>
      </c>
      <c r="C1117">
        <v>2.6173999999999999</v>
      </c>
    </row>
    <row r="1118" spans="1:3">
      <c r="A1118">
        <v>1117</v>
      </c>
      <c r="B1118">
        <v>1.9719</v>
      </c>
      <c r="C1118">
        <v>2.6173999999999999</v>
      </c>
    </row>
    <row r="1119" spans="1:3">
      <c r="A1119">
        <v>1118</v>
      </c>
      <c r="B1119">
        <v>1.9719</v>
      </c>
      <c r="C1119">
        <v>2.6173999999999999</v>
      </c>
    </row>
    <row r="1120" spans="1:3">
      <c r="A1120">
        <v>1119</v>
      </c>
      <c r="B1120">
        <v>1.9719</v>
      </c>
      <c r="C1120">
        <v>2.6173999999999999</v>
      </c>
    </row>
    <row r="1121" spans="1:3">
      <c r="A1121">
        <v>1120</v>
      </c>
      <c r="B1121">
        <v>1.9719</v>
      </c>
      <c r="C1121">
        <v>2.6173999999999999</v>
      </c>
    </row>
    <row r="1122" spans="1:3">
      <c r="A1122">
        <v>1121</v>
      </c>
      <c r="B1122">
        <v>1.9719</v>
      </c>
      <c r="C1122">
        <v>2.6173999999999999</v>
      </c>
    </row>
    <row r="1123" spans="1:3">
      <c r="A1123">
        <v>1122</v>
      </c>
      <c r="B1123">
        <v>1.9719</v>
      </c>
      <c r="C1123">
        <v>2.6173999999999999</v>
      </c>
    </row>
    <row r="1124" spans="1:3">
      <c r="A1124">
        <v>1123</v>
      </c>
      <c r="B1124">
        <v>1.9719</v>
      </c>
      <c r="C1124">
        <v>2.6173999999999999</v>
      </c>
    </row>
    <row r="1125" spans="1:3">
      <c r="A1125">
        <v>1124</v>
      </c>
      <c r="B1125">
        <v>1.9719</v>
      </c>
      <c r="C1125">
        <v>2.6173999999999999</v>
      </c>
    </row>
    <row r="1126" spans="1:3">
      <c r="A1126">
        <v>1125</v>
      </c>
      <c r="B1126">
        <v>1.9719</v>
      </c>
      <c r="C1126">
        <v>2.6173999999999999</v>
      </c>
    </row>
    <row r="1127" spans="1:3">
      <c r="A1127">
        <v>1126</v>
      </c>
      <c r="B1127">
        <v>1.9719</v>
      </c>
      <c r="C1127">
        <v>2.6173999999999999</v>
      </c>
    </row>
    <row r="1128" spans="1:3">
      <c r="A1128">
        <v>1127</v>
      </c>
      <c r="B1128">
        <v>1.9719</v>
      </c>
      <c r="C1128">
        <v>2.6173999999999999</v>
      </c>
    </row>
    <row r="1129" spans="1:3">
      <c r="A1129">
        <v>1128</v>
      </c>
      <c r="B1129">
        <v>1.9719</v>
      </c>
      <c r="C1129">
        <v>2.6173999999999999</v>
      </c>
    </row>
    <row r="1130" spans="1:3">
      <c r="A1130">
        <v>1129</v>
      </c>
      <c r="B1130">
        <v>1.9719</v>
      </c>
      <c r="C1130">
        <v>2.6173999999999999</v>
      </c>
    </row>
    <row r="1131" spans="1:3">
      <c r="A1131">
        <v>1130</v>
      </c>
      <c r="B1131">
        <v>1.9719</v>
      </c>
      <c r="C1131">
        <v>2.6173999999999999</v>
      </c>
    </row>
    <row r="1132" spans="1:3">
      <c r="A1132">
        <v>1131</v>
      </c>
      <c r="B1132">
        <v>1.9719</v>
      </c>
      <c r="C1132">
        <v>2.6173999999999999</v>
      </c>
    </row>
    <row r="1133" spans="1:3">
      <c r="A1133">
        <v>1132</v>
      </c>
      <c r="B1133">
        <v>1.9719</v>
      </c>
      <c r="C1133">
        <v>2.6173999999999999</v>
      </c>
    </row>
    <row r="1134" spans="1:3">
      <c r="A1134">
        <v>1133</v>
      </c>
      <c r="B1134">
        <v>1.9719</v>
      </c>
      <c r="C1134">
        <v>2.6173999999999999</v>
      </c>
    </row>
    <row r="1135" spans="1:3">
      <c r="A1135">
        <v>1134</v>
      </c>
      <c r="B1135">
        <v>1.9719</v>
      </c>
      <c r="C1135">
        <v>2.6173999999999999</v>
      </c>
    </row>
    <row r="1136" spans="1:3">
      <c r="A1136">
        <v>1135</v>
      </c>
      <c r="B1136">
        <v>1.9719</v>
      </c>
      <c r="C1136">
        <v>2.6173999999999999</v>
      </c>
    </row>
    <row r="1137" spans="1:3">
      <c r="A1137">
        <v>1136</v>
      </c>
      <c r="B1137">
        <v>1.9719</v>
      </c>
      <c r="C1137">
        <v>2.6173999999999999</v>
      </c>
    </row>
    <row r="1138" spans="1:3">
      <c r="A1138">
        <v>1137</v>
      </c>
      <c r="B1138">
        <v>1.9719</v>
      </c>
      <c r="C1138">
        <v>2.6173999999999999</v>
      </c>
    </row>
    <row r="1139" spans="1:3">
      <c r="A1139">
        <v>1138</v>
      </c>
      <c r="B1139">
        <v>1.9719</v>
      </c>
      <c r="C1139">
        <v>2.6173999999999999</v>
      </c>
    </row>
    <row r="1140" spans="1:3">
      <c r="A1140">
        <v>1139</v>
      </c>
      <c r="B1140">
        <v>1.9719</v>
      </c>
      <c r="C1140">
        <v>2.6173999999999999</v>
      </c>
    </row>
    <row r="1141" spans="1:3">
      <c r="A1141">
        <v>1140</v>
      </c>
      <c r="B1141">
        <v>1.9719</v>
      </c>
      <c r="C1141">
        <v>2.6173999999999999</v>
      </c>
    </row>
    <row r="1142" spans="1:3">
      <c r="A1142">
        <v>1141</v>
      </c>
      <c r="B1142">
        <v>1.9719</v>
      </c>
      <c r="C1142">
        <v>2.6173999999999999</v>
      </c>
    </row>
    <row r="1143" spans="1:3">
      <c r="A1143">
        <v>1142</v>
      </c>
      <c r="B1143">
        <v>1.9719</v>
      </c>
      <c r="C1143">
        <v>2.6173999999999999</v>
      </c>
    </row>
    <row r="1144" spans="1:3">
      <c r="A1144">
        <v>1143</v>
      </c>
      <c r="B1144">
        <v>1.9719</v>
      </c>
      <c r="C1144">
        <v>2.6173999999999999</v>
      </c>
    </row>
    <row r="1145" spans="1:3">
      <c r="A1145">
        <v>1144</v>
      </c>
      <c r="B1145">
        <v>1.9719</v>
      </c>
      <c r="C1145">
        <v>2.6173999999999999</v>
      </c>
    </row>
    <row r="1146" spans="1:3">
      <c r="A1146">
        <v>1145</v>
      </c>
      <c r="B1146">
        <v>1.9719</v>
      </c>
      <c r="C1146">
        <v>2.6173999999999999</v>
      </c>
    </row>
    <row r="1147" spans="1:3">
      <c r="A1147">
        <v>1146</v>
      </c>
      <c r="B1147">
        <v>1.9719</v>
      </c>
      <c r="C1147">
        <v>2.6173999999999999</v>
      </c>
    </row>
    <row r="1148" spans="1:3">
      <c r="A1148">
        <v>1147</v>
      </c>
      <c r="B1148">
        <v>1.9719</v>
      </c>
      <c r="C1148">
        <v>2.6173999999999999</v>
      </c>
    </row>
    <row r="1149" spans="1:3">
      <c r="A1149">
        <v>1148</v>
      </c>
      <c r="B1149">
        <v>1.9719</v>
      </c>
      <c r="C1149">
        <v>2.6173999999999999</v>
      </c>
    </row>
    <row r="1150" spans="1:3">
      <c r="A1150">
        <v>1149</v>
      </c>
      <c r="B1150">
        <v>1.9719</v>
      </c>
      <c r="C1150">
        <v>2.6173999999999999</v>
      </c>
    </row>
    <row r="1151" spans="1:3">
      <c r="A1151">
        <v>1150</v>
      </c>
      <c r="B1151">
        <v>1.9719</v>
      </c>
      <c r="C1151">
        <v>2.6173999999999999</v>
      </c>
    </row>
    <row r="1152" spans="1:3">
      <c r="A1152">
        <v>1151</v>
      </c>
      <c r="B1152">
        <v>1.9719</v>
      </c>
      <c r="C1152">
        <v>2.6173999999999999</v>
      </c>
    </row>
  </sheetData>
  <pageMargins left="0.69861111111111107" right="0.69861111111111107" top="0.75" bottom="0.75" header="0.3" footer="0.3"/>
  <pageSetup paperSize="9" pageOrder="overThenDown" orientation="portrait" horizontalDpi="30066" verticalDpi="26478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Photometry1">
    <tabColor rgb="FF00B050"/>
  </sheetPr>
  <dimension ref="A1:AP631"/>
  <sheetViews>
    <sheetView tabSelected="1" zoomScale="90" zoomScaleNormal="90" workbookViewId="0">
      <selection activeCell="B10" sqref="B10:L10"/>
    </sheetView>
  </sheetViews>
  <sheetFormatPr defaultColWidth="9" defaultRowHeight="13.2"/>
  <cols>
    <col min="1" max="1" width="24" style="27" customWidth="1"/>
    <col min="2" max="2" width="26.6640625" style="27" customWidth="1"/>
    <col min="3" max="3" width="27" style="27" bestFit="1" customWidth="1"/>
    <col min="4" max="4" width="14.5546875" style="27" bestFit="1" customWidth="1"/>
    <col min="5" max="5" width="14.5546875" style="27" customWidth="1"/>
    <col min="6" max="6" width="26.33203125" style="27" bestFit="1" customWidth="1"/>
    <col min="7" max="7" width="19.6640625" style="27" customWidth="1"/>
    <col min="8" max="8" width="15" style="27" customWidth="1"/>
    <col min="9" max="16384" width="9" style="27"/>
  </cols>
  <sheetData>
    <row r="1" spans="1:12" s="12" customFormat="1">
      <c r="A1" s="12" t="s">
        <v>78</v>
      </c>
    </row>
    <row r="2" spans="1:12" s="12" customFormat="1">
      <c r="A2" s="13" t="s">
        <v>3</v>
      </c>
      <c r="B2" s="2" t="s">
        <v>4</v>
      </c>
    </row>
    <row r="3" spans="1:12" s="12" customFormat="1">
      <c r="A3" s="14" t="s">
        <v>5</v>
      </c>
      <c r="B3" s="3"/>
    </row>
    <row r="4" spans="1:12" s="12" customFormat="1">
      <c r="A4" s="14" t="s">
        <v>6</v>
      </c>
      <c r="B4" s="15"/>
    </row>
    <row r="5" spans="1:12" s="12" customFormat="1">
      <c r="A5" s="14" t="s">
        <v>7</v>
      </c>
      <c r="B5" s="4">
        <v>50.389105999999998</v>
      </c>
    </row>
    <row r="6" spans="1:12" s="12" customFormat="1">
      <c r="A6" s="14" t="s">
        <v>8</v>
      </c>
      <c r="B6" s="4">
        <v>30.614972999999999</v>
      </c>
    </row>
    <row r="7" spans="1:12" s="12" customFormat="1">
      <c r="A7" s="14" t="s">
        <v>9</v>
      </c>
      <c r="B7" s="4" t="s">
        <v>10</v>
      </c>
    </row>
    <row r="8" spans="1:12" s="12" customFormat="1">
      <c r="A8" s="14" t="s">
        <v>11</v>
      </c>
      <c r="B8" s="4" t="s">
        <v>12</v>
      </c>
    </row>
    <row r="9" spans="1:12" s="12" customFormat="1">
      <c r="A9" s="14" t="s">
        <v>13</v>
      </c>
      <c r="B9" s="4" t="s">
        <v>77</v>
      </c>
    </row>
    <row r="10" spans="1:12" s="12" customFormat="1">
      <c r="A10" s="13" t="s">
        <v>14</v>
      </c>
      <c r="B10" s="34" t="s">
        <v>84</v>
      </c>
      <c r="C10" s="35"/>
      <c r="D10" s="35"/>
      <c r="E10" s="35"/>
      <c r="F10" s="35"/>
      <c r="G10" s="35"/>
      <c r="H10" s="35"/>
      <c r="I10" s="35"/>
      <c r="J10" s="35"/>
      <c r="K10" s="35"/>
      <c r="L10" s="36"/>
    </row>
    <row r="11" spans="1:12" s="12" customFormat="1">
      <c r="A11" s="14" t="s">
        <v>15</v>
      </c>
      <c r="B11" s="37" t="s">
        <v>61</v>
      </c>
      <c r="C11" s="38"/>
      <c r="D11" s="38"/>
      <c r="E11" s="38"/>
      <c r="F11" s="38"/>
      <c r="G11" s="38"/>
      <c r="H11" s="38"/>
      <c r="I11" s="38"/>
      <c r="J11" s="38"/>
      <c r="K11" s="38"/>
      <c r="L11" s="39"/>
    </row>
    <row r="12" spans="1:12" s="12" customFormat="1">
      <c r="A12" s="14" t="s">
        <v>16</v>
      </c>
      <c r="B12" s="37" t="s">
        <v>76</v>
      </c>
      <c r="C12" s="38"/>
      <c r="D12" s="38"/>
      <c r="E12" s="38"/>
      <c r="F12" s="38"/>
      <c r="G12" s="38"/>
      <c r="H12" s="38"/>
      <c r="I12" s="38"/>
      <c r="J12" s="38"/>
      <c r="K12" s="38"/>
      <c r="L12" s="39"/>
    </row>
    <row r="13" spans="1:12" s="12" customFormat="1">
      <c r="A13" s="14" t="s">
        <v>17</v>
      </c>
      <c r="B13" s="37" t="s">
        <v>62</v>
      </c>
      <c r="C13" s="38"/>
      <c r="D13" s="38"/>
      <c r="E13" s="38"/>
      <c r="F13" s="38"/>
      <c r="G13" s="38"/>
      <c r="H13" s="38"/>
      <c r="I13" s="38"/>
      <c r="J13" s="38"/>
      <c r="K13" s="38"/>
      <c r="L13" s="39"/>
    </row>
    <row r="14" spans="1:12" s="12" customFormat="1">
      <c r="A14" s="29" t="s">
        <v>18</v>
      </c>
      <c r="B14" s="40" t="s">
        <v>74</v>
      </c>
      <c r="C14" s="41"/>
      <c r="D14" s="41"/>
      <c r="E14" s="41"/>
      <c r="F14" s="41"/>
      <c r="G14" s="41"/>
      <c r="H14" s="41"/>
      <c r="I14" s="41"/>
      <c r="J14" s="41"/>
      <c r="K14" s="41"/>
      <c r="L14" s="42"/>
    </row>
    <row r="15" spans="1:12" s="12" customFormat="1"/>
    <row r="16" spans="1:12" s="12" customFormat="1">
      <c r="A16" s="13" t="s">
        <v>19</v>
      </c>
      <c r="B16" s="2" t="s">
        <v>63</v>
      </c>
    </row>
    <row r="17" spans="1:42" s="12" customFormat="1">
      <c r="A17" s="14" t="s">
        <v>20</v>
      </c>
      <c r="B17" s="3" t="s">
        <v>21</v>
      </c>
    </row>
    <row r="18" spans="1:42" s="12" customFormat="1">
      <c r="A18" s="16" t="s">
        <v>22</v>
      </c>
      <c r="B18" s="31" t="s">
        <v>75</v>
      </c>
      <c r="C18" s="32"/>
      <c r="D18" s="32"/>
      <c r="E18" s="32"/>
      <c r="F18" s="32"/>
      <c r="G18" s="32"/>
      <c r="H18" s="32"/>
      <c r="I18" s="32"/>
      <c r="J18" s="32"/>
      <c r="K18" s="32"/>
      <c r="L18" s="33"/>
    </row>
    <row r="19" spans="1:42" s="12" customFormat="1"/>
    <row r="20" spans="1:42" s="12" customFormat="1">
      <c r="A20" s="16" t="s">
        <v>23</v>
      </c>
      <c r="B20" s="5" t="s">
        <v>73</v>
      </c>
    </row>
    <row r="21" spans="1:42" s="12" customFormat="1"/>
    <row r="22" spans="1:42" s="12" customFormat="1"/>
    <row r="23" spans="1:42" s="12" customFormat="1">
      <c r="A23" s="17" t="s">
        <v>24</v>
      </c>
      <c r="B23" s="17" t="s">
        <v>25</v>
      </c>
      <c r="C23" s="18" t="s">
        <v>65</v>
      </c>
      <c r="D23" s="19" t="s">
        <v>68</v>
      </c>
      <c r="E23" s="19" t="s">
        <v>71</v>
      </c>
      <c r="F23" s="20" t="s">
        <v>64</v>
      </c>
      <c r="G23" s="17"/>
      <c r="H23" s="17"/>
      <c r="U23" s="12">
        <f>COUNTA(I27:I631)</f>
        <v>312</v>
      </c>
      <c r="V23" s="12">
        <f ca="1">IF(U23&gt;1,INDIRECT(ADDRESS(U23+1,3,1,1,"Student")),"")</f>
        <v>2.6173999999999999</v>
      </c>
    </row>
    <row r="24" spans="1:42" s="12" customFormat="1">
      <c r="A24" s="21">
        <f>AVERAGE(A27:A631)</f>
        <v>43123.810125163218</v>
      </c>
      <c r="B24" s="22">
        <f>AVERAGE(B27:B631)</f>
        <v>2458142.3101251638</v>
      </c>
      <c r="C24" s="23">
        <f>AVERAGE(C27:C631)</f>
        <v>9.3830677590374183</v>
      </c>
      <c r="D24" s="24">
        <f ca="1">STDEV(C27:C631)/SQRT(U23)*V23</f>
        <v>2.7128250741501544E-2</v>
      </c>
      <c r="E24" s="24">
        <f>STDEV(C27:C631)</f>
        <v>0.18307497766541581</v>
      </c>
      <c r="F24" s="25">
        <f>AVERAGE(F27:F631)</f>
        <v>10.923821879544599</v>
      </c>
      <c r="G24" s="21"/>
      <c r="I24" s="26" t="s">
        <v>26</v>
      </c>
      <c r="J24" s="30" t="s">
        <v>79</v>
      </c>
      <c r="K24" s="30" t="s">
        <v>80</v>
      </c>
      <c r="L24" s="30" t="s">
        <v>81</v>
      </c>
      <c r="M24" s="30" t="s">
        <v>82</v>
      </c>
      <c r="N24" s="30" t="s">
        <v>83</v>
      </c>
      <c r="O24" s="30"/>
      <c r="P24" s="30"/>
      <c r="Q24" s="30"/>
      <c r="R24" s="30"/>
      <c r="S24" s="30"/>
    </row>
    <row r="25" spans="1:42">
      <c r="A25" s="12"/>
      <c r="B25" s="12"/>
      <c r="C25" s="12"/>
      <c r="D25" s="12"/>
      <c r="E25" s="12"/>
      <c r="F25" s="17"/>
      <c r="G25" s="12"/>
      <c r="H25" s="17"/>
      <c r="I25" s="26" t="s">
        <v>27</v>
      </c>
      <c r="J25" s="6">
        <v>10.923999999999999</v>
      </c>
      <c r="K25" s="10">
        <v>8.5259999999999998</v>
      </c>
      <c r="L25" s="10">
        <v>9.6790000000000003</v>
      </c>
      <c r="M25" s="10">
        <v>9.4529999999999994</v>
      </c>
      <c r="N25" s="10">
        <v>9.907</v>
      </c>
      <c r="O25" s="10"/>
      <c r="P25" s="10"/>
      <c r="Q25" s="10"/>
      <c r="R25" s="6"/>
      <c r="S25" s="6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</row>
    <row r="26" spans="1:42">
      <c r="A26" s="17" t="str">
        <f>G26</f>
        <v>Date (UTC)</v>
      </c>
      <c r="B26" s="17" t="s">
        <v>28</v>
      </c>
      <c r="C26" s="18" t="s">
        <v>66</v>
      </c>
      <c r="D26" s="19" t="s">
        <v>67</v>
      </c>
      <c r="E26" s="19" t="s">
        <v>70</v>
      </c>
      <c r="F26" s="20" t="s">
        <v>69</v>
      </c>
      <c r="G26" s="17" t="s">
        <v>72</v>
      </c>
      <c r="H26" s="17"/>
      <c r="I26" s="17" t="s">
        <v>29</v>
      </c>
      <c r="J26" s="17" t="s">
        <v>30</v>
      </c>
      <c r="K26" s="17" t="s">
        <v>31</v>
      </c>
      <c r="L26" s="17" t="s">
        <v>32</v>
      </c>
      <c r="M26" s="17" t="s">
        <v>33</v>
      </c>
      <c r="N26" s="17" t="s">
        <v>34</v>
      </c>
      <c r="O26" s="17" t="s">
        <v>35</v>
      </c>
      <c r="P26" s="17" t="s">
        <v>36</v>
      </c>
      <c r="Q26" s="17" t="s">
        <v>37</v>
      </c>
      <c r="R26" s="17" t="s">
        <v>38</v>
      </c>
      <c r="S26" s="17" t="s">
        <v>39</v>
      </c>
      <c r="T26" s="12"/>
      <c r="U26" s="17" t="s">
        <v>40</v>
      </c>
      <c r="V26" s="17" t="s">
        <v>41</v>
      </c>
      <c r="W26" s="17" t="s">
        <v>42</v>
      </c>
      <c r="X26" s="12" t="s">
        <v>43</v>
      </c>
      <c r="Y26" s="12" t="s">
        <v>44</v>
      </c>
      <c r="Z26" s="12" t="s">
        <v>45</v>
      </c>
      <c r="AA26" s="12" t="s">
        <v>46</v>
      </c>
      <c r="AB26" s="12" t="s">
        <v>47</v>
      </c>
      <c r="AC26" s="12" t="s">
        <v>48</v>
      </c>
      <c r="AD26" s="12" t="s">
        <v>49</v>
      </c>
      <c r="AE26" s="12" t="s">
        <v>50</v>
      </c>
      <c r="AF26" s="12" t="s">
        <v>51</v>
      </c>
      <c r="AG26" s="12"/>
      <c r="AH26" s="12" t="s">
        <v>52</v>
      </c>
      <c r="AI26" s="12" t="s">
        <v>53</v>
      </c>
      <c r="AJ26" s="12" t="s">
        <v>54</v>
      </c>
      <c r="AK26" s="12" t="s">
        <v>55</v>
      </c>
      <c r="AL26" s="12" t="s">
        <v>56</v>
      </c>
      <c r="AM26" s="12" t="s">
        <v>57</v>
      </c>
      <c r="AN26" s="12" t="s">
        <v>58</v>
      </c>
      <c r="AO26" s="12" t="s">
        <v>59</v>
      </c>
      <c r="AP26" s="12" t="s">
        <v>60</v>
      </c>
    </row>
    <row r="27" spans="1:42">
      <c r="A27" s="9">
        <f>IF(ISBLANK(G27),"",G27)</f>
        <v>43123.743831018517</v>
      </c>
      <c r="B27" s="22">
        <f>IF(ISBLANK(G27),"",G27+2415018.5)</f>
        <v>2458142.2438310185</v>
      </c>
      <c r="C27" s="23">
        <f t="shared" ref="C27:C58" si="0">IF(U27&gt;0,AVERAGE(X27:AF27),"")</f>
        <v>9.3795526368104252</v>
      </c>
      <c r="D27" s="24">
        <f t="shared" ref="D27:D58" ca="1" si="1">IF(U27&gt;0,STDEV(X27:AF27)/SQRT(U27)*V27,"")</f>
        <v>4.9076957875238088E-2</v>
      </c>
      <c r="E27" s="24">
        <f>IF(ISBLANK(W27),"",W27)</f>
        <v>1.6807177354533593E-2</v>
      </c>
      <c r="F27" s="25">
        <f t="shared" ref="F27:F58" si="2">IF(U27&gt;0,AVERAGE(AH27:AP27),"")</f>
        <v>10.938565530692125</v>
      </c>
      <c r="G27" s="7">
        <v>43123.743831018517</v>
      </c>
      <c r="H27" s="11">
        <v>2458142.2438309998</v>
      </c>
      <c r="I27" s="11">
        <v>-12.887259989340899</v>
      </c>
      <c r="J27" s="11">
        <v>-11.328247095459201</v>
      </c>
      <c r="K27" s="11">
        <v>-13.7159774577443</v>
      </c>
      <c r="L27" s="11">
        <v>-12.592977590024701</v>
      </c>
      <c r="M27" s="11">
        <v>-12.821353963275</v>
      </c>
      <c r="N27" s="11">
        <v>-12.3719414935613</v>
      </c>
      <c r="O27" s="11"/>
      <c r="P27" s="11"/>
      <c r="Q27" s="11"/>
      <c r="R27" s="11"/>
      <c r="S27" s="11"/>
      <c r="T27" s="12"/>
      <c r="U27" s="12">
        <f t="shared" ref="U27:U58" si="3">MIN(COUNTA(K$25:S$25),COUNTA(K27:S27))</f>
        <v>4</v>
      </c>
      <c r="V27" s="28">
        <f t="shared" ref="V27:V58" ca="1" si="4">IF(U27&gt;1,INDIRECT(ADDRESS(U27+1,3,1,1,"Student")),"")</f>
        <v>5.84</v>
      </c>
      <c r="W27" s="28">
        <f t="shared" ref="W27:W58" si="5">IF(U27&gt;0,STDEV(X27:AF27),"")</f>
        <v>1.6807177354533593E-2</v>
      </c>
      <c r="X27" s="12">
        <f t="shared" ref="X27:X58" si="6">IF(OR(ISBLANK(K$25),ISBLANK(K27),ISBLANK($I27)),"",$I27-K27+K$25)</f>
        <v>9.3547174684034005</v>
      </c>
      <c r="Y27" s="12">
        <f t="shared" ref="Y27:Y58" si="7">IF(OR(ISBLANK(L$25),ISBLANK(L27),ISBLANK($I27)),"",$I27-L27+L$25)</f>
        <v>9.3847176006838016</v>
      </c>
      <c r="Z27" s="12">
        <f t="shared" ref="Z27:Z58" si="8">IF(OR(ISBLANK(M$25),ISBLANK(M27),ISBLANK($I27)),"",$I27-M27+M$25)</f>
        <v>9.3870939739340997</v>
      </c>
      <c r="AA27" s="12">
        <f t="shared" ref="AA27:AA58" si="9">IF(OR(ISBLANK(N$25),ISBLANK(N27),ISBLANK($I27)),"",$I27-N27+N$25)</f>
        <v>9.3916815042204007</v>
      </c>
      <c r="AB27" s="12" t="str">
        <f t="shared" ref="AB27:AB58" si="10">IF(OR(ISBLANK(O$25),ISBLANK(O27),ISBLANK($I27)),"",$I27-O27+O$25)</f>
        <v/>
      </c>
      <c r="AC27" s="12" t="str">
        <f t="shared" ref="AC27:AC58" si="11">IF(OR(ISBLANK(P$25),ISBLANK(P27),ISBLANK($I27)),"",$I27-P27+P$25)</f>
        <v/>
      </c>
      <c r="AD27" s="12" t="str">
        <f t="shared" ref="AD27:AD58" si="12">IF(OR(ISBLANK(Q$25),ISBLANK(Q27),ISBLANK($I27)),"",$I27-Q27+Q$25)</f>
        <v/>
      </c>
      <c r="AE27" s="12" t="str">
        <f t="shared" ref="AE27:AE58" si="13">IF(OR(ISBLANK(R$25),ISBLANK(R27),ISBLANK($I27)),"",$I27-R27+R$25)</f>
        <v/>
      </c>
      <c r="AF27" s="12" t="str">
        <f t="shared" ref="AF27:AF58" si="14">IF(OR(ISBLANK(S$25),ISBLANK(S27),ISBLANK($I27)),"",$I27-S27+S$25)</f>
        <v/>
      </c>
      <c r="AG27" s="12"/>
      <c r="AH27" s="12">
        <f t="shared" ref="AH27:AH58" si="15">IF(OR(ISBLANK(K$25),ISBLANK(K27),ISBLANK($J27)),"",$J27-K27+K$25)</f>
        <v>10.913730362285099</v>
      </c>
      <c r="AI27" s="12">
        <f t="shared" ref="AI27:AI58" si="16">IF(OR(ISBLANK(L$25),ISBLANK(L27),ISBLANK($J27)),"",$J27-L27+L$25)</f>
        <v>10.9437304945655</v>
      </c>
      <c r="AJ27" s="12">
        <f t="shared" ref="AJ27:AJ58" si="17">IF(OR(ISBLANK(M$25),ISBLANK(M27),ISBLANK($J27)),"",$J27-M27+M$25)</f>
        <v>10.946106867815798</v>
      </c>
      <c r="AK27" s="12">
        <f t="shared" ref="AK27:AK58" si="18">IF(OR(ISBLANK(N$25),ISBLANK(N27),ISBLANK($J27)),"",$J27-N27+N$25)</f>
        <v>10.950694398102099</v>
      </c>
      <c r="AL27" s="12" t="str">
        <f t="shared" ref="AL27:AL58" si="19">IF(OR(ISBLANK(O$25),ISBLANK(O27),ISBLANK($J27)),"",$J27-O27+O$25)</f>
        <v/>
      </c>
      <c r="AM27" s="12" t="str">
        <f t="shared" ref="AM27:AM58" si="20">IF(OR(ISBLANK(P$25),ISBLANK(P27),ISBLANK($J27)),"",$J27-P27+P$25)</f>
        <v/>
      </c>
      <c r="AN27" s="12" t="str">
        <f t="shared" ref="AN27:AN58" si="21">IF(OR(ISBLANK(Q$25),ISBLANK(Q27),ISBLANK($J27)),"",$J27-Q27+Q$25)</f>
        <v/>
      </c>
      <c r="AO27" s="12" t="str">
        <f t="shared" ref="AO27:AO58" si="22">IF(OR(ISBLANK(R$25),ISBLANK(R27),ISBLANK($J27)),"",$J27-R27+R$25)</f>
        <v/>
      </c>
      <c r="AP27" s="12" t="str">
        <f t="shared" ref="AP27:AP58" si="23">IF(OR(ISBLANK(S$25),ISBLANK(S27),ISBLANK($J27)),"",$J27-S27+S$25)</f>
        <v/>
      </c>
    </row>
    <row r="28" spans="1:42">
      <c r="A28" s="9">
        <f t="shared" ref="A28:A91" si="24">IF(ISBLANK(G28),"",G28)</f>
        <v>43123.744247685187</v>
      </c>
      <c r="B28" s="22">
        <f t="shared" ref="B28:B91" si="25">IF(ISBLANK(G28),"",G28+2415018.5)</f>
        <v>2458142.2442476852</v>
      </c>
      <c r="C28" s="23">
        <f t="shared" si="0"/>
        <v>9.3803858432024008</v>
      </c>
      <c r="D28" s="24">
        <f t="shared" ca="1" si="1"/>
        <v>5.3686174558381088E-2</v>
      </c>
      <c r="E28" s="24">
        <f t="shared" ref="E28:E91" si="26">IF(ISBLANK(W28),"",W28)</f>
        <v>1.8385676218623661E-2</v>
      </c>
      <c r="F28" s="25">
        <f t="shared" si="2"/>
        <v>10.944456841254599</v>
      </c>
      <c r="G28" s="7">
        <v>43123.744247685187</v>
      </c>
      <c r="H28" s="11">
        <v>2458142.244248</v>
      </c>
      <c r="I28" s="11">
        <v>-12.886939998260999</v>
      </c>
      <c r="J28" s="11">
        <v>-11.322869000208801</v>
      </c>
      <c r="K28" s="11">
        <v>-13.7140498802843</v>
      </c>
      <c r="L28" s="11">
        <v>-12.5955334381346</v>
      </c>
      <c r="M28" s="11">
        <v>-12.8272584832236</v>
      </c>
      <c r="N28" s="11">
        <v>-12.3674615642111</v>
      </c>
      <c r="O28" s="11"/>
      <c r="P28" s="11"/>
      <c r="Q28" s="11"/>
      <c r="R28" s="11"/>
      <c r="S28" s="11"/>
      <c r="T28" s="12"/>
      <c r="U28" s="12">
        <f t="shared" si="3"/>
        <v>4</v>
      </c>
      <c r="V28" s="28">
        <f t="shared" ca="1" si="4"/>
        <v>5.84</v>
      </c>
      <c r="W28" s="28">
        <f t="shared" si="5"/>
        <v>1.8385676218623661E-2</v>
      </c>
      <c r="X28" s="12">
        <f t="shared" si="6"/>
        <v>9.3531098820233005</v>
      </c>
      <c r="Y28" s="12">
        <f t="shared" si="7"/>
        <v>9.3875934398736014</v>
      </c>
      <c r="Z28" s="12">
        <f t="shared" si="8"/>
        <v>9.3933184849626006</v>
      </c>
      <c r="AA28" s="12">
        <f t="shared" si="9"/>
        <v>9.3875215659501006</v>
      </c>
      <c r="AB28" s="12" t="str">
        <f t="shared" si="10"/>
        <v/>
      </c>
      <c r="AC28" s="12" t="str">
        <f t="shared" si="11"/>
        <v/>
      </c>
      <c r="AD28" s="12" t="str">
        <f t="shared" si="12"/>
        <v/>
      </c>
      <c r="AE28" s="12" t="str">
        <f t="shared" si="13"/>
        <v/>
      </c>
      <c r="AF28" s="12" t="str">
        <f t="shared" si="14"/>
        <v/>
      </c>
      <c r="AG28" s="12"/>
      <c r="AH28" s="12">
        <f t="shared" si="15"/>
        <v>10.917180880075499</v>
      </c>
      <c r="AI28" s="12">
        <f t="shared" si="16"/>
        <v>10.9516644379258</v>
      </c>
      <c r="AJ28" s="12">
        <f t="shared" si="17"/>
        <v>10.957389483014799</v>
      </c>
      <c r="AK28" s="12">
        <f t="shared" si="18"/>
        <v>10.951592564002299</v>
      </c>
      <c r="AL28" s="12" t="str">
        <f t="shared" si="19"/>
        <v/>
      </c>
      <c r="AM28" s="12" t="str">
        <f t="shared" si="20"/>
        <v/>
      </c>
      <c r="AN28" s="12" t="str">
        <f t="shared" si="21"/>
        <v/>
      </c>
      <c r="AO28" s="12" t="str">
        <f t="shared" si="22"/>
        <v/>
      </c>
      <c r="AP28" s="12" t="str">
        <f t="shared" si="23"/>
        <v/>
      </c>
    </row>
    <row r="29" spans="1:42">
      <c r="A29" s="9">
        <f t="shared" si="24"/>
        <v>43123.744675925926</v>
      </c>
      <c r="B29" s="22">
        <f t="shared" si="25"/>
        <v>2458142.2446759259</v>
      </c>
      <c r="C29" s="23">
        <f t="shared" si="0"/>
        <v>9.3574851359152742</v>
      </c>
      <c r="D29" s="24">
        <f t="shared" ca="1" si="1"/>
        <v>5.1990474958410859E-2</v>
      </c>
      <c r="E29" s="24">
        <f t="shared" si="26"/>
        <v>1.7804957177537967E-2</v>
      </c>
      <c r="F29" s="25">
        <f t="shared" si="2"/>
        <v>10.915366933641376</v>
      </c>
      <c r="G29" s="7">
        <v>43123.744675925926</v>
      </c>
      <c r="H29" s="11">
        <v>2458142.244676</v>
      </c>
      <c r="I29" s="11">
        <v>-12.903693885557701</v>
      </c>
      <c r="J29" s="11">
        <v>-11.3458120878316</v>
      </c>
      <c r="K29" s="11">
        <v>-13.7090990170522</v>
      </c>
      <c r="L29" s="11">
        <v>-12.5907306043378</v>
      </c>
      <c r="M29" s="11">
        <v>-12.821640599549699</v>
      </c>
      <c r="N29" s="11">
        <v>-12.358245864952201</v>
      </c>
      <c r="O29" s="11"/>
      <c r="P29" s="11"/>
      <c r="Q29" s="11"/>
      <c r="R29" s="11"/>
      <c r="S29" s="11"/>
      <c r="T29" s="12"/>
      <c r="U29" s="12">
        <f t="shared" si="3"/>
        <v>4</v>
      </c>
      <c r="V29" s="28">
        <f t="shared" ca="1" si="4"/>
        <v>5.84</v>
      </c>
      <c r="W29" s="28">
        <f t="shared" si="5"/>
        <v>1.7804957177537967E-2</v>
      </c>
      <c r="X29" s="12">
        <f t="shared" si="6"/>
        <v>9.331405131494499</v>
      </c>
      <c r="Y29" s="12">
        <f t="shared" si="7"/>
        <v>9.3660367187800997</v>
      </c>
      <c r="Z29" s="12">
        <f t="shared" si="8"/>
        <v>9.370946713991998</v>
      </c>
      <c r="AA29" s="12">
        <f t="shared" si="9"/>
        <v>9.3615519793945001</v>
      </c>
      <c r="AB29" s="12" t="str">
        <f t="shared" si="10"/>
        <v/>
      </c>
      <c r="AC29" s="12" t="str">
        <f t="shared" si="11"/>
        <v/>
      </c>
      <c r="AD29" s="12" t="str">
        <f t="shared" si="12"/>
        <v/>
      </c>
      <c r="AE29" s="12" t="str">
        <f t="shared" si="13"/>
        <v/>
      </c>
      <c r="AF29" s="12" t="str">
        <f t="shared" si="14"/>
        <v/>
      </c>
      <c r="AG29" s="12"/>
      <c r="AH29" s="12">
        <f t="shared" si="15"/>
        <v>10.889286929220599</v>
      </c>
      <c r="AI29" s="12">
        <f t="shared" si="16"/>
        <v>10.9239185165062</v>
      </c>
      <c r="AJ29" s="12">
        <f t="shared" si="17"/>
        <v>10.928828511718098</v>
      </c>
      <c r="AK29" s="12">
        <f t="shared" si="18"/>
        <v>10.9194337771206</v>
      </c>
      <c r="AL29" s="12" t="str">
        <f t="shared" si="19"/>
        <v/>
      </c>
      <c r="AM29" s="12" t="str">
        <f t="shared" si="20"/>
        <v/>
      </c>
      <c r="AN29" s="12" t="str">
        <f t="shared" si="21"/>
        <v/>
      </c>
      <c r="AO29" s="12" t="str">
        <f t="shared" si="22"/>
        <v/>
      </c>
      <c r="AP29" s="12" t="str">
        <f t="shared" si="23"/>
        <v/>
      </c>
    </row>
    <row r="30" spans="1:42">
      <c r="A30" s="9">
        <f t="shared" si="24"/>
        <v>43123.745092592595</v>
      </c>
      <c r="B30" s="22">
        <f t="shared" si="25"/>
        <v>2458142.2450925927</v>
      </c>
      <c r="C30" s="23">
        <f t="shared" si="0"/>
        <v>9.3355587872010002</v>
      </c>
      <c r="D30" s="24">
        <f t="shared" ca="1" si="1"/>
        <v>5.6851805025074691E-2</v>
      </c>
      <c r="E30" s="24">
        <f t="shared" si="26"/>
        <v>1.9469796241463937E-2</v>
      </c>
      <c r="F30" s="25">
        <f t="shared" si="2"/>
        <v>10.9043931563159</v>
      </c>
      <c r="G30" s="7">
        <v>43123.745092592595</v>
      </c>
      <c r="H30" s="11">
        <v>2458142.2450930001</v>
      </c>
      <c r="I30" s="11">
        <v>-12.9133446150817</v>
      </c>
      <c r="J30" s="11">
        <v>-11.3445102459668</v>
      </c>
      <c r="K30" s="11">
        <v>-13.695747153064</v>
      </c>
      <c r="L30" s="11">
        <v>-12.588565639833501</v>
      </c>
      <c r="M30" s="11">
        <v>-12.7973751785843</v>
      </c>
      <c r="N30" s="11">
        <v>-12.348925637649</v>
      </c>
      <c r="O30" s="11"/>
      <c r="P30" s="11"/>
      <c r="Q30" s="11"/>
      <c r="R30" s="11"/>
      <c r="S30" s="11"/>
      <c r="T30" s="12"/>
      <c r="U30" s="12">
        <f t="shared" si="3"/>
        <v>4</v>
      </c>
      <c r="V30" s="28">
        <f t="shared" ca="1" si="4"/>
        <v>5.84</v>
      </c>
      <c r="W30" s="28">
        <f t="shared" si="5"/>
        <v>1.9469796241463937E-2</v>
      </c>
      <c r="X30" s="12">
        <f t="shared" si="6"/>
        <v>9.3084025379822997</v>
      </c>
      <c r="Y30" s="12">
        <f t="shared" si="7"/>
        <v>9.3542210247518014</v>
      </c>
      <c r="Z30" s="12">
        <f t="shared" si="8"/>
        <v>9.3370305635025996</v>
      </c>
      <c r="AA30" s="12">
        <f t="shared" si="9"/>
        <v>9.3425810225673001</v>
      </c>
      <c r="AB30" s="12" t="str">
        <f t="shared" si="10"/>
        <v/>
      </c>
      <c r="AC30" s="12" t="str">
        <f t="shared" si="11"/>
        <v/>
      </c>
      <c r="AD30" s="12" t="str">
        <f t="shared" si="12"/>
        <v/>
      </c>
      <c r="AE30" s="12" t="str">
        <f t="shared" si="13"/>
        <v/>
      </c>
      <c r="AF30" s="12" t="str">
        <f t="shared" si="14"/>
        <v/>
      </c>
      <c r="AG30" s="12"/>
      <c r="AH30" s="12">
        <f t="shared" si="15"/>
        <v>10.877236907097199</v>
      </c>
      <c r="AI30" s="12">
        <f t="shared" si="16"/>
        <v>10.923055393866701</v>
      </c>
      <c r="AJ30" s="12">
        <f t="shared" si="17"/>
        <v>10.905864932617499</v>
      </c>
      <c r="AK30" s="12">
        <f t="shared" si="18"/>
        <v>10.911415391682199</v>
      </c>
      <c r="AL30" s="12" t="str">
        <f t="shared" si="19"/>
        <v/>
      </c>
      <c r="AM30" s="12" t="str">
        <f t="shared" si="20"/>
        <v/>
      </c>
      <c r="AN30" s="12" t="str">
        <f t="shared" si="21"/>
        <v/>
      </c>
      <c r="AO30" s="12" t="str">
        <f t="shared" si="22"/>
        <v/>
      </c>
      <c r="AP30" s="12" t="str">
        <f t="shared" si="23"/>
        <v/>
      </c>
    </row>
    <row r="31" spans="1:42">
      <c r="A31" s="9">
        <f t="shared" si="24"/>
        <v>43123.745509259257</v>
      </c>
      <c r="B31" s="22">
        <f t="shared" si="25"/>
        <v>2458142.2455092594</v>
      </c>
      <c r="C31" s="23">
        <f t="shared" si="0"/>
        <v>9.326476632501123</v>
      </c>
      <c r="D31" s="24">
        <f t="shared" ca="1" si="1"/>
        <v>5.7578372765197693E-2</v>
      </c>
      <c r="E31" s="24">
        <f t="shared" si="26"/>
        <v>1.9718620809999209E-2</v>
      </c>
      <c r="F31" s="25">
        <f t="shared" si="2"/>
        <v>10.933885002896327</v>
      </c>
      <c r="G31" s="7">
        <v>43123.745509259257</v>
      </c>
      <c r="H31" s="11">
        <v>2458142.245509</v>
      </c>
      <c r="I31" s="11">
        <v>-12.9350049540722</v>
      </c>
      <c r="J31" s="11">
        <v>-11.327596583677</v>
      </c>
      <c r="K31" s="11">
        <v>-13.708656183399301</v>
      </c>
      <c r="L31" s="11">
        <v>-12.5796761600353</v>
      </c>
      <c r="M31" s="11">
        <v>-12.8232408243693</v>
      </c>
      <c r="N31" s="11">
        <v>-12.3693531784894</v>
      </c>
      <c r="O31" s="11"/>
      <c r="P31" s="11"/>
      <c r="Q31" s="11"/>
      <c r="R31" s="11"/>
      <c r="S31" s="11"/>
      <c r="T31" s="12"/>
      <c r="U31" s="12">
        <f t="shared" si="3"/>
        <v>4</v>
      </c>
      <c r="V31" s="28">
        <f t="shared" ca="1" si="4"/>
        <v>5.84</v>
      </c>
      <c r="W31" s="28">
        <f t="shared" si="5"/>
        <v>1.9718620809999209E-2</v>
      </c>
      <c r="X31" s="12">
        <f t="shared" si="6"/>
        <v>9.2996512293271003</v>
      </c>
      <c r="Y31" s="12">
        <f t="shared" si="7"/>
        <v>9.3236712059631</v>
      </c>
      <c r="Z31" s="12">
        <f t="shared" si="8"/>
        <v>9.3412358702970995</v>
      </c>
      <c r="AA31" s="12">
        <f t="shared" si="9"/>
        <v>9.3413482244171995</v>
      </c>
      <c r="AB31" s="12" t="str">
        <f t="shared" si="10"/>
        <v/>
      </c>
      <c r="AC31" s="12" t="str">
        <f t="shared" si="11"/>
        <v/>
      </c>
      <c r="AD31" s="12" t="str">
        <f t="shared" si="12"/>
        <v/>
      </c>
      <c r="AE31" s="12" t="str">
        <f t="shared" si="13"/>
        <v/>
      </c>
      <c r="AF31" s="12" t="str">
        <f t="shared" si="14"/>
        <v/>
      </c>
      <c r="AG31" s="12"/>
      <c r="AH31" s="12">
        <f t="shared" si="15"/>
        <v>10.907059599722301</v>
      </c>
      <c r="AI31" s="12">
        <f t="shared" si="16"/>
        <v>10.9310795763583</v>
      </c>
      <c r="AJ31" s="12">
        <f t="shared" si="17"/>
        <v>10.9486442406923</v>
      </c>
      <c r="AK31" s="12">
        <f t="shared" si="18"/>
        <v>10.9487565948124</v>
      </c>
      <c r="AL31" s="12" t="str">
        <f t="shared" si="19"/>
        <v/>
      </c>
      <c r="AM31" s="12" t="str">
        <f t="shared" si="20"/>
        <v/>
      </c>
      <c r="AN31" s="12" t="str">
        <f t="shared" si="21"/>
        <v/>
      </c>
      <c r="AO31" s="12" t="str">
        <f t="shared" si="22"/>
        <v/>
      </c>
      <c r="AP31" s="12" t="str">
        <f t="shared" si="23"/>
        <v/>
      </c>
    </row>
    <row r="32" spans="1:42">
      <c r="A32" s="9">
        <f t="shared" si="24"/>
        <v>43123.745925925927</v>
      </c>
      <c r="B32" s="22">
        <f t="shared" si="25"/>
        <v>2458142.2459259261</v>
      </c>
      <c r="C32" s="23">
        <f t="shared" si="0"/>
        <v>9.3252956026339007</v>
      </c>
      <c r="D32" s="24">
        <f t="shared" ca="1" si="1"/>
        <v>4.2545358251190657E-2</v>
      </c>
      <c r="E32" s="24">
        <f t="shared" si="26"/>
        <v>1.4570328168215978E-2</v>
      </c>
      <c r="F32" s="25">
        <f t="shared" si="2"/>
        <v>10.937470005466601</v>
      </c>
      <c r="G32" s="7">
        <v>43123.745925925927</v>
      </c>
      <c r="H32" s="11">
        <v>2458142.2459260002</v>
      </c>
      <c r="I32" s="11">
        <v>-12.9305086503393</v>
      </c>
      <c r="J32" s="11">
        <v>-11.3183342475066</v>
      </c>
      <c r="K32" s="11">
        <v>-13.708997684044</v>
      </c>
      <c r="L32" s="11">
        <v>-12.585619238998</v>
      </c>
      <c r="M32" s="11">
        <v>-12.814013827566701</v>
      </c>
      <c r="N32" s="11">
        <v>-12.349586261284101</v>
      </c>
      <c r="O32" s="11"/>
      <c r="P32" s="11"/>
      <c r="Q32" s="11"/>
      <c r="R32" s="11"/>
      <c r="S32" s="11"/>
      <c r="T32" s="12"/>
      <c r="U32" s="12">
        <f t="shared" si="3"/>
        <v>4</v>
      </c>
      <c r="V32" s="28">
        <f t="shared" ca="1" si="4"/>
        <v>5.84</v>
      </c>
      <c r="W32" s="28">
        <f t="shared" si="5"/>
        <v>1.4570328168215978E-2</v>
      </c>
      <c r="X32" s="12">
        <f t="shared" si="6"/>
        <v>9.3044890337046997</v>
      </c>
      <c r="Y32" s="12">
        <f t="shared" si="7"/>
        <v>9.3341105886586995</v>
      </c>
      <c r="Z32" s="12">
        <f t="shared" si="8"/>
        <v>9.3365051772273997</v>
      </c>
      <c r="AA32" s="12">
        <f t="shared" si="9"/>
        <v>9.3260776109448003</v>
      </c>
      <c r="AB32" s="12" t="str">
        <f t="shared" si="10"/>
        <v/>
      </c>
      <c r="AC32" s="12" t="str">
        <f t="shared" si="11"/>
        <v/>
      </c>
      <c r="AD32" s="12" t="str">
        <f t="shared" si="12"/>
        <v/>
      </c>
      <c r="AE32" s="12" t="str">
        <f t="shared" si="13"/>
        <v/>
      </c>
      <c r="AF32" s="12" t="str">
        <f t="shared" si="14"/>
        <v/>
      </c>
      <c r="AG32" s="12"/>
      <c r="AH32" s="12">
        <f t="shared" si="15"/>
        <v>10.9166634365374</v>
      </c>
      <c r="AI32" s="12">
        <f t="shared" si="16"/>
        <v>10.9462849914914</v>
      </c>
      <c r="AJ32" s="12">
        <f t="shared" si="17"/>
        <v>10.9486795800601</v>
      </c>
      <c r="AK32" s="12">
        <f t="shared" si="18"/>
        <v>10.9382520137775</v>
      </c>
      <c r="AL32" s="12" t="str">
        <f t="shared" si="19"/>
        <v/>
      </c>
      <c r="AM32" s="12" t="str">
        <f t="shared" si="20"/>
        <v/>
      </c>
      <c r="AN32" s="12" t="str">
        <f t="shared" si="21"/>
        <v/>
      </c>
      <c r="AO32" s="12" t="str">
        <f t="shared" si="22"/>
        <v/>
      </c>
      <c r="AP32" s="12" t="str">
        <f t="shared" si="23"/>
        <v/>
      </c>
    </row>
    <row r="33" spans="1:42">
      <c r="A33" s="9">
        <f t="shared" si="24"/>
        <v>43123.746354166666</v>
      </c>
      <c r="B33" s="22">
        <f t="shared" si="25"/>
        <v>2458142.2463541669</v>
      </c>
      <c r="C33" s="23">
        <f t="shared" si="0"/>
        <v>9.3080815180817993</v>
      </c>
      <c r="D33" s="24">
        <f t="shared" ca="1" si="1"/>
        <v>5.8037481402632575E-2</v>
      </c>
      <c r="E33" s="24">
        <f t="shared" si="26"/>
        <v>1.9875849795422115E-2</v>
      </c>
      <c r="F33" s="25">
        <f t="shared" si="2"/>
        <v>10.922968997091401</v>
      </c>
      <c r="G33" s="7">
        <v>43123.746354166666</v>
      </c>
      <c r="H33" s="11">
        <v>2458142.2463540002</v>
      </c>
      <c r="I33" s="11">
        <v>-12.9558214111056</v>
      </c>
      <c r="J33" s="11">
        <v>-11.340933932096</v>
      </c>
      <c r="K33" s="11">
        <v>-13.7103937042812</v>
      </c>
      <c r="L33" s="11">
        <v>-12.596087952571899</v>
      </c>
      <c r="M33" s="11">
        <v>-12.828285828030801</v>
      </c>
      <c r="N33" s="11">
        <v>-12.355844231865699</v>
      </c>
      <c r="O33" s="11"/>
      <c r="P33" s="11"/>
      <c r="Q33" s="11"/>
      <c r="R33" s="11"/>
      <c r="S33" s="11"/>
      <c r="T33" s="12"/>
      <c r="U33" s="12">
        <f t="shared" si="3"/>
        <v>4</v>
      </c>
      <c r="V33" s="28">
        <f t="shared" ca="1" si="4"/>
        <v>5.84</v>
      </c>
      <c r="W33" s="28">
        <f t="shared" si="5"/>
        <v>1.9875849795422115E-2</v>
      </c>
      <c r="X33" s="12">
        <f t="shared" si="6"/>
        <v>9.2805722931756005</v>
      </c>
      <c r="Y33" s="12">
        <f t="shared" si="7"/>
        <v>9.3192665414663001</v>
      </c>
      <c r="Z33" s="12">
        <f t="shared" si="8"/>
        <v>9.3254644169252003</v>
      </c>
      <c r="AA33" s="12">
        <f t="shared" si="9"/>
        <v>9.3070228207600998</v>
      </c>
      <c r="AB33" s="12" t="str">
        <f t="shared" si="10"/>
        <v/>
      </c>
      <c r="AC33" s="12" t="str">
        <f t="shared" si="11"/>
        <v/>
      </c>
      <c r="AD33" s="12" t="str">
        <f t="shared" si="12"/>
        <v/>
      </c>
      <c r="AE33" s="12" t="str">
        <f t="shared" si="13"/>
        <v/>
      </c>
      <c r="AF33" s="12" t="str">
        <f t="shared" si="14"/>
        <v/>
      </c>
      <c r="AG33" s="12"/>
      <c r="AH33" s="12">
        <f t="shared" si="15"/>
        <v>10.8954597721852</v>
      </c>
      <c r="AI33" s="12">
        <f t="shared" si="16"/>
        <v>10.9341540204759</v>
      </c>
      <c r="AJ33" s="12">
        <f t="shared" si="17"/>
        <v>10.9403518959348</v>
      </c>
      <c r="AK33" s="12">
        <f t="shared" si="18"/>
        <v>10.921910299769699</v>
      </c>
      <c r="AL33" s="12" t="str">
        <f t="shared" si="19"/>
        <v/>
      </c>
      <c r="AM33" s="12" t="str">
        <f t="shared" si="20"/>
        <v/>
      </c>
      <c r="AN33" s="12" t="str">
        <f t="shared" si="21"/>
        <v/>
      </c>
      <c r="AO33" s="12" t="str">
        <f t="shared" si="22"/>
        <v/>
      </c>
      <c r="AP33" s="12" t="str">
        <f t="shared" si="23"/>
        <v/>
      </c>
    </row>
    <row r="34" spans="1:42">
      <c r="A34" s="9">
        <f t="shared" si="24"/>
        <v>43123.746770833335</v>
      </c>
      <c r="B34" s="22">
        <f t="shared" si="25"/>
        <v>2458142.2467708332</v>
      </c>
      <c r="C34" s="23">
        <f t="shared" si="0"/>
        <v>9.3049498790793237</v>
      </c>
      <c r="D34" s="24">
        <f t="shared" ca="1" si="1"/>
        <v>5.4814842389015926E-2</v>
      </c>
      <c r="E34" s="24">
        <f t="shared" si="26"/>
        <v>1.8772206297608195E-2</v>
      </c>
      <c r="F34" s="25">
        <f t="shared" si="2"/>
        <v>10.936548427709425</v>
      </c>
      <c r="G34" s="7">
        <v>43123.746770833335</v>
      </c>
      <c r="H34" s="11">
        <v>2458142.2467709999</v>
      </c>
      <c r="I34" s="11">
        <v>-12.953210836861601</v>
      </c>
      <c r="J34" s="11">
        <v>-11.321612288231499</v>
      </c>
      <c r="K34" s="11">
        <v>-13.705056225698399</v>
      </c>
      <c r="L34" s="11">
        <v>-12.5850529429138</v>
      </c>
      <c r="M34" s="11">
        <v>-12.8213719970529</v>
      </c>
      <c r="N34" s="11">
        <v>-12.3561616980986</v>
      </c>
      <c r="O34" s="11"/>
      <c r="P34" s="11"/>
      <c r="Q34" s="11"/>
      <c r="R34" s="11"/>
      <c r="S34" s="11"/>
      <c r="T34" s="12"/>
      <c r="U34" s="12">
        <f t="shared" si="3"/>
        <v>4</v>
      </c>
      <c r="V34" s="28">
        <f t="shared" ca="1" si="4"/>
        <v>5.84</v>
      </c>
      <c r="W34" s="28">
        <f t="shared" si="5"/>
        <v>1.8772206297608195E-2</v>
      </c>
      <c r="X34" s="12">
        <f t="shared" si="6"/>
        <v>9.2778453888367984</v>
      </c>
      <c r="Y34" s="12">
        <f t="shared" si="7"/>
        <v>9.3108421060521991</v>
      </c>
      <c r="Z34" s="12">
        <f t="shared" si="8"/>
        <v>9.3211611601912985</v>
      </c>
      <c r="AA34" s="12">
        <f t="shared" si="9"/>
        <v>9.3099508612369988</v>
      </c>
      <c r="AB34" s="12" t="str">
        <f t="shared" si="10"/>
        <v/>
      </c>
      <c r="AC34" s="12" t="str">
        <f t="shared" si="11"/>
        <v/>
      </c>
      <c r="AD34" s="12" t="str">
        <f t="shared" si="12"/>
        <v/>
      </c>
      <c r="AE34" s="12" t="str">
        <f t="shared" si="13"/>
        <v/>
      </c>
      <c r="AF34" s="12" t="str">
        <f t="shared" si="14"/>
        <v/>
      </c>
      <c r="AG34" s="12"/>
      <c r="AH34" s="12">
        <f t="shared" si="15"/>
        <v>10.9094439374669</v>
      </c>
      <c r="AI34" s="12">
        <f t="shared" si="16"/>
        <v>10.942440654682301</v>
      </c>
      <c r="AJ34" s="12">
        <f t="shared" si="17"/>
        <v>10.9527597088214</v>
      </c>
      <c r="AK34" s="12">
        <f t="shared" si="18"/>
        <v>10.9415494098671</v>
      </c>
      <c r="AL34" s="12" t="str">
        <f t="shared" si="19"/>
        <v/>
      </c>
      <c r="AM34" s="12" t="str">
        <f t="shared" si="20"/>
        <v/>
      </c>
      <c r="AN34" s="12" t="str">
        <f t="shared" si="21"/>
        <v/>
      </c>
      <c r="AO34" s="12" t="str">
        <f t="shared" si="22"/>
        <v/>
      </c>
      <c r="AP34" s="12" t="str">
        <f t="shared" si="23"/>
        <v/>
      </c>
    </row>
    <row r="35" spans="1:42">
      <c r="A35" s="9">
        <f t="shared" si="24"/>
        <v>43123.747199074074</v>
      </c>
      <c r="B35" s="22">
        <f t="shared" si="25"/>
        <v>2458142.2471990739</v>
      </c>
      <c r="C35" s="23">
        <f t="shared" si="0"/>
        <v>9.2797435915551993</v>
      </c>
      <c r="D35" s="24">
        <f t="shared" ca="1" si="1"/>
        <v>6.4512964539746226E-2</v>
      </c>
      <c r="E35" s="24">
        <f t="shared" si="26"/>
        <v>2.2093481006762405E-2</v>
      </c>
      <c r="F35" s="25">
        <f t="shared" si="2"/>
        <v>10.910936590375998</v>
      </c>
      <c r="G35" s="7">
        <v>43123.747199074074</v>
      </c>
      <c r="H35" s="11">
        <v>2458142.2471989999</v>
      </c>
      <c r="I35" s="11">
        <v>-12.9799330930783</v>
      </c>
      <c r="J35" s="11">
        <v>-11.348740094257501</v>
      </c>
      <c r="K35" s="11">
        <v>-13.701940354540699</v>
      </c>
      <c r="L35" s="11">
        <v>-12.586442994481899</v>
      </c>
      <c r="M35" s="11">
        <v>-12.8262457571876</v>
      </c>
      <c r="N35" s="11">
        <v>-12.3590776323238</v>
      </c>
      <c r="O35" s="11"/>
      <c r="P35" s="11"/>
      <c r="Q35" s="11"/>
      <c r="R35" s="11"/>
      <c r="S35" s="11"/>
      <c r="T35" s="12"/>
      <c r="U35" s="12">
        <f t="shared" si="3"/>
        <v>4</v>
      </c>
      <c r="V35" s="28">
        <f t="shared" ca="1" si="4"/>
        <v>5.84</v>
      </c>
      <c r="W35" s="28">
        <f t="shared" si="5"/>
        <v>2.2093481006762405E-2</v>
      </c>
      <c r="X35" s="12">
        <f t="shared" si="6"/>
        <v>9.2480072614623996</v>
      </c>
      <c r="Y35" s="12">
        <f t="shared" si="7"/>
        <v>9.2855099014036</v>
      </c>
      <c r="Z35" s="12">
        <f t="shared" si="8"/>
        <v>9.2993126641092996</v>
      </c>
      <c r="AA35" s="12">
        <f t="shared" si="9"/>
        <v>9.2861445392455</v>
      </c>
      <c r="AB35" s="12" t="str">
        <f t="shared" si="10"/>
        <v/>
      </c>
      <c r="AC35" s="12" t="str">
        <f t="shared" si="11"/>
        <v/>
      </c>
      <c r="AD35" s="12" t="str">
        <f t="shared" si="12"/>
        <v/>
      </c>
      <c r="AE35" s="12" t="str">
        <f t="shared" si="13"/>
        <v/>
      </c>
      <c r="AF35" s="12" t="str">
        <f t="shared" si="14"/>
        <v/>
      </c>
      <c r="AG35" s="12"/>
      <c r="AH35" s="12">
        <f t="shared" si="15"/>
        <v>10.879200260283199</v>
      </c>
      <c r="AI35" s="12">
        <f t="shared" si="16"/>
        <v>10.916702900224399</v>
      </c>
      <c r="AJ35" s="12">
        <f t="shared" si="17"/>
        <v>10.930505662930099</v>
      </c>
      <c r="AK35" s="12">
        <f t="shared" si="18"/>
        <v>10.917337538066299</v>
      </c>
      <c r="AL35" s="12" t="str">
        <f t="shared" si="19"/>
        <v/>
      </c>
      <c r="AM35" s="12" t="str">
        <f t="shared" si="20"/>
        <v/>
      </c>
      <c r="AN35" s="12" t="str">
        <f t="shared" si="21"/>
        <v/>
      </c>
      <c r="AO35" s="12" t="str">
        <f t="shared" si="22"/>
        <v/>
      </c>
      <c r="AP35" s="12" t="str">
        <f t="shared" si="23"/>
        <v/>
      </c>
    </row>
    <row r="36" spans="1:42">
      <c r="A36" s="9">
        <f t="shared" si="24"/>
        <v>43123.747615740744</v>
      </c>
      <c r="B36" s="22">
        <f t="shared" si="25"/>
        <v>2458142.2476157406</v>
      </c>
      <c r="C36" s="23">
        <f t="shared" si="0"/>
        <v>9.2691228892728503</v>
      </c>
      <c r="D36" s="24">
        <f t="shared" ca="1" si="1"/>
        <v>5.1092519714201846E-2</v>
      </c>
      <c r="E36" s="24">
        <f t="shared" si="26"/>
        <v>1.7497438258288305E-2</v>
      </c>
      <c r="F36" s="25">
        <f t="shared" si="2"/>
        <v>10.90368608179525</v>
      </c>
      <c r="G36" s="7">
        <v>43123.747615740744</v>
      </c>
      <c r="H36" s="11">
        <v>2458142.247616</v>
      </c>
      <c r="I36" s="11">
        <v>-12.9862900037646</v>
      </c>
      <c r="J36" s="11">
        <v>-11.3517268112422</v>
      </c>
      <c r="K36" s="11">
        <v>-13.704151591361599</v>
      </c>
      <c r="L36" s="11">
        <v>-12.5797196765912</v>
      </c>
      <c r="M36" s="11">
        <v>-12.817159264990901</v>
      </c>
      <c r="N36" s="11">
        <v>-12.355621039206101</v>
      </c>
      <c r="O36" s="11"/>
      <c r="P36" s="11"/>
      <c r="Q36" s="11"/>
      <c r="R36" s="11"/>
      <c r="S36" s="11"/>
      <c r="T36" s="12"/>
      <c r="U36" s="12">
        <f t="shared" si="3"/>
        <v>4</v>
      </c>
      <c r="V36" s="28">
        <f t="shared" ca="1" si="4"/>
        <v>5.84</v>
      </c>
      <c r="W36" s="28">
        <f t="shared" si="5"/>
        <v>1.7497438258288305E-2</v>
      </c>
      <c r="X36" s="12">
        <f t="shared" si="6"/>
        <v>9.2438615875969994</v>
      </c>
      <c r="Y36" s="12">
        <f t="shared" si="7"/>
        <v>9.2724296728266005</v>
      </c>
      <c r="Z36" s="12">
        <f t="shared" si="8"/>
        <v>9.2838692612263003</v>
      </c>
      <c r="AA36" s="12">
        <f t="shared" si="9"/>
        <v>9.2763310354415012</v>
      </c>
      <c r="AB36" s="12" t="str">
        <f t="shared" si="10"/>
        <v/>
      </c>
      <c r="AC36" s="12" t="str">
        <f t="shared" si="11"/>
        <v/>
      </c>
      <c r="AD36" s="12" t="str">
        <f t="shared" si="12"/>
        <v/>
      </c>
      <c r="AE36" s="12" t="str">
        <f t="shared" si="13"/>
        <v/>
      </c>
      <c r="AF36" s="12" t="str">
        <f t="shared" si="14"/>
        <v/>
      </c>
      <c r="AG36" s="12"/>
      <c r="AH36" s="12">
        <f t="shared" si="15"/>
        <v>10.878424780119399</v>
      </c>
      <c r="AI36" s="12">
        <f t="shared" si="16"/>
        <v>10.906992865349</v>
      </c>
      <c r="AJ36" s="12">
        <f t="shared" si="17"/>
        <v>10.9184324537487</v>
      </c>
      <c r="AK36" s="12">
        <f t="shared" si="18"/>
        <v>10.910894227963901</v>
      </c>
      <c r="AL36" s="12" t="str">
        <f t="shared" si="19"/>
        <v/>
      </c>
      <c r="AM36" s="12" t="str">
        <f t="shared" si="20"/>
        <v/>
      </c>
      <c r="AN36" s="12" t="str">
        <f t="shared" si="21"/>
        <v/>
      </c>
      <c r="AO36" s="12" t="str">
        <f t="shared" si="22"/>
        <v/>
      </c>
      <c r="AP36" s="12" t="str">
        <f t="shared" si="23"/>
        <v/>
      </c>
    </row>
    <row r="37" spans="1:42">
      <c r="A37" s="9">
        <f t="shared" si="24"/>
        <v>43123.748043981483</v>
      </c>
      <c r="B37" s="22">
        <f t="shared" si="25"/>
        <v>2458142.2480439814</v>
      </c>
      <c r="C37" s="23">
        <f t="shared" si="0"/>
        <v>9.2546149947341743</v>
      </c>
      <c r="D37" s="24">
        <f t="shared" ca="1" si="1"/>
        <v>5.4051703743181335E-2</v>
      </c>
      <c r="E37" s="24">
        <f t="shared" si="26"/>
        <v>1.8510857446294979E-2</v>
      </c>
      <c r="F37" s="25">
        <f t="shared" si="2"/>
        <v>10.964195598015175</v>
      </c>
      <c r="G37" s="7">
        <v>43123.748043981483</v>
      </c>
      <c r="H37" s="11">
        <v>2458142.248044</v>
      </c>
      <c r="I37" s="11">
        <v>-13.008267341727199</v>
      </c>
      <c r="J37" s="11">
        <v>-11.2986867384462</v>
      </c>
      <c r="K37" s="11">
        <v>-13.709318388788599</v>
      </c>
      <c r="L37" s="11">
        <v>-12.5918328237575</v>
      </c>
      <c r="M37" s="11">
        <v>-12.8171760846895</v>
      </c>
      <c r="N37" s="11">
        <v>-12.3682020486099</v>
      </c>
      <c r="O37" s="11"/>
      <c r="P37" s="11"/>
      <c r="Q37" s="11"/>
      <c r="R37" s="11"/>
      <c r="S37" s="11"/>
      <c r="T37" s="12"/>
      <c r="U37" s="12">
        <f t="shared" si="3"/>
        <v>4</v>
      </c>
      <c r="V37" s="28">
        <f t="shared" ca="1" si="4"/>
        <v>5.84</v>
      </c>
      <c r="W37" s="28">
        <f t="shared" si="5"/>
        <v>1.8510857446294979E-2</v>
      </c>
      <c r="X37" s="12">
        <f t="shared" si="6"/>
        <v>9.2270510470613996</v>
      </c>
      <c r="Y37" s="12">
        <f t="shared" si="7"/>
        <v>9.2625654820303005</v>
      </c>
      <c r="Z37" s="12">
        <f t="shared" si="8"/>
        <v>9.2619087429622997</v>
      </c>
      <c r="AA37" s="12">
        <f t="shared" si="9"/>
        <v>9.2669347068827008</v>
      </c>
      <c r="AB37" s="12" t="str">
        <f t="shared" si="10"/>
        <v/>
      </c>
      <c r="AC37" s="12" t="str">
        <f t="shared" si="11"/>
        <v/>
      </c>
      <c r="AD37" s="12" t="str">
        <f t="shared" si="12"/>
        <v/>
      </c>
      <c r="AE37" s="12" t="str">
        <f t="shared" si="13"/>
        <v/>
      </c>
      <c r="AF37" s="12" t="str">
        <f t="shared" si="14"/>
        <v/>
      </c>
      <c r="AG37" s="12"/>
      <c r="AH37" s="12">
        <f t="shared" si="15"/>
        <v>10.936631650342399</v>
      </c>
      <c r="AI37" s="12">
        <f t="shared" si="16"/>
        <v>10.9721460853113</v>
      </c>
      <c r="AJ37" s="12">
        <f t="shared" si="17"/>
        <v>10.971489346243299</v>
      </c>
      <c r="AK37" s="12">
        <f t="shared" si="18"/>
        <v>10.9765153101637</v>
      </c>
      <c r="AL37" s="12" t="str">
        <f t="shared" si="19"/>
        <v/>
      </c>
      <c r="AM37" s="12" t="str">
        <f t="shared" si="20"/>
        <v/>
      </c>
      <c r="AN37" s="12" t="str">
        <f t="shared" si="21"/>
        <v/>
      </c>
      <c r="AO37" s="12" t="str">
        <f t="shared" si="22"/>
        <v/>
      </c>
      <c r="AP37" s="12" t="str">
        <f t="shared" si="23"/>
        <v/>
      </c>
    </row>
    <row r="38" spans="1:42">
      <c r="A38" s="9">
        <f t="shared" si="24"/>
        <v>43123.748460648145</v>
      </c>
      <c r="B38" s="22">
        <f t="shared" si="25"/>
        <v>2458142.2484606481</v>
      </c>
      <c r="C38" s="23">
        <f t="shared" si="0"/>
        <v>9.2468854722968743</v>
      </c>
      <c r="D38" s="24">
        <f t="shared" ca="1" si="1"/>
        <v>5.5286855203968401E-2</v>
      </c>
      <c r="E38" s="24">
        <f t="shared" si="26"/>
        <v>1.8933854521906986E-2</v>
      </c>
      <c r="F38" s="25">
        <f t="shared" si="2"/>
        <v>10.939944543372475</v>
      </c>
      <c r="G38" s="7">
        <v>43123.748460648145</v>
      </c>
      <c r="H38" s="11">
        <v>2458142.2484610002</v>
      </c>
      <c r="I38" s="11">
        <v>-13.0155194511317</v>
      </c>
      <c r="J38" s="11">
        <v>-11.3224603800561</v>
      </c>
      <c r="K38" s="11">
        <v>-13.7106405141752</v>
      </c>
      <c r="L38" s="11">
        <v>-12.597067367264801</v>
      </c>
      <c r="M38" s="11">
        <v>-12.824167295289801</v>
      </c>
      <c r="N38" s="11">
        <v>-12.352744516984499</v>
      </c>
      <c r="O38" s="11"/>
      <c r="P38" s="11"/>
      <c r="Q38" s="11"/>
      <c r="R38" s="11"/>
      <c r="S38" s="11"/>
      <c r="T38" s="12"/>
      <c r="U38" s="12">
        <f t="shared" si="3"/>
        <v>4</v>
      </c>
      <c r="V38" s="28">
        <f t="shared" ca="1" si="4"/>
        <v>5.84</v>
      </c>
      <c r="W38" s="28">
        <f t="shared" si="5"/>
        <v>1.8933854521906986E-2</v>
      </c>
      <c r="X38" s="12">
        <f t="shared" si="6"/>
        <v>9.2211210630434994</v>
      </c>
      <c r="Y38" s="12">
        <f t="shared" si="7"/>
        <v>9.2605479161331008</v>
      </c>
      <c r="Z38" s="12">
        <f t="shared" si="8"/>
        <v>9.2616478441580998</v>
      </c>
      <c r="AA38" s="12">
        <f t="shared" si="9"/>
        <v>9.2442250658527989</v>
      </c>
      <c r="AB38" s="12" t="str">
        <f t="shared" si="10"/>
        <v/>
      </c>
      <c r="AC38" s="12" t="str">
        <f t="shared" si="11"/>
        <v/>
      </c>
      <c r="AD38" s="12" t="str">
        <f t="shared" si="12"/>
        <v/>
      </c>
      <c r="AE38" s="12" t="str">
        <f t="shared" si="13"/>
        <v/>
      </c>
      <c r="AF38" s="12" t="str">
        <f t="shared" si="14"/>
        <v/>
      </c>
      <c r="AG38" s="12"/>
      <c r="AH38" s="12">
        <f t="shared" si="15"/>
        <v>10.9141801341191</v>
      </c>
      <c r="AI38" s="12">
        <f t="shared" si="16"/>
        <v>10.953606987208701</v>
      </c>
      <c r="AJ38" s="12">
        <f t="shared" si="17"/>
        <v>10.9547069152337</v>
      </c>
      <c r="AK38" s="12">
        <f t="shared" si="18"/>
        <v>10.937284136928399</v>
      </c>
      <c r="AL38" s="12" t="str">
        <f t="shared" si="19"/>
        <v/>
      </c>
      <c r="AM38" s="12" t="str">
        <f t="shared" si="20"/>
        <v/>
      </c>
      <c r="AN38" s="12" t="str">
        <f t="shared" si="21"/>
        <v/>
      </c>
      <c r="AO38" s="12" t="str">
        <f t="shared" si="22"/>
        <v/>
      </c>
      <c r="AP38" s="12" t="str">
        <f t="shared" si="23"/>
        <v/>
      </c>
    </row>
    <row r="39" spans="1:42">
      <c r="A39" s="9">
        <f t="shared" si="24"/>
        <v>43123.748888888891</v>
      </c>
      <c r="B39" s="22">
        <f t="shared" si="25"/>
        <v>2458142.2488888889</v>
      </c>
      <c r="C39" s="23">
        <f t="shared" si="0"/>
        <v>9.2326478305849999</v>
      </c>
      <c r="D39" s="24">
        <f t="shared" ca="1" si="1"/>
        <v>2.7680216167704098E-2</v>
      </c>
      <c r="E39" s="24">
        <f t="shared" si="26"/>
        <v>9.4795260848301709E-3</v>
      </c>
      <c r="F39" s="25">
        <f t="shared" si="2"/>
        <v>10.935347707075199</v>
      </c>
      <c r="G39" s="7">
        <v>43123.748888888891</v>
      </c>
      <c r="H39" s="11">
        <v>2458142.2488890002</v>
      </c>
      <c r="I39" s="11">
        <v>-13.030055017184599</v>
      </c>
      <c r="J39" s="11">
        <v>-11.327355140694401</v>
      </c>
      <c r="K39" s="11">
        <v>-13.7229623570024</v>
      </c>
      <c r="L39" s="11">
        <v>-12.5851808929641</v>
      </c>
      <c r="M39" s="11">
        <v>-12.8145274040823</v>
      </c>
      <c r="N39" s="11">
        <v>-12.3631407370296</v>
      </c>
      <c r="O39" s="11"/>
      <c r="P39" s="11"/>
      <c r="Q39" s="11"/>
      <c r="R39" s="11"/>
      <c r="S39" s="11"/>
      <c r="T39" s="12"/>
      <c r="U39" s="12">
        <f t="shared" si="3"/>
        <v>4</v>
      </c>
      <c r="V39" s="28">
        <f t="shared" ca="1" si="4"/>
        <v>5.84</v>
      </c>
      <c r="W39" s="28">
        <f t="shared" si="5"/>
        <v>9.4795260848301709E-3</v>
      </c>
      <c r="X39" s="12">
        <f t="shared" si="6"/>
        <v>9.2189073398178003</v>
      </c>
      <c r="Y39" s="12">
        <f t="shared" si="7"/>
        <v>9.2341258757795011</v>
      </c>
      <c r="Z39" s="12">
        <f t="shared" si="8"/>
        <v>9.2374723868977</v>
      </c>
      <c r="AA39" s="12">
        <f t="shared" si="9"/>
        <v>9.2400857198450002</v>
      </c>
      <c r="AB39" s="12" t="str">
        <f t="shared" si="10"/>
        <v/>
      </c>
      <c r="AC39" s="12" t="str">
        <f t="shared" si="11"/>
        <v/>
      </c>
      <c r="AD39" s="12" t="str">
        <f t="shared" si="12"/>
        <v/>
      </c>
      <c r="AE39" s="12" t="str">
        <f t="shared" si="13"/>
        <v/>
      </c>
      <c r="AF39" s="12" t="str">
        <f t="shared" si="14"/>
        <v/>
      </c>
      <c r="AG39" s="12"/>
      <c r="AH39" s="12">
        <f t="shared" si="15"/>
        <v>10.921607216307999</v>
      </c>
      <c r="AI39" s="12">
        <f t="shared" si="16"/>
        <v>10.9368257522697</v>
      </c>
      <c r="AJ39" s="12">
        <f t="shared" si="17"/>
        <v>10.940172263387899</v>
      </c>
      <c r="AK39" s="12">
        <f t="shared" si="18"/>
        <v>10.942785596335199</v>
      </c>
      <c r="AL39" s="12" t="str">
        <f t="shared" si="19"/>
        <v/>
      </c>
      <c r="AM39" s="12" t="str">
        <f t="shared" si="20"/>
        <v/>
      </c>
      <c r="AN39" s="12" t="str">
        <f t="shared" si="21"/>
        <v/>
      </c>
      <c r="AO39" s="12" t="str">
        <f t="shared" si="22"/>
        <v/>
      </c>
      <c r="AP39" s="12" t="str">
        <f t="shared" si="23"/>
        <v/>
      </c>
    </row>
    <row r="40" spans="1:42">
      <c r="A40" s="9">
        <f t="shared" si="24"/>
        <v>43123.749305555553</v>
      </c>
      <c r="B40" s="22">
        <f t="shared" si="25"/>
        <v>2458142.2493055556</v>
      </c>
      <c r="C40" s="23">
        <f t="shared" si="0"/>
        <v>9.2141236740849752</v>
      </c>
      <c r="D40" s="24">
        <f t="shared" ca="1" si="1"/>
        <v>4.9890674372708881E-2</v>
      </c>
      <c r="E40" s="24">
        <f t="shared" si="26"/>
        <v>1.7085847387914001E-2</v>
      </c>
      <c r="F40" s="25">
        <f t="shared" si="2"/>
        <v>10.906812579526274</v>
      </c>
      <c r="G40" s="7">
        <v>43123.749305555553</v>
      </c>
      <c r="H40" s="11">
        <v>2458142.2493059998</v>
      </c>
      <c r="I40" s="11">
        <v>-13.0496902995953</v>
      </c>
      <c r="J40" s="11">
        <v>-11.357001394154</v>
      </c>
      <c r="K40" s="11">
        <v>-13.713048443170701</v>
      </c>
      <c r="L40" s="11">
        <v>-12.595766572568399</v>
      </c>
      <c r="M40" s="11">
        <v>-12.8128681679057</v>
      </c>
      <c r="N40" s="11">
        <v>-12.3685727110763</v>
      </c>
      <c r="O40" s="11"/>
      <c r="P40" s="11"/>
      <c r="Q40" s="11"/>
      <c r="R40" s="11"/>
      <c r="S40" s="11"/>
      <c r="T40" s="12"/>
      <c r="U40" s="12">
        <f t="shared" si="3"/>
        <v>4</v>
      </c>
      <c r="V40" s="28">
        <f t="shared" ca="1" si="4"/>
        <v>5.84</v>
      </c>
      <c r="W40" s="28">
        <f t="shared" si="5"/>
        <v>1.7085847387914001E-2</v>
      </c>
      <c r="X40" s="12">
        <f t="shared" si="6"/>
        <v>9.1893581435754008</v>
      </c>
      <c r="Y40" s="12">
        <f t="shared" si="7"/>
        <v>9.2250762729730997</v>
      </c>
      <c r="Z40" s="12">
        <f t="shared" si="8"/>
        <v>9.2161778683103996</v>
      </c>
      <c r="AA40" s="12">
        <f t="shared" si="9"/>
        <v>9.2258824114810007</v>
      </c>
      <c r="AB40" s="12" t="str">
        <f t="shared" si="10"/>
        <v/>
      </c>
      <c r="AC40" s="12" t="str">
        <f t="shared" si="11"/>
        <v/>
      </c>
      <c r="AD40" s="12" t="str">
        <f t="shared" si="12"/>
        <v/>
      </c>
      <c r="AE40" s="12" t="str">
        <f t="shared" si="13"/>
        <v/>
      </c>
      <c r="AF40" s="12" t="str">
        <f t="shared" si="14"/>
        <v/>
      </c>
      <c r="AG40" s="12"/>
      <c r="AH40" s="12">
        <f t="shared" si="15"/>
        <v>10.8820470490167</v>
      </c>
      <c r="AI40" s="12">
        <f t="shared" si="16"/>
        <v>10.917765178414399</v>
      </c>
      <c r="AJ40" s="12">
        <f t="shared" si="17"/>
        <v>10.908866773751699</v>
      </c>
      <c r="AK40" s="12">
        <f t="shared" si="18"/>
        <v>10.9185713169223</v>
      </c>
      <c r="AL40" s="12" t="str">
        <f t="shared" si="19"/>
        <v/>
      </c>
      <c r="AM40" s="12" t="str">
        <f t="shared" si="20"/>
        <v/>
      </c>
      <c r="AN40" s="12" t="str">
        <f t="shared" si="21"/>
        <v/>
      </c>
      <c r="AO40" s="12" t="str">
        <f t="shared" si="22"/>
        <v/>
      </c>
      <c r="AP40" s="12" t="str">
        <f t="shared" si="23"/>
        <v/>
      </c>
    </row>
    <row r="41" spans="1:42">
      <c r="A41" s="9">
        <f t="shared" si="24"/>
        <v>43123.7497337963</v>
      </c>
      <c r="B41" s="22">
        <f t="shared" si="25"/>
        <v>2458142.2497337963</v>
      </c>
      <c r="C41" s="23">
        <f t="shared" si="0"/>
        <v>9.2056412191161741</v>
      </c>
      <c r="D41" s="24">
        <f t="shared" ca="1" si="1"/>
        <v>5.3387142217570641E-2</v>
      </c>
      <c r="E41" s="24">
        <f t="shared" si="26"/>
        <v>1.8283267882729673E-2</v>
      </c>
      <c r="F41" s="25">
        <f t="shared" si="2"/>
        <v>10.932938096400175</v>
      </c>
      <c r="G41" s="7">
        <v>43123.7497337963</v>
      </c>
      <c r="H41" s="11">
        <v>2458142.2497339998</v>
      </c>
      <c r="I41" s="11">
        <v>-13.054363522007799</v>
      </c>
      <c r="J41" s="11">
        <v>-11.3270666447238</v>
      </c>
      <c r="K41" s="11">
        <v>-13.7101485295914</v>
      </c>
      <c r="L41" s="11">
        <v>-12.5854868856343</v>
      </c>
      <c r="M41" s="11">
        <v>-12.827320696707099</v>
      </c>
      <c r="N41" s="11">
        <v>-12.352062852563099</v>
      </c>
      <c r="O41" s="11"/>
      <c r="P41" s="11"/>
      <c r="Q41" s="11"/>
      <c r="R41" s="11"/>
      <c r="S41" s="11"/>
      <c r="T41" s="12"/>
      <c r="U41" s="12">
        <f t="shared" si="3"/>
        <v>4</v>
      </c>
      <c r="V41" s="28">
        <f t="shared" ca="1" si="4"/>
        <v>5.84</v>
      </c>
      <c r="W41" s="28">
        <f t="shared" si="5"/>
        <v>1.8283267882729673E-2</v>
      </c>
      <c r="X41" s="12">
        <f t="shared" si="6"/>
        <v>9.1817850075836009</v>
      </c>
      <c r="Y41" s="12">
        <f t="shared" si="7"/>
        <v>9.2101233636265007</v>
      </c>
      <c r="Z41" s="12">
        <f t="shared" si="8"/>
        <v>9.2259571746992997</v>
      </c>
      <c r="AA41" s="12">
        <f t="shared" si="9"/>
        <v>9.2046993305553002</v>
      </c>
      <c r="AB41" s="12" t="str">
        <f t="shared" si="10"/>
        <v/>
      </c>
      <c r="AC41" s="12" t="str">
        <f t="shared" si="11"/>
        <v/>
      </c>
      <c r="AD41" s="12" t="str">
        <f t="shared" si="12"/>
        <v/>
      </c>
      <c r="AE41" s="12" t="str">
        <f t="shared" si="13"/>
        <v/>
      </c>
      <c r="AF41" s="12" t="str">
        <f t="shared" si="14"/>
        <v/>
      </c>
      <c r="AG41" s="12"/>
      <c r="AH41" s="12">
        <f t="shared" si="15"/>
        <v>10.9090818848676</v>
      </c>
      <c r="AI41" s="12">
        <f t="shared" si="16"/>
        <v>10.9374202409105</v>
      </c>
      <c r="AJ41" s="12">
        <f t="shared" si="17"/>
        <v>10.953254051983299</v>
      </c>
      <c r="AK41" s="12">
        <f t="shared" si="18"/>
        <v>10.931996207839299</v>
      </c>
      <c r="AL41" s="12" t="str">
        <f t="shared" si="19"/>
        <v/>
      </c>
      <c r="AM41" s="12" t="str">
        <f t="shared" si="20"/>
        <v/>
      </c>
      <c r="AN41" s="12" t="str">
        <f t="shared" si="21"/>
        <v/>
      </c>
      <c r="AO41" s="12" t="str">
        <f t="shared" si="22"/>
        <v/>
      </c>
      <c r="AP41" s="12" t="str">
        <f t="shared" si="23"/>
        <v/>
      </c>
    </row>
    <row r="42" spans="1:42">
      <c r="A42" s="9">
        <f t="shared" si="24"/>
        <v>43123.750150462962</v>
      </c>
      <c r="B42" s="22">
        <f t="shared" si="25"/>
        <v>2458142.2501504631</v>
      </c>
      <c r="C42" s="23">
        <f t="shared" si="0"/>
        <v>9.1853751969395745</v>
      </c>
      <c r="D42" s="24">
        <f t="shared" ca="1" si="1"/>
        <v>4.3045188012882242E-2</v>
      </c>
      <c r="E42" s="24">
        <f t="shared" si="26"/>
        <v>1.4741502744137755E-2</v>
      </c>
      <c r="F42" s="25">
        <f t="shared" si="2"/>
        <v>10.937822259636475</v>
      </c>
      <c r="G42" s="7">
        <v>43123.750150462962</v>
      </c>
      <c r="H42" s="11">
        <v>2458142.2501500002</v>
      </c>
      <c r="I42" s="11">
        <v>-13.0789911075438</v>
      </c>
      <c r="J42" s="11">
        <v>-11.3265440448469</v>
      </c>
      <c r="K42" s="11">
        <v>-13.717011907902499</v>
      </c>
      <c r="L42" s="11">
        <v>-12.5881600564172</v>
      </c>
      <c r="M42" s="11">
        <v>-12.817829567932099</v>
      </c>
      <c r="N42" s="11">
        <v>-12.3694636856817</v>
      </c>
      <c r="O42" s="11"/>
      <c r="P42" s="11"/>
      <c r="Q42" s="11"/>
      <c r="R42" s="11"/>
      <c r="S42" s="11"/>
      <c r="T42" s="12"/>
      <c r="U42" s="12">
        <f t="shared" si="3"/>
        <v>4</v>
      </c>
      <c r="V42" s="28">
        <f t="shared" ca="1" si="4"/>
        <v>5.84</v>
      </c>
      <c r="W42" s="28">
        <f t="shared" si="5"/>
        <v>1.4741502744137755E-2</v>
      </c>
      <c r="X42" s="12">
        <f t="shared" si="6"/>
        <v>9.1640208003586991</v>
      </c>
      <c r="Y42" s="12">
        <f t="shared" si="7"/>
        <v>9.1881689488734004</v>
      </c>
      <c r="Z42" s="12">
        <f t="shared" si="8"/>
        <v>9.1918384603882988</v>
      </c>
      <c r="AA42" s="12">
        <f t="shared" si="9"/>
        <v>9.1974725781378996</v>
      </c>
      <c r="AB42" s="12" t="str">
        <f t="shared" si="10"/>
        <v/>
      </c>
      <c r="AC42" s="12" t="str">
        <f t="shared" si="11"/>
        <v/>
      </c>
      <c r="AD42" s="12" t="str">
        <f t="shared" si="12"/>
        <v/>
      </c>
      <c r="AE42" s="12" t="str">
        <f t="shared" si="13"/>
        <v/>
      </c>
      <c r="AF42" s="12" t="str">
        <f t="shared" si="14"/>
        <v/>
      </c>
      <c r="AG42" s="12"/>
      <c r="AH42" s="12">
        <f t="shared" si="15"/>
        <v>10.916467863055599</v>
      </c>
      <c r="AI42" s="12">
        <f t="shared" si="16"/>
        <v>10.940616011570301</v>
      </c>
      <c r="AJ42" s="12">
        <f t="shared" si="17"/>
        <v>10.944285523085199</v>
      </c>
      <c r="AK42" s="12">
        <f t="shared" si="18"/>
        <v>10.9499196408348</v>
      </c>
      <c r="AL42" s="12" t="str">
        <f t="shared" si="19"/>
        <v/>
      </c>
      <c r="AM42" s="12" t="str">
        <f t="shared" si="20"/>
        <v/>
      </c>
      <c r="AN42" s="12" t="str">
        <f t="shared" si="21"/>
        <v/>
      </c>
      <c r="AO42" s="12" t="str">
        <f t="shared" si="22"/>
        <v/>
      </c>
      <c r="AP42" s="12" t="str">
        <f t="shared" si="23"/>
        <v/>
      </c>
    </row>
    <row r="43" spans="1:42">
      <c r="A43" s="9">
        <f t="shared" si="24"/>
        <v>43123.750567129631</v>
      </c>
      <c r="B43" s="22">
        <f t="shared" si="25"/>
        <v>2458142.2505671298</v>
      </c>
      <c r="C43" s="23">
        <f t="shared" si="0"/>
        <v>9.1834467852882486</v>
      </c>
      <c r="D43" s="24">
        <f t="shared" ca="1" si="1"/>
        <v>3.7151488112088779E-2</v>
      </c>
      <c r="E43" s="24">
        <f t="shared" si="26"/>
        <v>1.2723112367153691E-2</v>
      </c>
      <c r="F43" s="25">
        <f t="shared" si="2"/>
        <v>10.921509798746449</v>
      </c>
      <c r="G43" s="7">
        <v>43123.750567129631</v>
      </c>
      <c r="H43" s="11">
        <v>2458142.2505669999</v>
      </c>
      <c r="I43" s="11">
        <v>-13.077026297101201</v>
      </c>
      <c r="J43" s="11">
        <v>-11.338963283643</v>
      </c>
      <c r="K43" s="11">
        <v>-13.7194047683804</v>
      </c>
      <c r="L43" s="11">
        <v>-12.5915659755855</v>
      </c>
      <c r="M43" s="11">
        <v>-12.8184559319545</v>
      </c>
      <c r="N43" s="11">
        <v>-12.3474656536374</v>
      </c>
      <c r="O43" s="11"/>
      <c r="P43" s="11"/>
      <c r="Q43" s="11"/>
      <c r="R43" s="11"/>
      <c r="S43" s="11"/>
      <c r="T43" s="12"/>
      <c r="U43" s="12">
        <f t="shared" si="3"/>
        <v>4</v>
      </c>
      <c r="V43" s="28">
        <f t="shared" ca="1" si="4"/>
        <v>5.84</v>
      </c>
      <c r="W43" s="28">
        <f t="shared" si="5"/>
        <v>1.2723112367153691E-2</v>
      </c>
      <c r="X43" s="12">
        <f t="shared" si="6"/>
        <v>9.1683784712791994</v>
      </c>
      <c r="Y43" s="12">
        <f t="shared" si="7"/>
        <v>9.1935396784842993</v>
      </c>
      <c r="Z43" s="12">
        <f t="shared" si="8"/>
        <v>9.1944296348532983</v>
      </c>
      <c r="AA43" s="12">
        <f t="shared" si="9"/>
        <v>9.1774393565361994</v>
      </c>
      <c r="AB43" s="12" t="str">
        <f t="shared" si="10"/>
        <v/>
      </c>
      <c r="AC43" s="12" t="str">
        <f t="shared" si="11"/>
        <v/>
      </c>
      <c r="AD43" s="12" t="str">
        <f t="shared" si="12"/>
        <v/>
      </c>
      <c r="AE43" s="12" t="str">
        <f t="shared" si="13"/>
        <v/>
      </c>
      <c r="AF43" s="12" t="str">
        <f t="shared" si="14"/>
        <v/>
      </c>
      <c r="AG43" s="12"/>
      <c r="AH43" s="12">
        <f t="shared" si="15"/>
        <v>10.9064414847374</v>
      </c>
      <c r="AI43" s="12">
        <f t="shared" si="16"/>
        <v>10.9316026919425</v>
      </c>
      <c r="AJ43" s="12">
        <f t="shared" si="17"/>
        <v>10.932492648311499</v>
      </c>
      <c r="AK43" s="12">
        <f t="shared" si="18"/>
        <v>10.9155023699944</v>
      </c>
      <c r="AL43" s="12" t="str">
        <f t="shared" si="19"/>
        <v/>
      </c>
      <c r="AM43" s="12" t="str">
        <f t="shared" si="20"/>
        <v/>
      </c>
      <c r="AN43" s="12" t="str">
        <f t="shared" si="21"/>
        <v/>
      </c>
      <c r="AO43" s="12" t="str">
        <f t="shared" si="22"/>
        <v/>
      </c>
      <c r="AP43" s="12" t="str">
        <f t="shared" si="23"/>
        <v/>
      </c>
    </row>
    <row r="44" spans="1:42">
      <c r="A44" s="9">
        <f t="shared" si="24"/>
        <v>43123.75099537037</v>
      </c>
      <c r="B44" s="22">
        <f t="shared" si="25"/>
        <v>2458142.2509953706</v>
      </c>
      <c r="C44" s="23">
        <f t="shared" si="0"/>
        <v>9.1634029208199763</v>
      </c>
      <c r="D44" s="24">
        <f t="shared" ca="1" si="1"/>
        <v>3.9723679475099673E-2</v>
      </c>
      <c r="E44" s="24">
        <f t="shared" si="26"/>
        <v>1.3603999820239614E-2</v>
      </c>
      <c r="F44" s="25">
        <f t="shared" si="2"/>
        <v>10.937013175650474</v>
      </c>
      <c r="G44" s="7">
        <v>43123.75099537037</v>
      </c>
      <c r="H44" s="11">
        <v>2458142.2509949999</v>
      </c>
      <c r="I44" s="11">
        <v>-13.1065998813369</v>
      </c>
      <c r="J44" s="11">
        <v>-11.3329896265064</v>
      </c>
      <c r="K44" s="11">
        <v>-13.7241083904681</v>
      </c>
      <c r="L44" s="11">
        <v>-12.5977029343025</v>
      </c>
      <c r="M44" s="11">
        <v>-12.827306863817601</v>
      </c>
      <c r="N44" s="11">
        <v>-12.3658930200393</v>
      </c>
      <c r="O44" s="11"/>
      <c r="P44" s="11"/>
      <c r="Q44" s="11"/>
      <c r="R44" s="11"/>
      <c r="S44" s="11"/>
      <c r="T44" s="12"/>
      <c r="U44" s="12">
        <f t="shared" si="3"/>
        <v>4</v>
      </c>
      <c r="V44" s="28">
        <f t="shared" ca="1" si="4"/>
        <v>5.84</v>
      </c>
      <c r="W44" s="28">
        <f t="shared" si="5"/>
        <v>1.3603999820239614E-2</v>
      </c>
      <c r="X44" s="12">
        <f t="shared" si="6"/>
        <v>9.1435085091312001</v>
      </c>
      <c r="Y44" s="12">
        <f t="shared" si="7"/>
        <v>9.1701030529656009</v>
      </c>
      <c r="Z44" s="12">
        <f t="shared" si="8"/>
        <v>9.1737069824807005</v>
      </c>
      <c r="AA44" s="12">
        <f t="shared" si="9"/>
        <v>9.1662931387024003</v>
      </c>
      <c r="AB44" s="12" t="str">
        <f t="shared" si="10"/>
        <v/>
      </c>
      <c r="AC44" s="12" t="str">
        <f t="shared" si="11"/>
        <v/>
      </c>
      <c r="AD44" s="12" t="str">
        <f t="shared" si="12"/>
        <v/>
      </c>
      <c r="AE44" s="12" t="str">
        <f t="shared" si="13"/>
        <v/>
      </c>
      <c r="AF44" s="12" t="str">
        <f t="shared" si="14"/>
        <v/>
      </c>
      <c r="AG44" s="12"/>
      <c r="AH44" s="12">
        <f t="shared" si="15"/>
        <v>10.9171187639617</v>
      </c>
      <c r="AI44" s="12">
        <f t="shared" si="16"/>
        <v>10.9437133077961</v>
      </c>
      <c r="AJ44" s="12">
        <f t="shared" si="17"/>
        <v>10.9473172373112</v>
      </c>
      <c r="AK44" s="12">
        <f t="shared" si="18"/>
        <v>10.9399033935329</v>
      </c>
      <c r="AL44" s="12" t="str">
        <f t="shared" si="19"/>
        <v/>
      </c>
      <c r="AM44" s="12" t="str">
        <f t="shared" si="20"/>
        <v/>
      </c>
      <c r="AN44" s="12" t="str">
        <f t="shared" si="21"/>
        <v/>
      </c>
      <c r="AO44" s="12" t="str">
        <f t="shared" si="22"/>
        <v/>
      </c>
      <c r="AP44" s="12" t="str">
        <f t="shared" si="23"/>
        <v/>
      </c>
    </row>
    <row r="45" spans="1:42">
      <c r="A45" s="9">
        <f t="shared" si="24"/>
        <v>43123.75141203704</v>
      </c>
      <c r="B45" s="22">
        <f t="shared" si="25"/>
        <v>2458142.2514120368</v>
      </c>
      <c r="C45" s="23">
        <f t="shared" si="0"/>
        <v>9.1665679132764986</v>
      </c>
      <c r="D45" s="24">
        <f t="shared" ca="1" si="1"/>
        <v>5.9899202437128998E-2</v>
      </c>
      <c r="E45" s="24">
        <f t="shared" si="26"/>
        <v>2.0513425492167465E-2</v>
      </c>
      <c r="F45" s="25">
        <f t="shared" si="2"/>
        <v>10.923437241575501</v>
      </c>
      <c r="G45" s="7">
        <v>43123.75141203704</v>
      </c>
      <c r="H45" s="11">
        <v>2458142.251412</v>
      </c>
      <c r="I45" s="11">
        <v>-13.0990864199053</v>
      </c>
      <c r="J45" s="11">
        <v>-11.342217091606299</v>
      </c>
      <c r="K45" s="11">
        <v>-13.7093080939968</v>
      </c>
      <c r="L45" s="11">
        <v>-12.5942685444807</v>
      </c>
      <c r="M45" s="11">
        <v>-12.827567098031199</v>
      </c>
      <c r="N45" s="11">
        <v>-12.3664735962185</v>
      </c>
      <c r="O45" s="11"/>
      <c r="P45" s="11"/>
      <c r="Q45" s="11"/>
      <c r="R45" s="11"/>
      <c r="S45" s="11"/>
      <c r="T45" s="12"/>
      <c r="U45" s="12">
        <f t="shared" si="3"/>
        <v>4</v>
      </c>
      <c r="V45" s="28">
        <f t="shared" ca="1" si="4"/>
        <v>5.84</v>
      </c>
      <c r="W45" s="28">
        <f t="shared" si="5"/>
        <v>2.0513425492167465E-2</v>
      </c>
      <c r="X45" s="12">
        <f t="shared" si="6"/>
        <v>9.1362216740914999</v>
      </c>
      <c r="Y45" s="12">
        <f t="shared" si="7"/>
        <v>9.1741821245754007</v>
      </c>
      <c r="Z45" s="12">
        <f t="shared" si="8"/>
        <v>9.1814806781258991</v>
      </c>
      <c r="AA45" s="12">
        <f t="shared" si="9"/>
        <v>9.1743871763131999</v>
      </c>
      <c r="AB45" s="12" t="str">
        <f t="shared" si="10"/>
        <v/>
      </c>
      <c r="AC45" s="12" t="str">
        <f t="shared" si="11"/>
        <v/>
      </c>
      <c r="AD45" s="12" t="str">
        <f t="shared" si="12"/>
        <v/>
      </c>
      <c r="AE45" s="12" t="str">
        <f t="shared" si="13"/>
        <v/>
      </c>
      <c r="AF45" s="12" t="str">
        <f t="shared" si="14"/>
        <v/>
      </c>
      <c r="AG45" s="12"/>
      <c r="AH45" s="12">
        <f t="shared" si="15"/>
        <v>10.8930910023905</v>
      </c>
      <c r="AI45" s="12">
        <f t="shared" si="16"/>
        <v>10.931051452874401</v>
      </c>
      <c r="AJ45" s="12">
        <f t="shared" si="17"/>
        <v>10.9383500064249</v>
      </c>
      <c r="AK45" s="12">
        <f t="shared" si="18"/>
        <v>10.9312565046122</v>
      </c>
      <c r="AL45" s="12" t="str">
        <f t="shared" si="19"/>
        <v/>
      </c>
      <c r="AM45" s="12" t="str">
        <f t="shared" si="20"/>
        <v/>
      </c>
      <c r="AN45" s="12" t="str">
        <f t="shared" si="21"/>
        <v/>
      </c>
      <c r="AO45" s="12" t="str">
        <f t="shared" si="22"/>
        <v/>
      </c>
      <c r="AP45" s="12" t="str">
        <f t="shared" si="23"/>
        <v/>
      </c>
    </row>
    <row r="46" spans="1:42">
      <c r="A46" s="9">
        <f t="shared" si="24"/>
        <v>43123.751840277779</v>
      </c>
      <c r="B46" s="22">
        <f t="shared" si="25"/>
        <v>2458142.2518402776</v>
      </c>
      <c r="C46" s="23">
        <f t="shared" si="0"/>
        <v>9.1501611961690514</v>
      </c>
      <c r="D46" s="24">
        <f t="shared" ca="1" si="1"/>
        <v>6.0296824613940779E-2</v>
      </c>
      <c r="E46" s="24">
        <f t="shared" si="26"/>
        <v>2.0649597470527664E-2</v>
      </c>
      <c r="F46" s="25">
        <f t="shared" si="2"/>
        <v>10.956169918026749</v>
      </c>
      <c r="G46" s="7">
        <v>43123.751840277779</v>
      </c>
      <c r="H46" s="11">
        <v>2458142.25184</v>
      </c>
      <c r="I46" s="11">
        <v>-13.1145025911721</v>
      </c>
      <c r="J46" s="11">
        <v>-11.3084938693144</v>
      </c>
      <c r="K46" s="11">
        <v>-13.710760145986701</v>
      </c>
      <c r="L46" s="11">
        <v>-12.5823574236688</v>
      </c>
      <c r="M46" s="11">
        <v>-12.828417741251799</v>
      </c>
      <c r="N46" s="11">
        <v>-12.3721198384573</v>
      </c>
      <c r="O46" s="11"/>
      <c r="P46" s="11"/>
      <c r="Q46" s="11"/>
      <c r="R46" s="11"/>
      <c r="S46" s="11"/>
      <c r="T46" s="12"/>
      <c r="U46" s="12">
        <f t="shared" si="3"/>
        <v>4</v>
      </c>
      <c r="V46" s="28">
        <f t="shared" ca="1" si="4"/>
        <v>5.84</v>
      </c>
      <c r="W46" s="28">
        <f t="shared" si="5"/>
        <v>2.0649597470527664E-2</v>
      </c>
      <c r="X46" s="12">
        <f t="shared" si="6"/>
        <v>9.1222575548146008</v>
      </c>
      <c r="Y46" s="12">
        <f t="shared" si="7"/>
        <v>9.1468548324967003</v>
      </c>
      <c r="Z46" s="12">
        <f t="shared" si="8"/>
        <v>9.1669151500796993</v>
      </c>
      <c r="AA46" s="12">
        <f t="shared" si="9"/>
        <v>9.1646172472852001</v>
      </c>
      <c r="AB46" s="12" t="str">
        <f t="shared" si="10"/>
        <v/>
      </c>
      <c r="AC46" s="12" t="str">
        <f t="shared" si="11"/>
        <v/>
      </c>
      <c r="AD46" s="12" t="str">
        <f t="shared" si="12"/>
        <v/>
      </c>
      <c r="AE46" s="12" t="str">
        <f t="shared" si="13"/>
        <v/>
      </c>
      <c r="AF46" s="12" t="str">
        <f t="shared" si="14"/>
        <v/>
      </c>
      <c r="AG46" s="12"/>
      <c r="AH46" s="12">
        <f t="shared" si="15"/>
        <v>10.9282662766723</v>
      </c>
      <c r="AI46" s="12">
        <f t="shared" si="16"/>
        <v>10.9528635543544</v>
      </c>
      <c r="AJ46" s="12">
        <f t="shared" si="17"/>
        <v>10.972923871937398</v>
      </c>
      <c r="AK46" s="12">
        <f t="shared" si="18"/>
        <v>10.970625969142899</v>
      </c>
      <c r="AL46" s="12" t="str">
        <f t="shared" si="19"/>
        <v/>
      </c>
      <c r="AM46" s="12" t="str">
        <f t="shared" si="20"/>
        <v/>
      </c>
      <c r="AN46" s="12" t="str">
        <f t="shared" si="21"/>
        <v/>
      </c>
      <c r="AO46" s="12" t="str">
        <f t="shared" si="22"/>
        <v/>
      </c>
      <c r="AP46" s="12" t="str">
        <f t="shared" si="23"/>
        <v/>
      </c>
    </row>
    <row r="47" spans="1:42">
      <c r="A47" s="9">
        <f t="shared" si="24"/>
        <v>43123.752256944441</v>
      </c>
      <c r="B47" s="22">
        <f t="shared" si="25"/>
        <v>2458142.2522569443</v>
      </c>
      <c r="C47" s="23">
        <f t="shared" si="0"/>
        <v>9.1374088062083256</v>
      </c>
      <c r="D47" s="24">
        <f t="shared" ca="1" si="1"/>
        <v>5.2012485646600208E-2</v>
      </c>
      <c r="E47" s="24">
        <f t="shared" si="26"/>
        <v>1.7812495084452127E-2</v>
      </c>
      <c r="F47" s="25">
        <f t="shared" si="2"/>
        <v>10.922676913274326</v>
      </c>
      <c r="G47" s="7">
        <v>43123.752256944441</v>
      </c>
      <c r="H47" s="11">
        <v>2458142.2522570002</v>
      </c>
      <c r="I47" s="11">
        <v>-13.120906946543499</v>
      </c>
      <c r="J47" s="11">
        <v>-11.3356388394775</v>
      </c>
      <c r="K47" s="11">
        <v>-13.7070895254625</v>
      </c>
      <c r="L47" s="11">
        <v>-12.5906188069664</v>
      </c>
      <c r="M47" s="11">
        <v>-12.819015513794801</v>
      </c>
      <c r="N47" s="11">
        <v>-12.351539164783601</v>
      </c>
      <c r="O47" s="11"/>
      <c r="P47" s="11"/>
      <c r="Q47" s="11"/>
      <c r="R47" s="11"/>
      <c r="S47" s="11"/>
      <c r="T47" s="12"/>
      <c r="U47" s="12">
        <f t="shared" si="3"/>
        <v>4</v>
      </c>
      <c r="V47" s="28">
        <f t="shared" ca="1" si="4"/>
        <v>5.84</v>
      </c>
      <c r="W47" s="28">
        <f t="shared" si="5"/>
        <v>1.7812495084452127E-2</v>
      </c>
      <c r="X47" s="12">
        <f t="shared" si="6"/>
        <v>9.1121825789190005</v>
      </c>
      <c r="Y47" s="12">
        <f t="shared" si="7"/>
        <v>9.1487118604229014</v>
      </c>
      <c r="Z47" s="12">
        <f t="shared" si="8"/>
        <v>9.1511085672513008</v>
      </c>
      <c r="AA47" s="12">
        <f t="shared" si="9"/>
        <v>9.1376322182401015</v>
      </c>
      <c r="AB47" s="12" t="str">
        <f t="shared" si="10"/>
        <v/>
      </c>
      <c r="AC47" s="12" t="str">
        <f t="shared" si="11"/>
        <v/>
      </c>
      <c r="AD47" s="12" t="str">
        <f t="shared" si="12"/>
        <v/>
      </c>
      <c r="AE47" s="12" t="str">
        <f t="shared" si="13"/>
        <v/>
      </c>
      <c r="AF47" s="12" t="str">
        <f t="shared" si="14"/>
        <v/>
      </c>
      <c r="AG47" s="12"/>
      <c r="AH47" s="12">
        <f t="shared" si="15"/>
        <v>10.897450685985</v>
      </c>
      <c r="AI47" s="12">
        <f t="shared" si="16"/>
        <v>10.9339799674889</v>
      </c>
      <c r="AJ47" s="12">
        <f t="shared" si="17"/>
        <v>10.9363766743173</v>
      </c>
      <c r="AK47" s="12">
        <f t="shared" si="18"/>
        <v>10.922900325306101</v>
      </c>
      <c r="AL47" s="12" t="str">
        <f t="shared" si="19"/>
        <v/>
      </c>
      <c r="AM47" s="12" t="str">
        <f t="shared" si="20"/>
        <v/>
      </c>
      <c r="AN47" s="12" t="str">
        <f t="shared" si="21"/>
        <v/>
      </c>
      <c r="AO47" s="12" t="str">
        <f t="shared" si="22"/>
        <v/>
      </c>
      <c r="AP47" s="12" t="str">
        <f t="shared" si="23"/>
        <v/>
      </c>
    </row>
    <row r="48" spans="1:42">
      <c r="A48" s="9">
        <f t="shared" si="24"/>
        <v>43123.75267361111</v>
      </c>
      <c r="B48" s="22">
        <f t="shared" si="25"/>
        <v>2458142.252673611</v>
      </c>
      <c r="C48" s="23">
        <f t="shared" si="0"/>
        <v>9.1321223490987755</v>
      </c>
      <c r="D48" s="24">
        <f t="shared" ca="1" si="1"/>
        <v>4.4586476330731574E-2</v>
      </c>
      <c r="E48" s="24">
        <f t="shared" si="26"/>
        <v>1.5269341209154649E-2</v>
      </c>
      <c r="F48" s="25">
        <f t="shared" si="2"/>
        <v>10.929666886725474</v>
      </c>
      <c r="G48" s="7">
        <v>43123.75267361111</v>
      </c>
      <c r="H48" s="11">
        <v>2458142.2526739999</v>
      </c>
      <c r="I48" s="11">
        <v>-13.1295345526479</v>
      </c>
      <c r="J48" s="11">
        <v>-11.3319900150212</v>
      </c>
      <c r="K48" s="11">
        <v>-13.7178874129107</v>
      </c>
      <c r="L48" s="11">
        <v>-12.5817307495106</v>
      </c>
      <c r="M48" s="11">
        <v>-12.8078046645897</v>
      </c>
      <c r="N48" s="11">
        <v>-12.374204779975701</v>
      </c>
      <c r="O48" s="11"/>
      <c r="P48" s="11"/>
      <c r="Q48" s="11"/>
      <c r="R48" s="11"/>
      <c r="S48" s="11"/>
      <c r="T48" s="12"/>
      <c r="U48" s="12">
        <f t="shared" si="3"/>
        <v>4</v>
      </c>
      <c r="V48" s="28">
        <f t="shared" ca="1" si="4"/>
        <v>5.84</v>
      </c>
      <c r="W48" s="28">
        <f t="shared" si="5"/>
        <v>1.5269341209154649E-2</v>
      </c>
      <c r="X48" s="12">
        <f t="shared" si="6"/>
        <v>9.1143528602627999</v>
      </c>
      <c r="Y48" s="12">
        <f t="shared" si="7"/>
        <v>9.1311961968626996</v>
      </c>
      <c r="Z48" s="12">
        <f t="shared" si="8"/>
        <v>9.1312701119417987</v>
      </c>
      <c r="AA48" s="12">
        <f t="shared" si="9"/>
        <v>9.1516702273278003</v>
      </c>
      <c r="AB48" s="12" t="str">
        <f t="shared" si="10"/>
        <v/>
      </c>
      <c r="AC48" s="12" t="str">
        <f t="shared" si="11"/>
        <v/>
      </c>
      <c r="AD48" s="12" t="str">
        <f t="shared" si="12"/>
        <v/>
      </c>
      <c r="AE48" s="12" t="str">
        <f t="shared" si="13"/>
        <v/>
      </c>
      <c r="AF48" s="12" t="str">
        <f t="shared" si="14"/>
        <v/>
      </c>
      <c r="AG48" s="12"/>
      <c r="AH48" s="12">
        <f t="shared" si="15"/>
        <v>10.911897397889501</v>
      </c>
      <c r="AI48" s="12">
        <f t="shared" si="16"/>
        <v>10.9287407344894</v>
      </c>
      <c r="AJ48" s="12">
        <f t="shared" si="17"/>
        <v>10.928814649568499</v>
      </c>
      <c r="AK48" s="12">
        <f t="shared" si="18"/>
        <v>10.949214764954501</v>
      </c>
      <c r="AL48" s="12" t="str">
        <f t="shared" si="19"/>
        <v/>
      </c>
      <c r="AM48" s="12" t="str">
        <f t="shared" si="20"/>
        <v/>
      </c>
      <c r="AN48" s="12" t="str">
        <f t="shared" si="21"/>
        <v/>
      </c>
      <c r="AO48" s="12" t="str">
        <f t="shared" si="22"/>
        <v/>
      </c>
      <c r="AP48" s="12" t="str">
        <f t="shared" si="23"/>
        <v/>
      </c>
    </row>
    <row r="49" spans="1:42">
      <c r="A49" s="9">
        <f t="shared" si="24"/>
        <v>43123.753101851849</v>
      </c>
      <c r="B49" s="22">
        <f t="shared" si="25"/>
        <v>2458142.2531018518</v>
      </c>
      <c r="C49" s="23">
        <f t="shared" si="0"/>
        <v>9.1219816166843994</v>
      </c>
      <c r="D49" s="24">
        <f t="shared" ca="1" si="1"/>
        <v>4.3519761399506411E-2</v>
      </c>
      <c r="E49" s="24">
        <f t="shared" si="26"/>
        <v>1.4904027876543291E-2</v>
      </c>
      <c r="F49" s="25">
        <f t="shared" si="2"/>
        <v>10.9248131531612</v>
      </c>
      <c r="G49" s="7">
        <v>43123.753101851849</v>
      </c>
      <c r="H49" s="11">
        <v>2458142.2531019999</v>
      </c>
      <c r="I49" s="11">
        <v>-13.137744776984899</v>
      </c>
      <c r="J49" s="11">
        <v>-11.334913240508101</v>
      </c>
      <c r="K49" s="11">
        <v>-13.712331693975999</v>
      </c>
      <c r="L49" s="11">
        <v>-12.588949353006299</v>
      </c>
      <c r="M49" s="11">
        <v>-12.8081020559052</v>
      </c>
      <c r="N49" s="11">
        <v>-12.3645224717897</v>
      </c>
      <c r="O49" s="11"/>
      <c r="P49" s="11"/>
      <c r="Q49" s="11"/>
      <c r="R49" s="11"/>
      <c r="S49" s="11"/>
      <c r="T49" s="12"/>
      <c r="U49" s="12">
        <f t="shared" si="3"/>
        <v>4</v>
      </c>
      <c r="V49" s="28">
        <f t="shared" ca="1" si="4"/>
        <v>5.84</v>
      </c>
      <c r="W49" s="28">
        <f t="shared" si="5"/>
        <v>1.4904027876543291E-2</v>
      </c>
      <c r="X49" s="12">
        <f t="shared" si="6"/>
        <v>9.1005869169910998</v>
      </c>
      <c r="Y49" s="12">
        <f t="shared" si="7"/>
        <v>9.1302045760214003</v>
      </c>
      <c r="Z49" s="12">
        <f t="shared" si="8"/>
        <v>9.1233572789203006</v>
      </c>
      <c r="AA49" s="12">
        <f t="shared" si="9"/>
        <v>9.1337776948048006</v>
      </c>
      <c r="AB49" s="12" t="str">
        <f t="shared" si="10"/>
        <v/>
      </c>
      <c r="AC49" s="12" t="str">
        <f t="shared" si="11"/>
        <v/>
      </c>
      <c r="AD49" s="12" t="str">
        <f t="shared" si="12"/>
        <v/>
      </c>
      <c r="AE49" s="12" t="str">
        <f t="shared" si="13"/>
        <v/>
      </c>
      <c r="AF49" s="12" t="str">
        <f t="shared" si="14"/>
        <v/>
      </c>
      <c r="AG49" s="12"/>
      <c r="AH49" s="12">
        <f t="shared" si="15"/>
        <v>10.903418453467898</v>
      </c>
      <c r="AI49" s="12">
        <f t="shared" si="16"/>
        <v>10.933036112498199</v>
      </c>
      <c r="AJ49" s="12">
        <f t="shared" si="17"/>
        <v>10.926188815397099</v>
      </c>
      <c r="AK49" s="12">
        <f t="shared" si="18"/>
        <v>10.936609231281599</v>
      </c>
      <c r="AL49" s="12" t="str">
        <f t="shared" si="19"/>
        <v/>
      </c>
      <c r="AM49" s="12" t="str">
        <f t="shared" si="20"/>
        <v/>
      </c>
      <c r="AN49" s="12" t="str">
        <f t="shared" si="21"/>
        <v/>
      </c>
      <c r="AO49" s="12" t="str">
        <f t="shared" si="22"/>
        <v/>
      </c>
      <c r="AP49" s="12" t="str">
        <f t="shared" si="23"/>
        <v/>
      </c>
    </row>
    <row r="50" spans="1:42">
      <c r="A50" s="9">
        <f t="shared" si="24"/>
        <v>43123.753518518519</v>
      </c>
      <c r="B50" s="22">
        <f t="shared" si="25"/>
        <v>2458142.2535185185</v>
      </c>
      <c r="C50" s="23">
        <f t="shared" si="0"/>
        <v>9.1146441284163515</v>
      </c>
      <c r="D50" s="24">
        <f t="shared" ca="1" si="1"/>
        <v>5.225379989993896E-2</v>
      </c>
      <c r="E50" s="24">
        <f t="shared" si="26"/>
        <v>1.7895136952033892E-2</v>
      </c>
      <c r="F50" s="25">
        <f t="shared" si="2"/>
        <v>10.913820185167149</v>
      </c>
      <c r="G50" s="7">
        <v>43123.753518518519</v>
      </c>
      <c r="H50" s="11">
        <v>2458142.253519</v>
      </c>
      <c r="I50" s="11">
        <v>-13.157904949205699</v>
      </c>
      <c r="J50" s="11">
        <v>-11.3587288924549</v>
      </c>
      <c r="K50" s="11">
        <v>-13.7200335641287</v>
      </c>
      <c r="L50" s="11">
        <v>-12.5987887952645</v>
      </c>
      <c r="M50" s="11">
        <v>-12.828799362802</v>
      </c>
      <c r="N50" s="11">
        <v>-12.377574588292999</v>
      </c>
      <c r="O50" s="11"/>
      <c r="P50" s="11"/>
      <c r="Q50" s="11"/>
      <c r="R50" s="11"/>
      <c r="S50" s="11"/>
      <c r="T50" s="12"/>
      <c r="U50" s="12">
        <f t="shared" si="3"/>
        <v>4</v>
      </c>
      <c r="V50" s="28">
        <f t="shared" ca="1" si="4"/>
        <v>5.84</v>
      </c>
      <c r="W50" s="28">
        <f t="shared" si="5"/>
        <v>1.7895136952033892E-2</v>
      </c>
      <c r="X50" s="12">
        <f t="shared" si="6"/>
        <v>9.0881286149230007</v>
      </c>
      <c r="Y50" s="12">
        <f t="shared" si="7"/>
        <v>9.1198838460588014</v>
      </c>
      <c r="Z50" s="12">
        <f t="shared" si="8"/>
        <v>9.1238944135963003</v>
      </c>
      <c r="AA50" s="12">
        <f t="shared" si="9"/>
        <v>9.1266696390873001</v>
      </c>
      <c r="AB50" s="12" t="str">
        <f t="shared" si="10"/>
        <v/>
      </c>
      <c r="AC50" s="12" t="str">
        <f t="shared" si="11"/>
        <v/>
      </c>
      <c r="AD50" s="12" t="str">
        <f t="shared" si="12"/>
        <v/>
      </c>
      <c r="AE50" s="12" t="str">
        <f t="shared" si="13"/>
        <v/>
      </c>
      <c r="AF50" s="12" t="str">
        <f t="shared" si="14"/>
        <v/>
      </c>
      <c r="AG50" s="12"/>
      <c r="AH50" s="12">
        <f t="shared" si="15"/>
        <v>10.8873046716738</v>
      </c>
      <c r="AI50" s="12">
        <f t="shared" si="16"/>
        <v>10.9190599028096</v>
      </c>
      <c r="AJ50" s="12">
        <f t="shared" si="17"/>
        <v>10.923070470347099</v>
      </c>
      <c r="AK50" s="12">
        <f t="shared" si="18"/>
        <v>10.925845695838099</v>
      </c>
      <c r="AL50" s="12" t="str">
        <f t="shared" si="19"/>
        <v/>
      </c>
      <c r="AM50" s="12" t="str">
        <f t="shared" si="20"/>
        <v/>
      </c>
      <c r="AN50" s="12" t="str">
        <f t="shared" si="21"/>
        <v/>
      </c>
      <c r="AO50" s="12" t="str">
        <f t="shared" si="22"/>
        <v/>
      </c>
      <c r="AP50" s="12" t="str">
        <f t="shared" si="23"/>
        <v/>
      </c>
    </row>
    <row r="51" spans="1:42">
      <c r="A51" s="9">
        <f t="shared" si="24"/>
        <v>43123.753935185188</v>
      </c>
      <c r="B51" s="22">
        <f t="shared" si="25"/>
        <v>2458142.2539351853</v>
      </c>
      <c r="C51" s="23">
        <f t="shared" si="0"/>
        <v>9.1166749511648497</v>
      </c>
      <c r="D51" s="24">
        <f t="shared" ca="1" si="1"/>
        <v>4.6348137619870153E-2</v>
      </c>
      <c r="E51" s="24">
        <f t="shared" si="26"/>
        <v>1.5872649869818546E-2</v>
      </c>
      <c r="F51" s="25">
        <f t="shared" si="2"/>
        <v>10.923159264791449</v>
      </c>
      <c r="G51" s="7">
        <v>43123.753935185188</v>
      </c>
      <c r="H51" s="11">
        <v>2458142.2539349999</v>
      </c>
      <c r="I51" s="11">
        <v>-13.1481977400544</v>
      </c>
      <c r="J51" s="11">
        <v>-11.3417134264278</v>
      </c>
      <c r="K51" s="11">
        <v>-13.7153472314049</v>
      </c>
      <c r="L51" s="11">
        <v>-12.5921647799504</v>
      </c>
      <c r="M51" s="11">
        <v>-12.8231624706749</v>
      </c>
      <c r="N51" s="11">
        <v>-12.3638162828468</v>
      </c>
      <c r="O51" s="11"/>
      <c r="P51" s="11"/>
      <c r="Q51" s="11"/>
      <c r="R51" s="11"/>
      <c r="S51" s="11"/>
      <c r="T51" s="12"/>
      <c r="U51" s="12">
        <f t="shared" si="3"/>
        <v>4</v>
      </c>
      <c r="V51" s="28">
        <f t="shared" ca="1" si="4"/>
        <v>5.84</v>
      </c>
      <c r="W51" s="28">
        <f t="shared" si="5"/>
        <v>1.5872649869818546E-2</v>
      </c>
      <c r="X51" s="12">
        <f t="shared" si="6"/>
        <v>9.0931494913505002</v>
      </c>
      <c r="Y51" s="12">
        <f t="shared" si="7"/>
        <v>9.1229670398960003</v>
      </c>
      <c r="Z51" s="12">
        <f t="shared" si="8"/>
        <v>9.1279647306204996</v>
      </c>
      <c r="AA51" s="12">
        <f t="shared" si="9"/>
        <v>9.1226185427924005</v>
      </c>
      <c r="AB51" s="12" t="str">
        <f t="shared" si="10"/>
        <v/>
      </c>
      <c r="AC51" s="12" t="str">
        <f t="shared" si="11"/>
        <v/>
      </c>
      <c r="AD51" s="12" t="str">
        <f t="shared" si="12"/>
        <v/>
      </c>
      <c r="AE51" s="12" t="str">
        <f t="shared" si="13"/>
        <v/>
      </c>
      <c r="AF51" s="12" t="str">
        <f t="shared" si="14"/>
        <v/>
      </c>
      <c r="AG51" s="12"/>
      <c r="AH51" s="12">
        <f t="shared" si="15"/>
        <v>10.8996338049771</v>
      </c>
      <c r="AI51" s="12">
        <f t="shared" si="16"/>
        <v>10.9294513535226</v>
      </c>
      <c r="AJ51" s="12">
        <f t="shared" si="17"/>
        <v>10.934449044247099</v>
      </c>
      <c r="AK51" s="12">
        <f t="shared" si="18"/>
        <v>10.929102856419</v>
      </c>
      <c r="AL51" s="12" t="str">
        <f t="shared" si="19"/>
        <v/>
      </c>
      <c r="AM51" s="12" t="str">
        <f t="shared" si="20"/>
        <v/>
      </c>
      <c r="AN51" s="12" t="str">
        <f t="shared" si="21"/>
        <v/>
      </c>
      <c r="AO51" s="12" t="str">
        <f t="shared" si="22"/>
        <v/>
      </c>
      <c r="AP51" s="12" t="str">
        <f t="shared" si="23"/>
        <v/>
      </c>
    </row>
    <row r="52" spans="1:42">
      <c r="A52" s="9">
        <f t="shared" si="24"/>
        <v>43123.754351851851</v>
      </c>
      <c r="B52" s="22">
        <f t="shared" si="25"/>
        <v>2458142.254351852</v>
      </c>
      <c r="C52" s="23">
        <f t="shared" si="0"/>
        <v>9.0956207157728262</v>
      </c>
      <c r="D52" s="24">
        <f t="shared" ca="1" si="1"/>
        <v>4.3378654175472778E-2</v>
      </c>
      <c r="E52" s="24">
        <f t="shared" si="26"/>
        <v>1.4855703484750951E-2</v>
      </c>
      <c r="F52" s="25">
        <f t="shared" si="2"/>
        <v>10.963421825940225</v>
      </c>
      <c r="G52" s="7">
        <v>43123.754351851851</v>
      </c>
      <c r="H52" s="11">
        <v>2458142.2543520001</v>
      </c>
      <c r="I52" s="11">
        <v>-13.174883202444899</v>
      </c>
      <c r="J52" s="11">
        <v>-11.307082092277501</v>
      </c>
      <c r="K52" s="11">
        <v>-13.7232422494021</v>
      </c>
      <c r="L52" s="11">
        <v>-12.5947371249399</v>
      </c>
      <c r="M52" s="11">
        <v>-12.830822267572501</v>
      </c>
      <c r="N52" s="11">
        <v>-12.3682140309564</v>
      </c>
      <c r="O52" s="11"/>
      <c r="P52" s="11"/>
      <c r="Q52" s="11"/>
      <c r="R52" s="11"/>
      <c r="S52" s="11"/>
      <c r="T52" s="12"/>
      <c r="U52" s="12">
        <f t="shared" si="3"/>
        <v>4</v>
      </c>
      <c r="V52" s="28">
        <f t="shared" ca="1" si="4"/>
        <v>5.84</v>
      </c>
      <c r="W52" s="28">
        <f t="shared" si="5"/>
        <v>1.4855703484750951E-2</v>
      </c>
      <c r="X52" s="12">
        <f t="shared" si="6"/>
        <v>9.0743590469572002</v>
      </c>
      <c r="Y52" s="12">
        <f t="shared" si="7"/>
        <v>9.0988539224950014</v>
      </c>
      <c r="Z52" s="12">
        <f t="shared" si="8"/>
        <v>9.1089390651276005</v>
      </c>
      <c r="AA52" s="12">
        <f t="shared" si="9"/>
        <v>9.1003308285115008</v>
      </c>
      <c r="AB52" s="12" t="str">
        <f t="shared" si="10"/>
        <v/>
      </c>
      <c r="AC52" s="12" t="str">
        <f t="shared" si="11"/>
        <v/>
      </c>
      <c r="AD52" s="12" t="str">
        <f t="shared" si="12"/>
        <v/>
      </c>
      <c r="AE52" s="12" t="str">
        <f t="shared" si="13"/>
        <v/>
      </c>
      <c r="AF52" s="12" t="str">
        <f t="shared" si="14"/>
        <v/>
      </c>
      <c r="AG52" s="12"/>
      <c r="AH52" s="12">
        <f t="shared" si="15"/>
        <v>10.942160157124599</v>
      </c>
      <c r="AI52" s="12">
        <f t="shared" si="16"/>
        <v>10.9666550326624</v>
      </c>
      <c r="AJ52" s="12">
        <f t="shared" si="17"/>
        <v>10.976740175294999</v>
      </c>
      <c r="AK52" s="12">
        <f t="shared" si="18"/>
        <v>10.9681319386789</v>
      </c>
      <c r="AL52" s="12" t="str">
        <f t="shared" si="19"/>
        <v/>
      </c>
      <c r="AM52" s="12" t="str">
        <f t="shared" si="20"/>
        <v/>
      </c>
      <c r="AN52" s="12" t="str">
        <f t="shared" si="21"/>
        <v/>
      </c>
      <c r="AO52" s="12" t="str">
        <f t="shared" si="22"/>
        <v/>
      </c>
      <c r="AP52" s="12" t="str">
        <f t="shared" si="23"/>
        <v/>
      </c>
    </row>
    <row r="53" spans="1:42">
      <c r="A53" s="9">
        <f t="shared" si="24"/>
        <v>43123.754780092589</v>
      </c>
      <c r="B53" s="22">
        <f t="shared" si="25"/>
        <v>2458142.2547800927</v>
      </c>
      <c r="C53" s="23">
        <f t="shared" si="0"/>
        <v>9.1016433245597756</v>
      </c>
      <c r="D53" s="24">
        <f t="shared" ca="1" si="1"/>
        <v>6.3787148865175392E-2</v>
      </c>
      <c r="E53" s="24">
        <f t="shared" si="26"/>
        <v>2.1844913994923078E-2</v>
      </c>
      <c r="F53" s="25">
        <f t="shared" si="2"/>
        <v>10.905711230755674</v>
      </c>
      <c r="G53" s="7">
        <v>43123.754780092589</v>
      </c>
      <c r="H53" s="11">
        <v>2458142.2547800001</v>
      </c>
      <c r="I53" s="11">
        <v>-13.1654857039566</v>
      </c>
      <c r="J53" s="11">
        <v>-11.3614177977607</v>
      </c>
      <c r="K53" s="11">
        <v>-13.7083856069854</v>
      </c>
      <c r="L53" s="11">
        <v>-12.6002021378932</v>
      </c>
      <c r="M53" s="11">
        <v>-12.8242663507214</v>
      </c>
      <c r="N53" s="11">
        <v>-12.370662018465501</v>
      </c>
      <c r="O53" s="11"/>
      <c r="P53" s="11"/>
      <c r="Q53" s="11"/>
      <c r="R53" s="11"/>
      <c r="S53" s="11"/>
      <c r="T53" s="12"/>
      <c r="U53" s="12">
        <f t="shared" si="3"/>
        <v>4</v>
      </c>
      <c r="V53" s="28">
        <f t="shared" ca="1" si="4"/>
        <v>5.84</v>
      </c>
      <c r="W53" s="28">
        <f t="shared" si="5"/>
        <v>2.1844913994923078E-2</v>
      </c>
      <c r="X53" s="12">
        <f t="shared" si="6"/>
        <v>9.0688999030288002</v>
      </c>
      <c r="Y53" s="12">
        <f t="shared" si="7"/>
        <v>9.1137164339366006</v>
      </c>
      <c r="Z53" s="12">
        <f t="shared" si="8"/>
        <v>9.1117806467647995</v>
      </c>
      <c r="AA53" s="12">
        <f t="shared" si="9"/>
        <v>9.1121763145089005</v>
      </c>
      <c r="AB53" s="12" t="str">
        <f t="shared" si="10"/>
        <v/>
      </c>
      <c r="AC53" s="12" t="str">
        <f t="shared" si="11"/>
        <v/>
      </c>
      <c r="AD53" s="12" t="str">
        <f t="shared" si="12"/>
        <v/>
      </c>
      <c r="AE53" s="12" t="str">
        <f t="shared" si="13"/>
        <v/>
      </c>
      <c r="AF53" s="12" t="str">
        <f t="shared" si="14"/>
        <v/>
      </c>
      <c r="AG53" s="12"/>
      <c r="AH53" s="12">
        <f t="shared" si="15"/>
        <v>10.872967809224701</v>
      </c>
      <c r="AI53" s="12">
        <f t="shared" si="16"/>
        <v>10.917784340132501</v>
      </c>
      <c r="AJ53" s="12">
        <f t="shared" si="17"/>
        <v>10.9158485529607</v>
      </c>
      <c r="AK53" s="12">
        <f t="shared" si="18"/>
        <v>10.916244220704801</v>
      </c>
      <c r="AL53" s="12" t="str">
        <f t="shared" si="19"/>
        <v/>
      </c>
      <c r="AM53" s="12" t="str">
        <f t="shared" si="20"/>
        <v/>
      </c>
      <c r="AN53" s="12" t="str">
        <f t="shared" si="21"/>
        <v/>
      </c>
      <c r="AO53" s="12" t="str">
        <f t="shared" si="22"/>
        <v/>
      </c>
      <c r="AP53" s="12" t="str">
        <f t="shared" si="23"/>
        <v/>
      </c>
    </row>
    <row r="54" spans="1:42">
      <c r="A54" s="9">
        <f t="shared" si="24"/>
        <v>43123.755196759259</v>
      </c>
      <c r="B54" s="22">
        <f t="shared" si="25"/>
        <v>2458142.2551967595</v>
      </c>
      <c r="C54" s="23">
        <f t="shared" si="0"/>
        <v>9.09752618965185</v>
      </c>
      <c r="D54" s="24">
        <f t="shared" ca="1" si="1"/>
        <v>5.6088103483561712E-2</v>
      </c>
      <c r="E54" s="24">
        <f t="shared" si="26"/>
        <v>1.920825461765812E-2</v>
      </c>
      <c r="F54" s="25">
        <f t="shared" si="2"/>
        <v>10.936755348975851</v>
      </c>
      <c r="G54" s="7">
        <v>43123.755196759259</v>
      </c>
      <c r="H54" s="11">
        <v>2458142.2551970002</v>
      </c>
      <c r="I54" s="11">
        <v>-13.1719109983084</v>
      </c>
      <c r="J54" s="11">
        <v>-11.332681838984399</v>
      </c>
      <c r="K54" s="11">
        <v>-13.7175179696646</v>
      </c>
      <c r="L54" s="11">
        <v>-12.587720335098</v>
      </c>
      <c r="M54" s="11">
        <v>-12.827782709102101</v>
      </c>
      <c r="N54" s="11">
        <v>-12.3797277379763</v>
      </c>
      <c r="O54" s="11"/>
      <c r="P54" s="11"/>
      <c r="Q54" s="11"/>
      <c r="R54" s="11"/>
      <c r="S54" s="11"/>
      <c r="T54" s="12"/>
      <c r="U54" s="12">
        <f t="shared" si="3"/>
        <v>4</v>
      </c>
      <c r="V54" s="28">
        <f t="shared" ca="1" si="4"/>
        <v>5.84</v>
      </c>
      <c r="W54" s="28">
        <f t="shared" si="5"/>
        <v>1.920825461765812E-2</v>
      </c>
      <c r="X54" s="12">
        <f t="shared" si="6"/>
        <v>9.0716069713562</v>
      </c>
      <c r="Y54" s="12">
        <f t="shared" si="7"/>
        <v>9.0948093367896004</v>
      </c>
      <c r="Z54" s="12">
        <f t="shared" si="8"/>
        <v>9.1088717107937001</v>
      </c>
      <c r="AA54" s="12">
        <f t="shared" si="9"/>
        <v>9.1148167396678996</v>
      </c>
      <c r="AB54" s="12" t="str">
        <f t="shared" si="10"/>
        <v/>
      </c>
      <c r="AC54" s="12" t="str">
        <f t="shared" si="11"/>
        <v/>
      </c>
      <c r="AD54" s="12" t="str">
        <f t="shared" si="12"/>
        <v/>
      </c>
      <c r="AE54" s="12" t="str">
        <f t="shared" si="13"/>
        <v/>
      </c>
      <c r="AF54" s="12" t="str">
        <f t="shared" si="14"/>
        <v/>
      </c>
      <c r="AG54" s="12"/>
      <c r="AH54" s="12">
        <f t="shared" si="15"/>
        <v>10.910836130680201</v>
      </c>
      <c r="AI54" s="12">
        <f t="shared" si="16"/>
        <v>10.934038496113601</v>
      </c>
      <c r="AJ54" s="12">
        <f t="shared" si="17"/>
        <v>10.948100870117701</v>
      </c>
      <c r="AK54" s="12">
        <f t="shared" si="18"/>
        <v>10.9540458989919</v>
      </c>
      <c r="AL54" s="12" t="str">
        <f t="shared" si="19"/>
        <v/>
      </c>
      <c r="AM54" s="12" t="str">
        <f t="shared" si="20"/>
        <v/>
      </c>
      <c r="AN54" s="12" t="str">
        <f t="shared" si="21"/>
        <v/>
      </c>
      <c r="AO54" s="12" t="str">
        <f t="shared" si="22"/>
        <v/>
      </c>
      <c r="AP54" s="12" t="str">
        <f t="shared" si="23"/>
        <v/>
      </c>
    </row>
    <row r="55" spans="1:42">
      <c r="A55" s="9">
        <f t="shared" si="24"/>
        <v>43123.755613425928</v>
      </c>
      <c r="B55" s="22">
        <f t="shared" si="25"/>
        <v>2458142.2556134257</v>
      </c>
      <c r="C55" s="23">
        <f t="shared" si="0"/>
        <v>9.0959506695817751</v>
      </c>
      <c r="D55" s="24">
        <f t="shared" ca="1" si="1"/>
        <v>6.4420157146641607E-2</v>
      </c>
      <c r="E55" s="24">
        <f t="shared" si="26"/>
        <v>2.2061697652959456E-2</v>
      </c>
      <c r="F55" s="25">
        <f t="shared" si="2"/>
        <v>10.937268767266975</v>
      </c>
      <c r="G55" s="7">
        <v>43123.755613425928</v>
      </c>
      <c r="H55" s="11">
        <v>2458142.2556130001</v>
      </c>
      <c r="I55" s="11">
        <v>-13.175425702834399</v>
      </c>
      <c r="J55" s="11">
        <v>-11.3341076051492</v>
      </c>
      <c r="K55" s="11">
        <v>-13.7188381933911</v>
      </c>
      <c r="L55" s="11">
        <v>-12.588988560098599</v>
      </c>
      <c r="M55" s="11">
        <v>-12.8211610920846</v>
      </c>
      <c r="N55" s="11">
        <v>-12.391517644090399</v>
      </c>
      <c r="O55" s="11"/>
      <c r="P55" s="11"/>
      <c r="Q55" s="11"/>
      <c r="R55" s="11"/>
      <c r="S55" s="11"/>
      <c r="T55" s="12"/>
      <c r="U55" s="12">
        <f t="shared" si="3"/>
        <v>4</v>
      </c>
      <c r="V55" s="28">
        <f t="shared" ca="1" si="4"/>
        <v>5.84</v>
      </c>
      <c r="W55" s="28">
        <f t="shared" si="5"/>
        <v>2.2061697652959456E-2</v>
      </c>
      <c r="X55" s="12">
        <f t="shared" si="6"/>
        <v>9.0694124905567008</v>
      </c>
      <c r="Y55" s="12">
        <f t="shared" si="7"/>
        <v>9.0925628572642001</v>
      </c>
      <c r="Z55" s="12">
        <f t="shared" si="8"/>
        <v>9.0987353892501996</v>
      </c>
      <c r="AA55" s="12">
        <f t="shared" si="9"/>
        <v>9.1230919412559999</v>
      </c>
      <c r="AB55" s="12" t="str">
        <f t="shared" si="10"/>
        <v/>
      </c>
      <c r="AC55" s="12" t="str">
        <f t="shared" si="11"/>
        <v/>
      </c>
      <c r="AD55" s="12" t="str">
        <f t="shared" si="12"/>
        <v/>
      </c>
      <c r="AE55" s="12" t="str">
        <f t="shared" si="13"/>
        <v/>
      </c>
      <c r="AF55" s="12" t="str">
        <f t="shared" si="14"/>
        <v/>
      </c>
      <c r="AG55" s="12"/>
      <c r="AH55" s="12">
        <f t="shared" si="15"/>
        <v>10.910730588241901</v>
      </c>
      <c r="AI55" s="12">
        <f t="shared" si="16"/>
        <v>10.9338809549494</v>
      </c>
      <c r="AJ55" s="12">
        <f t="shared" si="17"/>
        <v>10.940053486935399</v>
      </c>
      <c r="AK55" s="12">
        <f t="shared" si="18"/>
        <v>10.9644100389412</v>
      </c>
      <c r="AL55" s="12" t="str">
        <f t="shared" si="19"/>
        <v/>
      </c>
      <c r="AM55" s="12" t="str">
        <f t="shared" si="20"/>
        <v/>
      </c>
      <c r="AN55" s="12" t="str">
        <f t="shared" si="21"/>
        <v/>
      </c>
      <c r="AO55" s="12" t="str">
        <f t="shared" si="22"/>
        <v/>
      </c>
      <c r="AP55" s="12" t="str">
        <f t="shared" si="23"/>
        <v/>
      </c>
    </row>
    <row r="56" spans="1:42">
      <c r="A56" s="9">
        <f t="shared" si="24"/>
        <v>43123.756041666667</v>
      </c>
      <c r="B56" s="22">
        <f t="shared" si="25"/>
        <v>2458142.2560416665</v>
      </c>
      <c r="C56" s="23">
        <f t="shared" si="0"/>
        <v>9.0913402101789735</v>
      </c>
      <c r="D56" s="24">
        <f t="shared" ca="1" si="1"/>
        <v>5.7768593871289332E-2</v>
      </c>
      <c r="E56" s="24">
        <f t="shared" si="26"/>
        <v>1.9783765024414156E-2</v>
      </c>
      <c r="F56" s="25">
        <f t="shared" si="2"/>
        <v>10.917811990119574</v>
      </c>
      <c r="G56" s="7">
        <v>43123.756041666667</v>
      </c>
      <c r="H56" s="11">
        <v>2458142.2560419999</v>
      </c>
      <c r="I56" s="11">
        <v>-13.172632004761001</v>
      </c>
      <c r="J56" s="11">
        <v>-11.3461602248204</v>
      </c>
      <c r="K56" s="11">
        <v>-13.7083727765618</v>
      </c>
      <c r="L56" s="11">
        <v>-12.5929081494405</v>
      </c>
      <c r="M56" s="11">
        <v>-12.821338904089901</v>
      </c>
      <c r="N56" s="11">
        <v>-12.368269029667699</v>
      </c>
      <c r="O56" s="11"/>
      <c r="P56" s="11"/>
      <c r="Q56" s="11"/>
      <c r="R56" s="11"/>
      <c r="S56" s="11"/>
      <c r="T56" s="12"/>
      <c r="U56" s="12">
        <f t="shared" si="3"/>
        <v>4</v>
      </c>
      <c r="V56" s="28">
        <f t="shared" ca="1" si="4"/>
        <v>5.84</v>
      </c>
      <c r="W56" s="28">
        <f t="shared" si="5"/>
        <v>1.9783765024414156E-2</v>
      </c>
      <c r="X56" s="12">
        <f t="shared" si="6"/>
        <v>9.0617407718007996</v>
      </c>
      <c r="Y56" s="12">
        <f t="shared" si="7"/>
        <v>9.0992761446795001</v>
      </c>
      <c r="Z56" s="12">
        <f t="shared" si="8"/>
        <v>9.1017068993288994</v>
      </c>
      <c r="AA56" s="12">
        <f t="shared" si="9"/>
        <v>9.1026370249066986</v>
      </c>
      <c r="AB56" s="12" t="str">
        <f t="shared" si="10"/>
        <v/>
      </c>
      <c r="AC56" s="12" t="str">
        <f t="shared" si="11"/>
        <v/>
      </c>
      <c r="AD56" s="12" t="str">
        <f t="shared" si="12"/>
        <v/>
      </c>
      <c r="AE56" s="12" t="str">
        <f t="shared" si="13"/>
        <v/>
      </c>
      <c r="AF56" s="12" t="str">
        <f t="shared" si="14"/>
        <v/>
      </c>
      <c r="AG56" s="12"/>
      <c r="AH56" s="12">
        <f t="shared" si="15"/>
        <v>10.8882125517414</v>
      </c>
      <c r="AI56" s="12">
        <f t="shared" si="16"/>
        <v>10.925747924620101</v>
      </c>
      <c r="AJ56" s="12">
        <f t="shared" si="17"/>
        <v>10.9281786792695</v>
      </c>
      <c r="AK56" s="12">
        <f t="shared" si="18"/>
        <v>10.929108804847299</v>
      </c>
      <c r="AL56" s="12" t="str">
        <f t="shared" si="19"/>
        <v/>
      </c>
      <c r="AM56" s="12" t="str">
        <f t="shared" si="20"/>
        <v/>
      </c>
      <c r="AN56" s="12" t="str">
        <f t="shared" si="21"/>
        <v/>
      </c>
      <c r="AO56" s="12" t="str">
        <f t="shared" si="22"/>
        <v/>
      </c>
      <c r="AP56" s="12" t="str">
        <f t="shared" si="23"/>
        <v/>
      </c>
    </row>
    <row r="57" spans="1:42">
      <c r="A57" s="9">
        <f t="shared" si="24"/>
        <v>43123.756458333337</v>
      </c>
      <c r="B57" s="22">
        <f t="shared" si="25"/>
        <v>2458142.2564583332</v>
      </c>
      <c r="C57" s="23">
        <f t="shared" si="0"/>
        <v>9.0823201623191245</v>
      </c>
      <c r="D57" s="24">
        <f t="shared" ca="1" si="1"/>
        <v>5.9718266792764901E-2</v>
      </c>
      <c r="E57" s="24">
        <f t="shared" si="26"/>
        <v>2.045146123039894E-2</v>
      </c>
      <c r="F57" s="25">
        <f t="shared" si="2"/>
        <v>10.914766985340925</v>
      </c>
      <c r="G57" s="7">
        <v>43123.756458333337</v>
      </c>
      <c r="H57" s="11">
        <v>2458142.2564579998</v>
      </c>
      <c r="I57" s="11">
        <v>-13.186018224593999</v>
      </c>
      <c r="J57" s="11">
        <v>-11.3535714015722</v>
      </c>
      <c r="K57" s="11">
        <v>-13.7141096402285</v>
      </c>
      <c r="L57" s="11">
        <v>-12.5908632778516</v>
      </c>
      <c r="M57" s="11">
        <v>-12.8216528645462</v>
      </c>
      <c r="N57" s="11">
        <v>-12.3817277650262</v>
      </c>
      <c r="O57" s="11"/>
      <c r="P57" s="11"/>
      <c r="Q57" s="11"/>
      <c r="R57" s="11"/>
      <c r="S57" s="11"/>
      <c r="T57" s="12"/>
      <c r="U57" s="12">
        <f t="shared" si="3"/>
        <v>4</v>
      </c>
      <c r="V57" s="28">
        <f t="shared" ca="1" si="4"/>
        <v>5.84</v>
      </c>
      <c r="W57" s="28">
        <f t="shared" si="5"/>
        <v>2.045146123039894E-2</v>
      </c>
      <c r="X57" s="12">
        <f t="shared" si="6"/>
        <v>9.0540914156345007</v>
      </c>
      <c r="Y57" s="12">
        <f t="shared" si="7"/>
        <v>9.0838450532576012</v>
      </c>
      <c r="Z57" s="12">
        <f t="shared" si="8"/>
        <v>9.0886346399522004</v>
      </c>
      <c r="AA57" s="12">
        <f t="shared" si="9"/>
        <v>9.1027095404322012</v>
      </c>
      <c r="AB57" s="12" t="str">
        <f t="shared" si="10"/>
        <v/>
      </c>
      <c r="AC57" s="12" t="str">
        <f t="shared" si="11"/>
        <v/>
      </c>
      <c r="AD57" s="12" t="str">
        <f t="shared" si="12"/>
        <v/>
      </c>
      <c r="AE57" s="12" t="str">
        <f t="shared" si="13"/>
        <v/>
      </c>
      <c r="AF57" s="12" t="str">
        <f t="shared" si="14"/>
        <v/>
      </c>
      <c r="AG57" s="12"/>
      <c r="AH57" s="12">
        <f t="shared" si="15"/>
        <v>10.8865382386563</v>
      </c>
      <c r="AI57" s="12">
        <f t="shared" si="16"/>
        <v>10.9162918762794</v>
      </c>
      <c r="AJ57" s="12">
        <f t="shared" si="17"/>
        <v>10.921081462974</v>
      </c>
      <c r="AK57" s="12">
        <f t="shared" si="18"/>
        <v>10.935156363454</v>
      </c>
      <c r="AL57" s="12" t="str">
        <f t="shared" si="19"/>
        <v/>
      </c>
      <c r="AM57" s="12" t="str">
        <f t="shared" si="20"/>
        <v/>
      </c>
      <c r="AN57" s="12" t="str">
        <f t="shared" si="21"/>
        <v/>
      </c>
      <c r="AO57" s="12" t="str">
        <f t="shared" si="22"/>
        <v/>
      </c>
      <c r="AP57" s="12" t="str">
        <f t="shared" si="23"/>
        <v/>
      </c>
    </row>
    <row r="58" spans="1:42">
      <c r="A58" s="9">
        <f t="shared" si="24"/>
        <v>43123.756874999999</v>
      </c>
      <c r="B58" s="22">
        <f t="shared" si="25"/>
        <v>2458142.256875</v>
      </c>
      <c r="C58" s="23">
        <f t="shared" si="0"/>
        <v>9.0804071797609751</v>
      </c>
      <c r="D58" s="24">
        <f t="shared" ca="1" si="1"/>
        <v>4.611257460070211E-2</v>
      </c>
      <c r="E58" s="24">
        <f t="shared" si="26"/>
        <v>1.5791977602980175E-2</v>
      </c>
      <c r="F58" s="25">
        <f t="shared" si="2"/>
        <v>10.934469664838675</v>
      </c>
      <c r="G58" s="7">
        <v>43123.756874999999</v>
      </c>
      <c r="H58" s="11">
        <v>2458142.256875</v>
      </c>
      <c r="I58" s="11">
        <v>-13.1916185098559</v>
      </c>
      <c r="J58" s="11">
        <v>-11.3375560247782</v>
      </c>
      <c r="K58" s="11">
        <v>-13.7225785756603</v>
      </c>
      <c r="L58" s="11">
        <v>-12.599419373830299</v>
      </c>
      <c r="M58" s="11">
        <v>-12.825092365248601</v>
      </c>
      <c r="N58" s="11">
        <v>-12.3760124437283</v>
      </c>
      <c r="O58" s="11"/>
      <c r="P58" s="11"/>
      <c r="Q58" s="11"/>
      <c r="R58" s="11"/>
      <c r="S58" s="11"/>
      <c r="T58" s="12"/>
      <c r="U58" s="12">
        <f t="shared" si="3"/>
        <v>4</v>
      </c>
      <c r="V58" s="28">
        <f t="shared" ca="1" si="4"/>
        <v>5.84</v>
      </c>
      <c r="W58" s="28">
        <f t="shared" si="5"/>
        <v>1.5791977602980175E-2</v>
      </c>
      <c r="X58" s="12">
        <f t="shared" si="6"/>
        <v>9.0569600658044003</v>
      </c>
      <c r="Y58" s="12">
        <f t="shared" si="7"/>
        <v>9.0868008639743998</v>
      </c>
      <c r="Z58" s="12">
        <f t="shared" si="8"/>
        <v>9.0864738553927005</v>
      </c>
      <c r="AA58" s="12">
        <f t="shared" si="9"/>
        <v>9.0913939338723999</v>
      </c>
      <c r="AB58" s="12" t="str">
        <f t="shared" si="10"/>
        <v/>
      </c>
      <c r="AC58" s="12" t="str">
        <f t="shared" si="11"/>
        <v/>
      </c>
      <c r="AD58" s="12" t="str">
        <f t="shared" si="12"/>
        <v/>
      </c>
      <c r="AE58" s="12" t="str">
        <f t="shared" si="13"/>
        <v/>
      </c>
      <c r="AF58" s="12" t="str">
        <f t="shared" si="14"/>
        <v/>
      </c>
      <c r="AG58" s="12"/>
      <c r="AH58" s="12">
        <f t="shared" si="15"/>
        <v>10.9110225508821</v>
      </c>
      <c r="AI58" s="12">
        <f t="shared" si="16"/>
        <v>10.940863349052099</v>
      </c>
      <c r="AJ58" s="12">
        <f t="shared" si="17"/>
        <v>10.9405363404704</v>
      </c>
      <c r="AK58" s="12">
        <f t="shared" si="18"/>
        <v>10.9454564189501</v>
      </c>
      <c r="AL58" s="12" t="str">
        <f t="shared" si="19"/>
        <v/>
      </c>
      <c r="AM58" s="12" t="str">
        <f t="shared" si="20"/>
        <v/>
      </c>
      <c r="AN58" s="12" t="str">
        <f t="shared" si="21"/>
        <v/>
      </c>
      <c r="AO58" s="12" t="str">
        <f t="shared" si="22"/>
        <v/>
      </c>
      <c r="AP58" s="12" t="str">
        <f t="shared" si="23"/>
        <v/>
      </c>
    </row>
    <row r="59" spans="1:42">
      <c r="A59" s="9">
        <f t="shared" si="24"/>
        <v>43123.757303240738</v>
      </c>
      <c r="B59" s="22">
        <f t="shared" si="25"/>
        <v>2458142.2573032407</v>
      </c>
      <c r="C59" s="23">
        <f t="shared" ref="C59:C90" si="27">IF(U59&gt;0,AVERAGE(X59:AF59),"")</f>
        <v>9.0713396251312002</v>
      </c>
      <c r="D59" s="24">
        <f t="shared" ref="D59:D90" ca="1" si="28">IF(U59&gt;0,STDEV(X59:AF59)/SQRT(U59)*V59,"")</f>
        <v>6.393248083901594E-2</v>
      </c>
      <c r="E59" s="24">
        <f t="shared" si="26"/>
        <v>2.1894685218841078E-2</v>
      </c>
      <c r="F59" s="25">
        <f t="shared" ref="F59:F90" si="29">IF(U59&gt;0,AVERAGE(AH59:AP59),"")</f>
        <v>10.9059146335994</v>
      </c>
      <c r="G59" s="7">
        <v>43123.757303240738</v>
      </c>
      <c r="H59" s="11">
        <v>2458142.257303</v>
      </c>
      <c r="I59" s="11">
        <v>-13.198306558694</v>
      </c>
      <c r="J59" s="11">
        <v>-11.363731550225801</v>
      </c>
      <c r="K59" s="11">
        <v>-13.7115122738116</v>
      </c>
      <c r="L59" s="11">
        <v>-12.5998138040088</v>
      </c>
      <c r="M59" s="11">
        <v>-12.8227547098874</v>
      </c>
      <c r="N59" s="11">
        <v>-12.379503947592999</v>
      </c>
      <c r="O59" s="11"/>
      <c r="P59" s="11"/>
      <c r="Q59" s="11"/>
      <c r="R59" s="11"/>
      <c r="S59" s="11"/>
      <c r="T59" s="12"/>
      <c r="U59" s="12">
        <f t="shared" ref="U59:U90" si="30">MIN(COUNTA(K$25:S$25),COUNTA(K59:S59))</f>
        <v>4</v>
      </c>
      <c r="V59" s="28">
        <f t="shared" ref="V59:V90" ca="1" si="31">IF(U59&gt;1,INDIRECT(ADDRESS(U59+1,3,1,1,"Student")),"")</f>
        <v>5.84</v>
      </c>
      <c r="W59" s="28">
        <f t="shared" ref="W59:W90" si="32">IF(U59&gt;0,STDEV(X59:AF59),"")</f>
        <v>2.1894685218841078E-2</v>
      </c>
      <c r="X59" s="12">
        <f t="shared" ref="X59:X90" si="33">IF(OR(ISBLANK(K$25),ISBLANK(K59),ISBLANK($I59)),"",$I59-K59+K$25)</f>
        <v>9.0392057151175997</v>
      </c>
      <c r="Y59" s="12">
        <f t="shared" ref="Y59:Y90" si="34">IF(OR(ISBLANK(L$25),ISBLANK(L59),ISBLANK($I59)),"",$I59-L59+L$25)</f>
        <v>9.0805072453148004</v>
      </c>
      <c r="Z59" s="12">
        <f t="shared" ref="Z59:Z90" si="35">IF(OR(ISBLANK(M$25),ISBLANK(M59),ISBLANK($I59)),"",$I59-M59+M$25)</f>
        <v>9.0774481511933995</v>
      </c>
      <c r="AA59" s="12">
        <f t="shared" ref="AA59:AA90" si="36">IF(OR(ISBLANK(N$25),ISBLANK(N59),ISBLANK($I59)),"",$I59-N59+N$25)</f>
        <v>9.0881973888989993</v>
      </c>
      <c r="AB59" s="12" t="str">
        <f t="shared" ref="AB59:AB90" si="37">IF(OR(ISBLANK(O$25),ISBLANK(O59),ISBLANK($I59)),"",$I59-O59+O$25)</f>
        <v/>
      </c>
      <c r="AC59" s="12" t="str">
        <f t="shared" ref="AC59:AC90" si="38">IF(OR(ISBLANK(P$25),ISBLANK(P59),ISBLANK($I59)),"",$I59-P59+P$25)</f>
        <v/>
      </c>
      <c r="AD59" s="12" t="str">
        <f t="shared" ref="AD59:AD90" si="39">IF(OR(ISBLANK(Q$25),ISBLANK(Q59),ISBLANK($I59)),"",$I59-Q59+Q$25)</f>
        <v/>
      </c>
      <c r="AE59" s="12" t="str">
        <f t="shared" ref="AE59:AE90" si="40">IF(OR(ISBLANK(R$25),ISBLANK(R59),ISBLANK($I59)),"",$I59-R59+R$25)</f>
        <v/>
      </c>
      <c r="AF59" s="12" t="str">
        <f t="shared" ref="AF59:AF90" si="41">IF(OR(ISBLANK(S$25),ISBLANK(S59),ISBLANK($I59)),"",$I59-S59+S$25)</f>
        <v/>
      </c>
      <c r="AG59" s="12"/>
      <c r="AH59" s="12">
        <f t="shared" ref="AH59:AH90" si="42">IF(OR(ISBLANK(K$25),ISBLANK(K59),ISBLANK($J59)),"",$J59-K59+K$25)</f>
        <v>10.873780723585799</v>
      </c>
      <c r="AI59" s="12">
        <f t="shared" ref="AI59:AI90" si="43">IF(OR(ISBLANK(L$25),ISBLANK(L59),ISBLANK($J59)),"",$J59-L59+L$25)</f>
        <v>10.915082253783</v>
      </c>
      <c r="AJ59" s="12">
        <f t="shared" ref="AJ59:AJ90" si="44">IF(OR(ISBLANK(M$25),ISBLANK(M59),ISBLANK($J59)),"",$J59-M59+M$25)</f>
        <v>10.912023159661599</v>
      </c>
      <c r="AK59" s="12">
        <f t="shared" ref="AK59:AK90" si="45">IF(OR(ISBLANK(N$25),ISBLANK(N59),ISBLANK($J59)),"",$J59-N59+N$25)</f>
        <v>10.922772397367199</v>
      </c>
      <c r="AL59" s="12" t="str">
        <f t="shared" ref="AL59:AL90" si="46">IF(OR(ISBLANK(O$25),ISBLANK(O59),ISBLANK($J59)),"",$J59-O59+O$25)</f>
        <v/>
      </c>
      <c r="AM59" s="12" t="str">
        <f t="shared" ref="AM59:AM90" si="47">IF(OR(ISBLANK(P$25),ISBLANK(P59),ISBLANK($J59)),"",$J59-P59+P$25)</f>
        <v/>
      </c>
      <c r="AN59" s="12" t="str">
        <f t="shared" ref="AN59:AN90" si="48">IF(OR(ISBLANK(Q$25),ISBLANK(Q59),ISBLANK($J59)),"",$J59-Q59+Q$25)</f>
        <v/>
      </c>
      <c r="AO59" s="12" t="str">
        <f t="shared" ref="AO59:AO90" si="49">IF(OR(ISBLANK(R$25),ISBLANK(R59),ISBLANK($J59)),"",$J59-R59+R$25)</f>
        <v/>
      </c>
      <c r="AP59" s="12" t="str">
        <f t="shared" ref="AP59:AP90" si="50">IF(OR(ISBLANK(S$25),ISBLANK(S59),ISBLANK($J59)),"",$J59-S59+S$25)</f>
        <v/>
      </c>
    </row>
    <row r="60" spans="1:42">
      <c r="A60" s="9">
        <f t="shared" si="24"/>
        <v>43123.757719907408</v>
      </c>
      <c r="B60" s="22">
        <f t="shared" si="25"/>
        <v>2458142.2577199074</v>
      </c>
      <c r="C60" s="23">
        <f t="shared" si="27"/>
        <v>9.0804054735083497</v>
      </c>
      <c r="D60" s="24">
        <f t="shared" ca="1" si="28"/>
        <v>4.9702755698220615E-2</v>
      </c>
      <c r="E60" s="24">
        <f t="shared" si="26"/>
        <v>1.7021491677472814E-2</v>
      </c>
      <c r="F60" s="25">
        <f t="shared" si="29"/>
        <v>10.927538064529148</v>
      </c>
      <c r="G60" s="7">
        <v>43123.757719907408</v>
      </c>
      <c r="H60" s="11">
        <v>2458142.2577200001</v>
      </c>
      <c r="I60" s="11">
        <v>-13.1872868342489</v>
      </c>
      <c r="J60" s="11">
        <v>-11.340154243228101</v>
      </c>
      <c r="K60" s="11">
        <v>-13.7162370504645</v>
      </c>
      <c r="L60" s="11">
        <v>-12.595622395447799</v>
      </c>
      <c r="M60" s="11">
        <v>-12.8248510909585</v>
      </c>
      <c r="N60" s="11">
        <v>-12.3690586941582</v>
      </c>
      <c r="O60" s="11"/>
      <c r="P60" s="11"/>
      <c r="Q60" s="11"/>
      <c r="R60" s="11"/>
      <c r="S60" s="11"/>
      <c r="T60" s="12"/>
      <c r="U60" s="12">
        <f t="shared" si="30"/>
        <v>4</v>
      </c>
      <c r="V60" s="28">
        <f t="shared" ca="1" si="31"/>
        <v>5.84</v>
      </c>
      <c r="W60" s="28">
        <f t="shared" si="32"/>
        <v>1.7021491677472814E-2</v>
      </c>
      <c r="X60" s="12">
        <f t="shared" si="33"/>
        <v>9.0549502162155999</v>
      </c>
      <c r="Y60" s="12">
        <f t="shared" si="34"/>
        <v>9.0873355611989002</v>
      </c>
      <c r="Z60" s="12">
        <f t="shared" si="35"/>
        <v>9.0905642567095999</v>
      </c>
      <c r="AA60" s="12">
        <f t="shared" si="36"/>
        <v>9.0887718599093006</v>
      </c>
      <c r="AB60" s="12" t="str">
        <f t="shared" si="37"/>
        <v/>
      </c>
      <c r="AC60" s="12" t="str">
        <f t="shared" si="38"/>
        <v/>
      </c>
      <c r="AD60" s="12" t="str">
        <f t="shared" si="39"/>
        <v/>
      </c>
      <c r="AE60" s="12" t="str">
        <f t="shared" si="40"/>
        <v/>
      </c>
      <c r="AF60" s="12" t="str">
        <f t="shared" si="41"/>
        <v/>
      </c>
      <c r="AG60" s="12"/>
      <c r="AH60" s="12">
        <f t="shared" si="42"/>
        <v>10.902082807236399</v>
      </c>
      <c r="AI60" s="12">
        <f t="shared" si="43"/>
        <v>10.934468152219699</v>
      </c>
      <c r="AJ60" s="12">
        <f t="shared" si="44"/>
        <v>10.937696847730399</v>
      </c>
      <c r="AK60" s="12">
        <f t="shared" si="45"/>
        <v>10.935904450930099</v>
      </c>
      <c r="AL60" s="12" t="str">
        <f t="shared" si="46"/>
        <v/>
      </c>
      <c r="AM60" s="12" t="str">
        <f t="shared" si="47"/>
        <v/>
      </c>
      <c r="AN60" s="12" t="str">
        <f t="shared" si="48"/>
        <v/>
      </c>
      <c r="AO60" s="12" t="str">
        <f t="shared" si="49"/>
        <v/>
      </c>
      <c r="AP60" s="12" t="str">
        <f t="shared" si="50"/>
        <v/>
      </c>
    </row>
    <row r="61" spans="1:42">
      <c r="A61" s="9">
        <f t="shared" si="24"/>
        <v>43123.758136574077</v>
      </c>
      <c r="B61" s="22">
        <f t="shared" si="25"/>
        <v>2458142.2581365742</v>
      </c>
      <c r="C61" s="23">
        <f t="shared" si="27"/>
        <v>9.0849660139644755</v>
      </c>
      <c r="D61" s="24">
        <f t="shared" ca="1" si="28"/>
        <v>4.0030551686528762E-2</v>
      </c>
      <c r="E61" s="24">
        <f t="shared" si="26"/>
        <v>1.3709093043331769E-2</v>
      </c>
      <c r="F61" s="25">
        <f t="shared" si="29"/>
        <v>10.901108338865876</v>
      </c>
      <c r="G61" s="7">
        <v>43123.758136574077</v>
      </c>
      <c r="H61" s="11">
        <v>2458142.2581369998</v>
      </c>
      <c r="I61" s="11">
        <v>-13.1887867108553</v>
      </c>
      <c r="J61" s="11">
        <v>-11.372644385953899</v>
      </c>
      <c r="K61" s="11">
        <v>-13.728650354748201</v>
      </c>
      <c r="L61" s="11">
        <v>-12.6055900636223</v>
      </c>
      <c r="M61" s="11">
        <v>-12.820021400890701</v>
      </c>
      <c r="N61" s="11">
        <v>-12.375749080017901</v>
      </c>
      <c r="O61" s="11"/>
      <c r="P61" s="11"/>
      <c r="Q61" s="11"/>
      <c r="R61" s="11"/>
      <c r="S61" s="11"/>
      <c r="T61" s="12"/>
      <c r="U61" s="12">
        <f t="shared" si="30"/>
        <v>4</v>
      </c>
      <c r="V61" s="28">
        <f t="shared" ca="1" si="31"/>
        <v>5.84</v>
      </c>
      <c r="W61" s="28">
        <f t="shared" si="32"/>
        <v>1.3709093043331769E-2</v>
      </c>
      <c r="X61" s="12">
        <f t="shared" si="33"/>
        <v>9.0658636438929001</v>
      </c>
      <c r="Y61" s="12">
        <f t="shared" si="34"/>
        <v>9.0958033527669997</v>
      </c>
      <c r="Z61" s="12">
        <f t="shared" si="35"/>
        <v>9.0842346900353999</v>
      </c>
      <c r="AA61" s="12">
        <f t="shared" si="36"/>
        <v>9.0939623691626004</v>
      </c>
      <c r="AB61" s="12" t="str">
        <f t="shared" si="37"/>
        <v/>
      </c>
      <c r="AC61" s="12" t="str">
        <f t="shared" si="38"/>
        <v/>
      </c>
      <c r="AD61" s="12" t="str">
        <f t="shared" si="39"/>
        <v/>
      </c>
      <c r="AE61" s="12" t="str">
        <f t="shared" si="40"/>
        <v/>
      </c>
      <c r="AF61" s="12" t="str">
        <f t="shared" si="41"/>
        <v/>
      </c>
      <c r="AG61" s="12"/>
      <c r="AH61" s="12">
        <f t="shared" si="42"/>
        <v>10.882005968794301</v>
      </c>
      <c r="AI61" s="12">
        <f t="shared" si="43"/>
        <v>10.911945677668401</v>
      </c>
      <c r="AJ61" s="12">
        <f t="shared" si="44"/>
        <v>10.900377014936801</v>
      </c>
      <c r="AK61" s="12">
        <f t="shared" si="45"/>
        <v>10.910104694064001</v>
      </c>
      <c r="AL61" s="12" t="str">
        <f t="shared" si="46"/>
        <v/>
      </c>
      <c r="AM61" s="12" t="str">
        <f t="shared" si="47"/>
        <v/>
      </c>
      <c r="AN61" s="12" t="str">
        <f t="shared" si="48"/>
        <v/>
      </c>
      <c r="AO61" s="12" t="str">
        <f t="shared" si="49"/>
        <v/>
      </c>
      <c r="AP61" s="12" t="str">
        <f t="shared" si="50"/>
        <v/>
      </c>
    </row>
    <row r="62" spans="1:42">
      <c r="A62" s="9">
        <f t="shared" si="24"/>
        <v>43123.758564814816</v>
      </c>
      <c r="B62" s="22">
        <f t="shared" si="25"/>
        <v>2458142.2585648149</v>
      </c>
      <c r="C62" s="23">
        <f t="shared" si="27"/>
        <v>9.096036218490374</v>
      </c>
      <c r="D62" s="24">
        <f t="shared" ca="1" si="28"/>
        <v>7.2755464746337373E-2</v>
      </c>
      <c r="E62" s="24">
        <f t="shared" si="26"/>
        <v>2.4916255050115538E-2</v>
      </c>
      <c r="F62" s="25">
        <f t="shared" si="29"/>
        <v>10.917179125188873</v>
      </c>
      <c r="G62" s="7">
        <v>43123.758564814816</v>
      </c>
      <c r="H62" s="11">
        <v>2458142.2585649998</v>
      </c>
      <c r="I62" s="11">
        <v>-13.1840667333172</v>
      </c>
      <c r="J62" s="11">
        <v>-11.362923826618699</v>
      </c>
      <c r="K62" s="11">
        <v>-13.717361842841999</v>
      </c>
      <c r="L62" s="11">
        <v>-12.609161192801899</v>
      </c>
      <c r="M62" s="11">
        <v>-12.837186363735</v>
      </c>
      <c r="N62" s="11">
        <v>-12.391702407851399</v>
      </c>
      <c r="O62" s="11"/>
      <c r="P62" s="11"/>
      <c r="Q62" s="11"/>
      <c r="R62" s="11"/>
      <c r="S62" s="11"/>
      <c r="T62" s="12"/>
      <c r="U62" s="12">
        <f t="shared" si="30"/>
        <v>4</v>
      </c>
      <c r="V62" s="28">
        <f t="shared" ca="1" si="31"/>
        <v>5.84</v>
      </c>
      <c r="W62" s="28">
        <f t="shared" si="32"/>
        <v>2.4916255050115538E-2</v>
      </c>
      <c r="X62" s="12">
        <f t="shared" si="33"/>
        <v>9.0592951095247987</v>
      </c>
      <c r="Y62" s="12">
        <f t="shared" si="34"/>
        <v>9.1040944594846991</v>
      </c>
      <c r="Z62" s="12">
        <f t="shared" si="35"/>
        <v>9.1061196304177994</v>
      </c>
      <c r="AA62" s="12">
        <f t="shared" si="36"/>
        <v>9.114635674534199</v>
      </c>
      <c r="AB62" s="12" t="str">
        <f t="shared" si="37"/>
        <v/>
      </c>
      <c r="AC62" s="12" t="str">
        <f t="shared" si="38"/>
        <v/>
      </c>
      <c r="AD62" s="12" t="str">
        <f t="shared" si="39"/>
        <v/>
      </c>
      <c r="AE62" s="12" t="str">
        <f t="shared" si="40"/>
        <v/>
      </c>
      <c r="AF62" s="12" t="str">
        <f t="shared" si="41"/>
        <v/>
      </c>
      <c r="AG62" s="12"/>
      <c r="AH62" s="12">
        <f t="shared" si="42"/>
        <v>10.8804380162233</v>
      </c>
      <c r="AI62" s="12">
        <f t="shared" si="43"/>
        <v>10.9252373661832</v>
      </c>
      <c r="AJ62" s="12">
        <f t="shared" si="44"/>
        <v>10.927262537116301</v>
      </c>
      <c r="AK62" s="12">
        <f t="shared" si="45"/>
        <v>10.9357785812327</v>
      </c>
      <c r="AL62" s="12" t="str">
        <f t="shared" si="46"/>
        <v/>
      </c>
      <c r="AM62" s="12" t="str">
        <f t="shared" si="47"/>
        <v/>
      </c>
      <c r="AN62" s="12" t="str">
        <f t="shared" si="48"/>
        <v/>
      </c>
      <c r="AO62" s="12" t="str">
        <f t="shared" si="49"/>
        <v/>
      </c>
      <c r="AP62" s="12" t="str">
        <f t="shared" si="50"/>
        <v/>
      </c>
    </row>
    <row r="63" spans="1:42">
      <c r="A63" s="9">
        <f t="shared" si="24"/>
        <v>43123.758981481478</v>
      </c>
      <c r="B63" s="22">
        <f t="shared" si="25"/>
        <v>2458142.2589814817</v>
      </c>
      <c r="C63" s="23">
        <f t="shared" si="27"/>
        <v>9.0710604139938269</v>
      </c>
      <c r="D63" s="24">
        <f t="shared" ca="1" si="28"/>
        <v>5.9423979499015574E-2</v>
      </c>
      <c r="E63" s="24">
        <f t="shared" si="26"/>
        <v>2.0350677910621773E-2</v>
      </c>
      <c r="F63" s="25">
        <f t="shared" si="29"/>
        <v>10.905838486256025</v>
      </c>
      <c r="G63" s="7">
        <v>43123.758981481478</v>
      </c>
      <c r="H63" s="11">
        <v>2458142.2589810002</v>
      </c>
      <c r="I63" s="11">
        <v>-13.181016816436699</v>
      </c>
      <c r="J63" s="11">
        <v>-11.346238744174499</v>
      </c>
      <c r="K63" s="11">
        <v>-13.701571209712499</v>
      </c>
      <c r="L63" s="11">
        <v>-12.564142247199101</v>
      </c>
      <c r="M63" s="11">
        <v>-12.817006228353501</v>
      </c>
      <c r="N63" s="11">
        <v>-12.360589236457001</v>
      </c>
      <c r="O63" s="11"/>
      <c r="P63" s="11"/>
      <c r="Q63" s="11"/>
      <c r="R63" s="11"/>
      <c r="S63" s="11"/>
      <c r="T63" s="12"/>
      <c r="U63" s="12">
        <f t="shared" si="30"/>
        <v>4</v>
      </c>
      <c r="V63" s="28">
        <f t="shared" ca="1" si="31"/>
        <v>5.84</v>
      </c>
      <c r="W63" s="28">
        <f t="shared" si="32"/>
        <v>2.0350677910621773E-2</v>
      </c>
      <c r="X63" s="12">
        <f t="shared" si="33"/>
        <v>9.0465543932757999</v>
      </c>
      <c r="Y63" s="12">
        <f t="shared" si="34"/>
        <v>9.0621254307624017</v>
      </c>
      <c r="Z63" s="12">
        <f t="shared" si="35"/>
        <v>9.0889894119168009</v>
      </c>
      <c r="AA63" s="12">
        <f t="shared" si="36"/>
        <v>9.0865724200203015</v>
      </c>
      <c r="AB63" s="12" t="str">
        <f t="shared" si="37"/>
        <v/>
      </c>
      <c r="AC63" s="12" t="str">
        <f t="shared" si="38"/>
        <v/>
      </c>
      <c r="AD63" s="12" t="str">
        <f t="shared" si="39"/>
        <v/>
      </c>
      <c r="AE63" s="12" t="str">
        <f t="shared" si="40"/>
        <v/>
      </c>
      <c r="AF63" s="12" t="str">
        <f t="shared" si="41"/>
        <v/>
      </c>
      <c r="AG63" s="12"/>
      <c r="AH63" s="12">
        <f t="shared" si="42"/>
        <v>10.881332465538</v>
      </c>
      <c r="AI63" s="12">
        <f t="shared" si="43"/>
        <v>10.896903503024602</v>
      </c>
      <c r="AJ63" s="12">
        <f t="shared" si="44"/>
        <v>10.923767484179001</v>
      </c>
      <c r="AK63" s="12">
        <f t="shared" si="45"/>
        <v>10.921350492282501</v>
      </c>
      <c r="AL63" s="12" t="str">
        <f t="shared" si="46"/>
        <v/>
      </c>
      <c r="AM63" s="12" t="str">
        <f t="shared" si="47"/>
        <v/>
      </c>
      <c r="AN63" s="12" t="str">
        <f t="shared" si="48"/>
        <v/>
      </c>
      <c r="AO63" s="12" t="str">
        <f t="shared" si="49"/>
        <v/>
      </c>
      <c r="AP63" s="12" t="str">
        <f t="shared" si="50"/>
        <v/>
      </c>
    </row>
    <row r="64" spans="1:42">
      <c r="A64" s="9">
        <f t="shared" si="24"/>
        <v>43123.759398148148</v>
      </c>
      <c r="B64" s="22">
        <f t="shared" si="25"/>
        <v>2458142.2593981479</v>
      </c>
      <c r="C64" s="23">
        <f t="shared" si="27"/>
        <v>9.0750151436988737</v>
      </c>
      <c r="D64" s="24">
        <f t="shared" ca="1" si="28"/>
        <v>5.1662856295259484E-2</v>
      </c>
      <c r="E64" s="24">
        <f t="shared" si="26"/>
        <v>1.769275900522585E-2</v>
      </c>
      <c r="F64" s="25">
        <f t="shared" si="29"/>
        <v>10.923731399610674</v>
      </c>
      <c r="G64" s="7">
        <v>43123.759398148148</v>
      </c>
      <c r="H64" s="11">
        <v>2458142.2593979998</v>
      </c>
      <c r="I64" s="11">
        <v>-13.18295915036</v>
      </c>
      <c r="J64" s="11">
        <v>-11.334242894448201</v>
      </c>
      <c r="K64" s="11">
        <v>-13.712925516585999</v>
      </c>
      <c r="L64" s="11">
        <v>-12.573337977408301</v>
      </c>
      <c r="M64" s="11">
        <v>-12.828266732424</v>
      </c>
      <c r="N64" s="11">
        <v>-12.352366949817201</v>
      </c>
      <c r="O64" s="11"/>
      <c r="P64" s="11"/>
      <c r="Q64" s="11"/>
      <c r="R64" s="11"/>
      <c r="S64" s="11"/>
      <c r="T64" s="12"/>
      <c r="U64" s="12">
        <f t="shared" si="30"/>
        <v>4</v>
      </c>
      <c r="V64" s="28">
        <f t="shared" ca="1" si="31"/>
        <v>5.84</v>
      </c>
      <c r="W64" s="28">
        <f t="shared" si="32"/>
        <v>1.769275900522585E-2</v>
      </c>
      <c r="X64" s="12">
        <f t="shared" si="33"/>
        <v>9.0559663662259986</v>
      </c>
      <c r="Y64" s="12">
        <f t="shared" si="34"/>
        <v>9.0693788270483005</v>
      </c>
      <c r="Z64" s="12">
        <f t="shared" si="35"/>
        <v>9.0983075820639989</v>
      </c>
      <c r="AA64" s="12">
        <f t="shared" si="36"/>
        <v>9.0764077994572006</v>
      </c>
      <c r="AB64" s="12" t="str">
        <f t="shared" si="37"/>
        <v/>
      </c>
      <c r="AC64" s="12" t="str">
        <f t="shared" si="38"/>
        <v/>
      </c>
      <c r="AD64" s="12" t="str">
        <f t="shared" si="39"/>
        <v/>
      </c>
      <c r="AE64" s="12" t="str">
        <f t="shared" si="40"/>
        <v/>
      </c>
      <c r="AF64" s="12" t="str">
        <f t="shared" si="41"/>
        <v/>
      </c>
      <c r="AG64" s="12"/>
      <c r="AH64" s="12">
        <f t="shared" si="42"/>
        <v>10.904682622137798</v>
      </c>
      <c r="AI64" s="12">
        <f t="shared" si="43"/>
        <v>10.9180950829601</v>
      </c>
      <c r="AJ64" s="12">
        <f t="shared" si="44"/>
        <v>10.947023837975799</v>
      </c>
      <c r="AK64" s="12">
        <f t="shared" si="45"/>
        <v>10.925124055369</v>
      </c>
      <c r="AL64" s="12" t="str">
        <f t="shared" si="46"/>
        <v/>
      </c>
      <c r="AM64" s="12" t="str">
        <f t="shared" si="47"/>
        <v/>
      </c>
      <c r="AN64" s="12" t="str">
        <f t="shared" si="48"/>
        <v/>
      </c>
      <c r="AO64" s="12" t="str">
        <f t="shared" si="49"/>
        <v/>
      </c>
      <c r="AP64" s="12" t="str">
        <f t="shared" si="50"/>
        <v/>
      </c>
    </row>
    <row r="65" spans="1:42">
      <c r="A65" s="9">
        <f t="shared" si="24"/>
        <v>43123.759826388887</v>
      </c>
      <c r="B65" s="22">
        <f t="shared" si="25"/>
        <v>2458142.2598263887</v>
      </c>
      <c r="C65" s="23">
        <f t="shared" si="27"/>
        <v>9.0782291066427501</v>
      </c>
      <c r="D65" s="24">
        <f t="shared" ca="1" si="28"/>
        <v>5.8969164875846192E-2</v>
      </c>
      <c r="E65" s="24">
        <f t="shared" si="26"/>
        <v>2.0194919478029517E-2</v>
      </c>
      <c r="F65" s="25">
        <f t="shared" si="29"/>
        <v>10.912756411176751</v>
      </c>
      <c r="G65" s="7">
        <v>43123.759826388887</v>
      </c>
      <c r="H65" s="11">
        <v>2458142.2598259998</v>
      </c>
      <c r="I65" s="11">
        <v>-13.1958736924964</v>
      </c>
      <c r="J65" s="11">
        <v>-11.361346387962399</v>
      </c>
      <c r="K65" s="11">
        <v>-13.7232818831139</v>
      </c>
      <c r="L65" s="11">
        <v>-12.5916685948843</v>
      </c>
      <c r="M65" s="11">
        <v>-12.8253193357207</v>
      </c>
      <c r="N65" s="11">
        <v>-12.3911413828377</v>
      </c>
      <c r="O65" s="11"/>
      <c r="P65" s="11"/>
      <c r="Q65" s="11"/>
      <c r="R65" s="11"/>
      <c r="S65" s="11"/>
      <c r="T65" s="12"/>
      <c r="U65" s="12">
        <f t="shared" si="30"/>
        <v>4</v>
      </c>
      <c r="V65" s="28">
        <f t="shared" ca="1" si="31"/>
        <v>5.84</v>
      </c>
      <c r="W65" s="28">
        <f t="shared" si="32"/>
        <v>2.0194919478029517E-2</v>
      </c>
      <c r="X65" s="12">
        <f t="shared" si="33"/>
        <v>9.0534081906174997</v>
      </c>
      <c r="Y65" s="12">
        <f t="shared" si="34"/>
        <v>9.0747949023879002</v>
      </c>
      <c r="Z65" s="12">
        <f t="shared" si="35"/>
        <v>9.0824456432242986</v>
      </c>
      <c r="AA65" s="12">
        <f t="shared" si="36"/>
        <v>9.1022676903413</v>
      </c>
      <c r="AB65" s="12" t="str">
        <f t="shared" si="37"/>
        <v/>
      </c>
      <c r="AC65" s="12" t="str">
        <f t="shared" si="38"/>
        <v/>
      </c>
      <c r="AD65" s="12" t="str">
        <f t="shared" si="39"/>
        <v/>
      </c>
      <c r="AE65" s="12" t="str">
        <f t="shared" si="40"/>
        <v/>
      </c>
      <c r="AF65" s="12" t="str">
        <f t="shared" si="41"/>
        <v/>
      </c>
      <c r="AG65" s="12"/>
      <c r="AH65" s="12">
        <f t="shared" si="42"/>
        <v>10.887935495151501</v>
      </c>
      <c r="AI65" s="12">
        <f t="shared" si="43"/>
        <v>10.909322206921901</v>
      </c>
      <c r="AJ65" s="12">
        <f t="shared" si="44"/>
        <v>10.9169729477583</v>
      </c>
      <c r="AK65" s="12">
        <f t="shared" si="45"/>
        <v>10.936794994875301</v>
      </c>
      <c r="AL65" s="12" t="str">
        <f t="shared" si="46"/>
        <v/>
      </c>
      <c r="AM65" s="12" t="str">
        <f t="shared" si="47"/>
        <v/>
      </c>
      <c r="AN65" s="12" t="str">
        <f t="shared" si="48"/>
        <v/>
      </c>
      <c r="AO65" s="12" t="str">
        <f t="shared" si="49"/>
        <v/>
      </c>
      <c r="AP65" s="12" t="str">
        <f t="shared" si="50"/>
        <v/>
      </c>
    </row>
    <row r="66" spans="1:42">
      <c r="A66" s="9">
        <f t="shared" si="24"/>
        <v>43123.760243055556</v>
      </c>
      <c r="B66" s="22">
        <f t="shared" si="25"/>
        <v>2458142.2602430554</v>
      </c>
      <c r="C66" s="23">
        <f t="shared" si="27"/>
        <v>9.0841129197645252</v>
      </c>
      <c r="D66" s="24">
        <f t="shared" ca="1" si="28"/>
        <v>5.7358796733638341E-2</v>
      </c>
      <c r="E66" s="24">
        <f t="shared" si="26"/>
        <v>1.9643423538917241E-2</v>
      </c>
      <c r="F66" s="25">
        <f t="shared" si="29"/>
        <v>10.961755676232324</v>
      </c>
      <c r="G66" s="7">
        <v>43123.760243055556</v>
      </c>
      <c r="H66" s="11">
        <v>2458142.260243</v>
      </c>
      <c r="I66" s="11">
        <v>-13.185387384531801</v>
      </c>
      <c r="J66" s="11">
        <v>-11.307744628064</v>
      </c>
      <c r="K66" s="11">
        <v>-13.714536036682301</v>
      </c>
      <c r="L66" s="11">
        <v>-12.5950979742203</v>
      </c>
      <c r="M66" s="11">
        <v>-12.8292577792236</v>
      </c>
      <c r="N66" s="11">
        <v>-12.3741094270591</v>
      </c>
      <c r="O66" s="11"/>
      <c r="P66" s="11"/>
      <c r="Q66" s="11"/>
      <c r="R66" s="11"/>
      <c r="S66" s="11"/>
      <c r="T66" s="12"/>
      <c r="U66" s="12">
        <f t="shared" si="30"/>
        <v>4</v>
      </c>
      <c r="V66" s="28">
        <f t="shared" ca="1" si="31"/>
        <v>5.84</v>
      </c>
      <c r="W66" s="28">
        <f t="shared" si="32"/>
        <v>1.9643423538917241E-2</v>
      </c>
      <c r="X66" s="12">
        <f t="shared" si="33"/>
        <v>9.0551486521504998</v>
      </c>
      <c r="Y66" s="12">
        <f t="shared" si="34"/>
        <v>9.0887105896884997</v>
      </c>
      <c r="Z66" s="12">
        <f t="shared" si="35"/>
        <v>9.0968703946917984</v>
      </c>
      <c r="AA66" s="12">
        <f t="shared" si="36"/>
        <v>9.0957220425272993</v>
      </c>
      <c r="AB66" s="12" t="str">
        <f t="shared" si="37"/>
        <v/>
      </c>
      <c r="AC66" s="12" t="str">
        <f t="shared" si="38"/>
        <v/>
      </c>
      <c r="AD66" s="12" t="str">
        <f t="shared" si="39"/>
        <v/>
      </c>
      <c r="AE66" s="12" t="str">
        <f t="shared" si="40"/>
        <v/>
      </c>
      <c r="AF66" s="12" t="str">
        <f t="shared" si="41"/>
        <v/>
      </c>
      <c r="AG66" s="12"/>
      <c r="AH66" s="12">
        <f t="shared" si="42"/>
        <v>10.9327914086183</v>
      </c>
      <c r="AI66" s="12">
        <f t="shared" si="43"/>
        <v>10.9663533461563</v>
      </c>
      <c r="AJ66" s="12">
        <f t="shared" si="44"/>
        <v>10.974513151159599</v>
      </c>
      <c r="AK66" s="12">
        <f t="shared" si="45"/>
        <v>10.9733647989951</v>
      </c>
      <c r="AL66" s="12" t="str">
        <f t="shared" si="46"/>
        <v/>
      </c>
      <c r="AM66" s="12" t="str">
        <f t="shared" si="47"/>
        <v/>
      </c>
      <c r="AN66" s="12" t="str">
        <f t="shared" si="48"/>
        <v/>
      </c>
      <c r="AO66" s="12" t="str">
        <f t="shared" si="49"/>
        <v/>
      </c>
      <c r="AP66" s="12" t="str">
        <f t="shared" si="50"/>
        <v/>
      </c>
    </row>
    <row r="67" spans="1:42">
      <c r="A67" s="9">
        <f t="shared" si="24"/>
        <v>43123.760671296295</v>
      </c>
      <c r="B67" s="22">
        <f t="shared" si="25"/>
        <v>2458142.2606712962</v>
      </c>
      <c r="C67" s="23">
        <f t="shared" si="27"/>
        <v>9.0884419530089744</v>
      </c>
      <c r="D67" s="24">
        <f t="shared" ca="1" si="28"/>
        <v>5.3195156688535306E-2</v>
      </c>
      <c r="E67" s="24">
        <f t="shared" si="26"/>
        <v>1.8217519413881954E-2</v>
      </c>
      <c r="F67" s="25">
        <f t="shared" si="29"/>
        <v>10.936229997400675</v>
      </c>
      <c r="G67" s="7">
        <v>43123.760671296295</v>
      </c>
      <c r="H67" s="11">
        <v>2458142.260671</v>
      </c>
      <c r="I67" s="11">
        <v>-13.1894193794071</v>
      </c>
      <c r="J67" s="11">
        <v>-11.3416313350154</v>
      </c>
      <c r="K67" s="11">
        <v>-13.727249169215</v>
      </c>
      <c r="L67" s="11">
        <v>-12.5992903863918</v>
      </c>
      <c r="M67" s="11">
        <v>-12.843927124984701</v>
      </c>
      <c r="N67" s="11">
        <v>-12.375978649072801</v>
      </c>
      <c r="O67" s="11"/>
      <c r="P67" s="11"/>
      <c r="Q67" s="11"/>
      <c r="R67" s="11"/>
      <c r="S67" s="11"/>
      <c r="T67" s="12"/>
      <c r="U67" s="12">
        <f t="shared" si="30"/>
        <v>4</v>
      </c>
      <c r="V67" s="28">
        <f t="shared" ca="1" si="31"/>
        <v>5.84</v>
      </c>
      <c r="W67" s="28">
        <f t="shared" si="32"/>
        <v>1.8217519413881954E-2</v>
      </c>
      <c r="X67" s="12">
        <f t="shared" si="33"/>
        <v>9.0638297898078992</v>
      </c>
      <c r="Y67" s="12">
        <f t="shared" si="34"/>
        <v>9.0888710069847001</v>
      </c>
      <c r="Z67" s="12">
        <f t="shared" si="35"/>
        <v>9.1075077455775997</v>
      </c>
      <c r="AA67" s="12">
        <f t="shared" si="36"/>
        <v>9.0935592696657004</v>
      </c>
      <c r="AB67" s="12" t="str">
        <f t="shared" si="37"/>
        <v/>
      </c>
      <c r="AC67" s="12" t="str">
        <f t="shared" si="38"/>
        <v/>
      </c>
      <c r="AD67" s="12" t="str">
        <f t="shared" si="39"/>
        <v/>
      </c>
      <c r="AE67" s="12" t="str">
        <f t="shared" si="40"/>
        <v/>
      </c>
      <c r="AF67" s="12" t="str">
        <f t="shared" si="41"/>
        <v/>
      </c>
      <c r="AG67" s="12"/>
      <c r="AH67" s="12">
        <f t="shared" si="42"/>
        <v>10.9116178341996</v>
      </c>
      <c r="AI67" s="12">
        <f t="shared" si="43"/>
        <v>10.936659051376401</v>
      </c>
      <c r="AJ67" s="12">
        <f t="shared" si="44"/>
        <v>10.9552957899693</v>
      </c>
      <c r="AK67" s="12">
        <f t="shared" si="45"/>
        <v>10.941347314057401</v>
      </c>
      <c r="AL67" s="12" t="str">
        <f t="shared" si="46"/>
        <v/>
      </c>
      <c r="AM67" s="12" t="str">
        <f t="shared" si="47"/>
        <v/>
      </c>
      <c r="AN67" s="12" t="str">
        <f t="shared" si="48"/>
        <v/>
      </c>
      <c r="AO67" s="12" t="str">
        <f t="shared" si="49"/>
        <v/>
      </c>
      <c r="AP67" s="12" t="str">
        <f t="shared" si="50"/>
        <v/>
      </c>
    </row>
    <row r="68" spans="1:42">
      <c r="A68" s="9">
        <f t="shared" si="24"/>
        <v>43123.761087962965</v>
      </c>
      <c r="B68" s="22">
        <f t="shared" si="25"/>
        <v>2458142.2610879629</v>
      </c>
      <c r="C68" s="23">
        <f t="shared" si="27"/>
        <v>9.0885277216656739</v>
      </c>
      <c r="D68" s="24">
        <f t="shared" ca="1" si="28"/>
        <v>5.4402956875438495E-2</v>
      </c>
      <c r="E68" s="24">
        <f t="shared" si="26"/>
        <v>1.8631149614876198E-2</v>
      </c>
      <c r="F68" s="25">
        <f t="shared" si="29"/>
        <v>10.961040411434874</v>
      </c>
      <c r="G68" s="7">
        <v>43123.761087962965</v>
      </c>
      <c r="H68" s="11">
        <v>2458142.2610880001</v>
      </c>
      <c r="I68" s="11">
        <v>-13.1870554632935</v>
      </c>
      <c r="J68" s="11">
        <v>-11.3145427735243</v>
      </c>
      <c r="K68" s="11">
        <v>-13.724227105017301</v>
      </c>
      <c r="L68" s="11">
        <v>-12.5965794626603</v>
      </c>
      <c r="M68" s="11">
        <v>-12.841462627159199</v>
      </c>
      <c r="N68" s="11">
        <v>-12.3750635449999</v>
      </c>
      <c r="O68" s="11"/>
      <c r="P68" s="11"/>
      <c r="Q68" s="11"/>
      <c r="R68" s="11"/>
      <c r="S68" s="11"/>
      <c r="T68" s="12"/>
      <c r="U68" s="12">
        <f t="shared" si="30"/>
        <v>4</v>
      </c>
      <c r="V68" s="28">
        <f t="shared" ca="1" si="31"/>
        <v>5.84</v>
      </c>
      <c r="W68" s="28">
        <f t="shared" si="32"/>
        <v>1.8631149614876198E-2</v>
      </c>
      <c r="X68" s="12">
        <f t="shared" si="33"/>
        <v>9.0631716417238</v>
      </c>
      <c r="Y68" s="12">
        <f t="shared" si="34"/>
        <v>9.0885239993667994</v>
      </c>
      <c r="Z68" s="12">
        <f t="shared" si="35"/>
        <v>9.1074071638656982</v>
      </c>
      <c r="AA68" s="12">
        <f t="shared" si="36"/>
        <v>9.0950080817063998</v>
      </c>
      <c r="AB68" s="12" t="str">
        <f t="shared" si="37"/>
        <v/>
      </c>
      <c r="AC68" s="12" t="str">
        <f t="shared" si="38"/>
        <v/>
      </c>
      <c r="AD68" s="12" t="str">
        <f t="shared" si="39"/>
        <v/>
      </c>
      <c r="AE68" s="12" t="str">
        <f t="shared" si="40"/>
        <v/>
      </c>
      <c r="AF68" s="12" t="str">
        <f t="shared" si="41"/>
        <v/>
      </c>
      <c r="AG68" s="12"/>
      <c r="AH68" s="12">
        <f t="shared" si="42"/>
        <v>10.935684331493</v>
      </c>
      <c r="AI68" s="12">
        <f t="shared" si="43"/>
        <v>10.961036689136</v>
      </c>
      <c r="AJ68" s="12">
        <f t="shared" si="44"/>
        <v>10.979919853634899</v>
      </c>
      <c r="AK68" s="12">
        <f t="shared" si="45"/>
        <v>10.9675207714756</v>
      </c>
      <c r="AL68" s="12" t="str">
        <f t="shared" si="46"/>
        <v/>
      </c>
      <c r="AM68" s="12" t="str">
        <f t="shared" si="47"/>
        <v/>
      </c>
      <c r="AN68" s="12" t="str">
        <f t="shared" si="48"/>
        <v/>
      </c>
      <c r="AO68" s="12" t="str">
        <f t="shared" si="49"/>
        <v/>
      </c>
      <c r="AP68" s="12" t="str">
        <f t="shared" si="50"/>
        <v/>
      </c>
    </row>
    <row r="69" spans="1:42">
      <c r="A69" s="9">
        <f t="shared" si="24"/>
        <v>43123.761504629627</v>
      </c>
      <c r="B69" s="22">
        <f t="shared" si="25"/>
        <v>2458142.2615046296</v>
      </c>
      <c r="C69" s="23">
        <f t="shared" si="27"/>
        <v>9.0813573228178761</v>
      </c>
      <c r="D69" s="24">
        <f t="shared" ca="1" si="28"/>
        <v>5.5793055844769845E-2</v>
      </c>
      <c r="E69" s="24">
        <f t="shared" si="26"/>
        <v>1.9107210905743098E-2</v>
      </c>
      <c r="F69" s="25">
        <f t="shared" si="29"/>
        <v>10.894644018489373</v>
      </c>
      <c r="G69" s="7">
        <v>43123.761504629627</v>
      </c>
      <c r="H69" s="11">
        <v>2458142.2615049998</v>
      </c>
      <c r="I69" s="11">
        <v>-13.199546022746199</v>
      </c>
      <c r="J69" s="11">
        <v>-11.386259327074701</v>
      </c>
      <c r="K69" s="11">
        <v>-13.729027079168301</v>
      </c>
      <c r="L69" s="11">
        <v>-12.615537295656299</v>
      </c>
      <c r="M69" s="11">
        <v>-12.843103424737899</v>
      </c>
      <c r="N69" s="11">
        <v>-12.3709455826938</v>
      </c>
      <c r="O69" s="11"/>
      <c r="P69" s="11"/>
      <c r="Q69" s="11"/>
      <c r="R69" s="11"/>
      <c r="S69" s="11"/>
      <c r="T69" s="12"/>
      <c r="U69" s="12">
        <f t="shared" si="30"/>
        <v>4</v>
      </c>
      <c r="V69" s="28">
        <f t="shared" ca="1" si="31"/>
        <v>5.84</v>
      </c>
      <c r="W69" s="28">
        <f t="shared" si="32"/>
        <v>1.9107210905743098E-2</v>
      </c>
      <c r="X69" s="12">
        <f t="shared" si="33"/>
        <v>9.0554810564221011</v>
      </c>
      <c r="Y69" s="12">
        <f t="shared" si="34"/>
        <v>9.0949912729101001</v>
      </c>
      <c r="Z69" s="12">
        <f t="shared" si="35"/>
        <v>9.0965574019916993</v>
      </c>
      <c r="AA69" s="12">
        <f t="shared" si="36"/>
        <v>9.0783995599476004</v>
      </c>
      <c r="AB69" s="12" t="str">
        <f t="shared" si="37"/>
        <v/>
      </c>
      <c r="AC69" s="12" t="str">
        <f t="shared" si="38"/>
        <v/>
      </c>
      <c r="AD69" s="12" t="str">
        <f t="shared" si="39"/>
        <v/>
      </c>
      <c r="AE69" s="12" t="str">
        <f t="shared" si="40"/>
        <v/>
      </c>
      <c r="AF69" s="12" t="str">
        <f t="shared" si="41"/>
        <v/>
      </c>
      <c r="AG69" s="12"/>
      <c r="AH69" s="12">
        <f t="shared" si="42"/>
        <v>10.8687677520936</v>
      </c>
      <c r="AI69" s="12">
        <f t="shared" si="43"/>
        <v>10.908277968581599</v>
      </c>
      <c r="AJ69" s="12">
        <f t="shared" si="44"/>
        <v>10.909844097663198</v>
      </c>
      <c r="AK69" s="12">
        <f t="shared" si="45"/>
        <v>10.891686255619099</v>
      </c>
      <c r="AL69" s="12" t="str">
        <f t="shared" si="46"/>
        <v/>
      </c>
      <c r="AM69" s="12" t="str">
        <f t="shared" si="47"/>
        <v/>
      </c>
      <c r="AN69" s="12" t="str">
        <f t="shared" si="48"/>
        <v/>
      </c>
      <c r="AO69" s="12" t="str">
        <f t="shared" si="49"/>
        <v/>
      </c>
      <c r="AP69" s="12" t="str">
        <f t="shared" si="50"/>
        <v/>
      </c>
    </row>
    <row r="70" spans="1:42">
      <c r="A70" s="9">
        <f t="shared" si="24"/>
        <v>43123.761932870373</v>
      </c>
      <c r="B70" s="22">
        <f t="shared" si="25"/>
        <v>2458142.2619328704</v>
      </c>
      <c r="C70" s="23">
        <f t="shared" si="27"/>
        <v>9.0805179368075493</v>
      </c>
      <c r="D70" s="24">
        <f t="shared" ca="1" si="28"/>
        <v>4.8175530240807903E-2</v>
      </c>
      <c r="E70" s="24">
        <f t="shared" si="26"/>
        <v>1.6498469260550652E-2</v>
      </c>
      <c r="F70" s="25">
        <f t="shared" si="29"/>
        <v>10.903662591056049</v>
      </c>
      <c r="G70" s="7">
        <v>43123.761932870373</v>
      </c>
      <c r="H70" s="11">
        <v>2458142.2619329998</v>
      </c>
      <c r="I70" s="11">
        <v>-13.1928364232361</v>
      </c>
      <c r="J70" s="11">
        <v>-11.3696917689876</v>
      </c>
      <c r="K70" s="11">
        <v>-13.725585889055701</v>
      </c>
      <c r="L70" s="11">
        <v>-12.591699639000501</v>
      </c>
      <c r="M70" s="11">
        <v>-12.8282393848787</v>
      </c>
      <c r="N70" s="11">
        <v>-12.382892527239701</v>
      </c>
      <c r="O70" s="11"/>
      <c r="P70" s="11"/>
      <c r="Q70" s="11"/>
      <c r="R70" s="11"/>
      <c r="S70" s="11"/>
      <c r="T70" s="12"/>
      <c r="U70" s="12">
        <f t="shared" si="30"/>
        <v>4</v>
      </c>
      <c r="V70" s="28">
        <f t="shared" ca="1" si="31"/>
        <v>5.84</v>
      </c>
      <c r="W70" s="28">
        <f t="shared" si="32"/>
        <v>1.6498469260550652E-2</v>
      </c>
      <c r="X70" s="12">
        <f t="shared" si="33"/>
        <v>9.0587494658196004</v>
      </c>
      <c r="Y70" s="12">
        <f t="shared" si="34"/>
        <v>9.0778632157644008</v>
      </c>
      <c r="Z70" s="12">
        <f t="shared" si="35"/>
        <v>9.0884029616425988</v>
      </c>
      <c r="AA70" s="12">
        <f t="shared" si="36"/>
        <v>9.0970561040036007</v>
      </c>
      <c r="AB70" s="12" t="str">
        <f t="shared" si="37"/>
        <v/>
      </c>
      <c r="AC70" s="12" t="str">
        <f t="shared" si="38"/>
        <v/>
      </c>
      <c r="AD70" s="12" t="str">
        <f t="shared" si="39"/>
        <v/>
      </c>
      <c r="AE70" s="12" t="str">
        <f t="shared" si="40"/>
        <v/>
      </c>
      <c r="AF70" s="12" t="str">
        <f t="shared" si="41"/>
        <v/>
      </c>
      <c r="AG70" s="12"/>
      <c r="AH70" s="12">
        <f t="shared" si="42"/>
        <v>10.8818941200681</v>
      </c>
      <c r="AI70" s="12">
        <f t="shared" si="43"/>
        <v>10.901007870012901</v>
      </c>
      <c r="AJ70" s="12">
        <f t="shared" si="44"/>
        <v>10.911547615891099</v>
      </c>
      <c r="AK70" s="12">
        <f t="shared" si="45"/>
        <v>10.920200758252101</v>
      </c>
      <c r="AL70" s="12" t="str">
        <f t="shared" si="46"/>
        <v/>
      </c>
      <c r="AM70" s="12" t="str">
        <f t="shared" si="47"/>
        <v/>
      </c>
      <c r="AN70" s="12" t="str">
        <f t="shared" si="48"/>
        <v/>
      </c>
      <c r="AO70" s="12" t="str">
        <f t="shared" si="49"/>
        <v/>
      </c>
      <c r="AP70" s="12" t="str">
        <f t="shared" si="50"/>
        <v/>
      </c>
    </row>
    <row r="71" spans="1:42">
      <c r="A71" s="9">
        <f t="shared" si="24"/>
        <v>43123.762349537035</v>
      </c>
      <c r="B71" s="22">
        <f t="shared" si="25"/>
        <v>2458142.2623495371</v>
      </c>
      <c r="C71" s="23">
        <f t="shared" si="27"/>
        <v>9.0867909605685995</v>
      </c>
      <c r="D71" s="24">
        <f t="shared" ca="1" si="28"/>
        <v>4.8639041890689058E-2</v>
      </c>
      <c r="E71" s="24">
        <f t="shared" si="26"/>
        <v>1.6657206126948307E-2</v>
      </c>
      <c r="F71" s="25">
        <f t="shared" si="29"/>
        <v>10.924399674155202</v>
      </c>
      <c r="G71" s="7">
        <v>43123.762349537035</v>
      </c>
      <c r="H71" s="11">
        <v>2458142.26235</v>
      </c>
      <c r="I71" s="11">
        <v>-13.1931992631566</v>
      </c>
      <c r="J71" s="11">
        <v>-11.35559054957</v>
      </c>
      <c r="K71" s="11">
        <v>-13.730986294158001</v>
      </c>
      <c r="L71" s="11">
        <v>-12.6009623123034</v>
      </c>
      <c r="M71" s="11">
        <v>-12.834148785867701</v>
      </c>
      <c r="N71" s="11">
        <v>-12.3888635025717</v>
      </c>
      <c r="O71" s="11"/>
      <c r="P71" s="11"/>
      <c r="Q71" s="11"/>
      <c r="R71" s="11"/>
      <c r="S71" s="11"/>
      <c r="T71" s="12"/>
      <c r="U71" s="12">
        <f t="shared" si="30"/>
        <v>4</v>
      </c>
      <c r="V71" s="28">
        <f t="shared" ca="1" si="31"/>
        <v>5.84</v>
      </c>
      <c r="W71" s="28">
        <f t="shared" si="32"/>
        <v>1.6657206126948307E-2</v>
      </c>
      <c r="X71" s="12">
        <f t="shared" si="33"/>
        <v>9.0637870310014002</v>
      </c>
      <c r="Y71" s="12">
        <f t="shared" si="34"/>
        <v>9.0867630491467999</v>
      </c>
      <c r="Z71" s="12">
        <f t="shared" si="35"/>
        <v>9.0939495227110996</v>
      </c>
      <c r="AA71" s="12">
        <f t="shared" si="36"/>
        <v>9.1026642394151001</v>
      </c>
      <c r="AB71" s="12" t="str">
        <f t="shared" si="37"/>
        <v/>
      </c>
      <c r="AC71" s="12" t="str">
        <f t="shared" si="38"/>
        <v/>
      </c>
      <c r="AD71" s="12" t="str">
        <f t="shared" si="39"/>
        <v/>
      </c>
      <c r="AE71" s="12" t="str">
        <f t="shared" si="40"/>
        <v/>
      </c>
      <c r="AF71" s="12" t="str">
        <f t="shared" si="41"/>
        <v/>
      </c>
      <c r="AG71" s="12"/>
      <c r="AH71" s="12">
        <f t="shared" si="42"/>
        <v>10.901395744588001</v>
      </c>
      <c r="AI71" s="12">
        <f t="shared" si="43"/>
        <v>10.924371762733401</v>
      </c>
      <c r="AJ71" s="12">
        <f t="shared" si="44"/>
        <v>10.9315582362977</v>
      </c>
      <c r="AK71" s="12">
        <f t="shared" si="45"/>
        <v>10.940272953001701</v>
      </c>
      <c r="AL71" s="12" t="str">
        <f t="shared" si="46"/>
        <v/>
      </c>
      <c r="AM71" s="12" t="str">
        <f t="shared" si="47"/>
        <v/>
      </c>
      <c r="AN71" s="12" t="str">
        <f t="shared" si="48"/>
        <v/>
      </c>
      <c r="AO71" s="12" t="str">
        <f t="shared" si="49"/>
        <v/>
      </c>
      <c r="AP71" s="12" t="str">
        <f t="shared" si="50"/>
        <v/>
      </c>
    </row>
    <row r="72" spans="1:42">
      <c r="A72" s="9">
        <f t="shared" si="24"/>
        <v>43123.762777777774</v>
      </c>
      <c r="B72" s="22">
        <f t="shared" si="25"/>
        <v>2458142.2627777779</v>
      </c>
      <c r="C72" s="23">
        <f t="shared" si="27"/>
        <v>9.0973108312165003</v>
      </c>
      <c r="D72" s="24">
        <f t="shared" ca="1" si="28"/>
        <v>5.0467483146869829E-2</v>
      </c>
      <c r="E72" s="24">
        <f t="shared" si="26"/>
        <v>1.7283384639338983E-2</v>
      </c>
      <c r="F72" s="25">
        <f t="shared" si="29"/>
        <v>10.9240185016337</v>
      </c>
      <c r="G72" s="7">
        <v>43123.762777777774</v>
      </c>
      <c r="H72" s="11">
        <v>2458142.262778</v>
      </c>
      <c r="I72" s="11">
        <v>-13.1907967871051</v>
      </c>
      <c r="J72" s="11">
        <v>-11.3640891166879</v>
      </c>
      <c r="K72" s="11">
        <v>-13.7381952298307</v>
      </c>
      <c r="L72" s="11">
        <v>-12.613590991822999</v>
      </c>
      <c r="M72" s="11">
        <v>-12.837222787662601</v>
      </c>
      <c r="N72" s="11">
        <v>-12.3984214639701</v>
      </c>
      <c r="O72" s="11"/>
      <c r="P72" s="11"/>
      <c r="Q72" s="11"/>
      <c r="R72" s="11"/>
      <c r="S72" s="11"/>
      <c r="T72" s="12"/>
      <c r="U72" s="12">
        <f t="shared" si="30"/>
        <v>4</v>
      </c>
      <c r="V72" s="28">
        <f t="shared" ca="1" si="31"/>
        <v>5.84</v>
      </c>
      <c r="W72" s="28">
        <f t="shared" si="32"/>
        <v>1.7283384639338983E-2</v>
      </c>
      <c r="X72" s="12">
        <f t="shared" si="33"/>
        <v>9.0733984427255994</v>
      </c>
      <c r="Y72" s="12">
        <f t="shared" si="34"/>
        <v>9.1017942047178995</v>
      </c>
      <c r="Z72" s="12">
        <f t="shared" si="35"/>
        <v>9.0994260005575001</v>
      </c>
      <c r="AA72" s="12">
        <f t="shared" si="36"/>
        <v>9.1146246768650006</v>
      </c>
      <c r="AB72" s="12" t="str">
        <f t="shared" si="37"/>
        <v/>
      </c>
      <c r="AC72" s="12" t="str">
        <f t="shared" si="38"/>
        <v/>
      </c>
      <c r="AD72" s="12" t="str">
        <f t="shared" si="39"/>
        <v/>
      </c>
      <c r="AE72" s="12" t="str">
        <f t="shared" si="40"/>
        <v/>
      </c>
      <c r="AF72" s="12" t="str">
        <f t="shared" si="41"/>
        <v/>
      </c>
      <c r="AG72" s="12"/>
      <c r="AH72" s="12">
        <f t="shared" si="42"/>
        <v>10.900106113142799</v>
      </c>
      <c r="AI72" s="12">
        <f t="shared" si="43"/>
        <v>10.928501875135099</v>
      </c>
      <c r="AJ72" s="12">
        <f t="shared" si="44"/>
        <v>10.9261336709747</v>
      </c>
      <c r="AK72" s="12">
        <f t="shared" si="45"/>
        <v>10.9413323472822</v>
      </c>
      <c r="AL72" s="12" t="str">
        <f t="shared" si="46"/>
        <v/>
      </c>
      <c r="AM72" s="12" t="str">
        <f t="shared" si="47"/>
        <v/>
      </c>
      <c r="AN72" s="12" t="str">
        <f t="shared" si="48"/>
        <v/>
      </c>
      <c r="AO72" s="12" t="str">
        <f t="shared" si="49"/>
        <v/>
      </c>
      <c r="AP72" s="12" t="str">
        <f t="shared" si="50"/>
        <v/>
      </c>
    </row>
    <row r="73" spans="1:42">
      <c r="A73" s="9">
        <f t="shared" si="24"/>
        <v>43123.763194444444</v>
      </c>
      <c r="B73" s="22">
        <f t="shared" si="25"/>
        <v>2458142.2631944446</v>
      </c>
      <c r="C73" s="23">
        <f t="shared" si="27"/>
        <v>9.0981450683768763</v>
      </c>
      <c r="D73" s="24">
        <f t="shared" ca="1" si="28"/>
        <v>5.0839227713932643E-2</v>
      </c>
      <c r="E73" s="24">
        <f t="shared" si="26"/>
        <v>1.7410694422579674E-2</v>
      </c>
      <c r="F73" s="25">
        <f t="shared" si="29"/>
        <v>10.913082264925976</v>
      </c>
      <c r="G73" s="7">
        <v>43123.763194444444</v>
      </c>
      <c r="H73" s="11">
        <v>2458142.2631939999</v>
      </c>
      <c r="I73" s="11">
        <v>-13.1840890288069</v>
      </c>
      <c r="J73" s="11">
        <v>-11.369151832257799</v>
      </c>
      <c r="K73" s="11">
        <v>-13.730967935431501</v>
      </c>
      <c r="L73" s="11">
        <v>-12.605425889802</v>
      </c>
      <c r="M73" s="11">
        <v>-12.8407525629268</v>
      </c>
      <c r="N73" s="11">
        <v>-12.3867900005748</v>
      </c>
      <c r="O73" s="11"/>
      <c r="P73" s="11"/>
      <c r="Q73" s="11"/>
      <c r="R73" s="11"/>
      <c r="S73" s="11"/>
      <c r="T73" s="12"/>
      <c r="U73" s="12">
        <f t="shared" si="30"/>
        <v>4</v>
      </c>
      <c r="V73" s="28">
        <f t="shared" ca="1" si="31"/>
        <v>5.84</v>
      </c>
      <c r="W73" s="28">
        <f t="shared" si="32"/>
        <v>1.7410694422579674E-2</v>
      </c>
      <c r="X73" s="12">
        <f t="shared" si="33"/>
        <v>9.0728789066246005</v>
      </c>
      <c r="Y73" s="12">
        <f t="shared" si="34"/>
        <v>9.1003368609950996</v>
      </c>
      <c r="Z73" s="12">
        <f t="shared" si="35"/>
        <v>9.1096635341198997</v>
      </c>
      <c r="AA73" s="12">
        <f t="shared" si="36"/>
        <v>9.1097009717679001</v>
      </c>
      <c r="AB73" s="12" t="str">
        <f t="shared" si="37"/>
        <v/>
      </c>
      <c r="AC73" s="12" t="str">
        <f t="shared" si="38"/>
        <v/>
      </c>
      <c r="AD73" s="12" t="str">
        <f t="shared" si="39"/>
        <v/>
      </c>
      <c r="AE73" s="12" t="str">
        <f t="shared" si="40"/>
        <v/>
      </c>
      <c r="AF73" s="12" t="str">
        <f t="shared" si="41"/>
        <v/>
      </c>
      <c r="AG73" s="12"/>
      <c r="AH73" s="12">
        <f t="shared" si="42"/>
        <v>10.887816103173702</v>
      </c>
      <c r="AI73" s="12">
        <f t="shared" si="43"/>
        <v>10.915274057544201</v>
      </c>
      <c r="AJ73" s="12">
        <f t="shared" si="44"/>
        <v>10.924600730669001</v>
      </c>
      <c r="AK73" s="12">
        <f t="shared" si="45"/>
        <v>10.924638168317001</v>
      </c>
      <c r="AL73" s="12" t="str">
        <f t="shared" si="46"/>
        <v/>
      </c>
      <c r="AM73" s="12" t="str">
        <f t="shared" si="47"/>
        <v/>
      </c>
      <c r="AN73" s="12" t="str">
        <f t="shared" si="48"/>
        <v/>
      </c>
      <c r="AO73" s="12" t="str">
        <f t="shared" si="49"/>
        <v/>
      </c>
      <c r="AP73" s="12" t="str">
        <f t="shared" si="50"/>
        <v/>
      </c>
    </row>
    <row r="74" spans="1:42">
      <c r="A74" s="9">
        <f t="shared" si="24"/>
        <v>43123.763611111113</v>
      </c>
      <c r="B74" s="22">
        <f t="shared" si="25"/>
        <v>2458142.2636111113</v>
      </c>
      <c r="C74" s="23">
        <f t="shared" si="27"/>
        <v>9.1013341554018741</v>
      </c>
      <c r="D74" s="24">
        <f t="shared" ca="1" si="28"/>
        <v>5.0402108823810396E-2</v>
      </c>
      <c r="E74" s="24">
        <f t="shared" si="26"/>
        <v>1.7260996172537808E-2</v>
      </c>
      <c r="F74" s="25">
        <f t="shared" si="29"/>
        <v>10.944235340899874</v>
      </c>
      <c r="G74" s="7">
        <v>43123.763611111113</v>
      </c>
      <c r="H74" s="11">
        <v>2458142.263611</v>
      </c>
      <c r="I74" s="11">
        <v>-13.1810960614691</v>
      </c>
      <c r="J74" s="11">
        <v>-11.3381948759711</v>
      </c>
      <c r="K74" s="11">
        <v>-13.730905044606599</v>
      </c>
      <c r="L74" s="11">
        <v>-12.614887239022099</v>
      </c>
      <c r="M74" s="11">
        <v>-12.834007488404399</v>
      </c>
      <c r="N74" s="11">
        <v>-12.3849210954508</v>
      </c>
      <c r="O74" s="11"/>
      <c r="P74" s="11"/>
      <c r="Q74" s="11"/>
      <c r="R74" s="11"/>
      <c r="S74" s="11"/>
      <c r="T74" s="12"/>
      <c r="U74" s="12">
        <f t="shared" si="30"/>
        <v>4</v>
      </c>
      <c r="V74" s="28">
        <f t="shared" ca="1" si="31"/>
        <v>5.84</v>
      </c>
      <c r="W74" s="28">
        <f t="shared" si="32"/>
        <v>1.7260996172537808E-2</v>
      </c>
      <c r="X74" s="12">
        <f t="shared" si="33"/>
        <v>9.0758089831374988</v>
      </c>
      <c r="Y74" s="12">
        <f t="shared" si="34"/>
        <v>9.1127911775529995</v>
      </c>
      <c r="Z74" s="12">
        <f t="shared" si="35"/>
        <v>9.1059114269352985</v>
      </c>
      <c r="AA74" s="12">
        <f t="shared" si="36"/>
        <v>9.1108250339816994</v>
      </c>
      <c r="AB74" s="12" t="str">
        <f t="shared" si="37"/>
        <v/>
      </c>
      <c r="AC74" s="12" t="str">
        <f t="shared" si="38"/>
        <v/>
      </c>
      <c r="AD74" s="12" t="str">
        <f t="shared" si="39"/>
        <v/>
      </c>
      <c r="AE74" s="12" t="str">
        <f t="shared" si="40"/>
        <v/>
      </c>
      <c r="AF74" s="12" t="str">
        <f t="shared" si="41"/>
        <v/>
      </c>
      <c r="AG74" s="12"/>
      <c r="AH74" s="12">
        <f t="shared" si="42"/>
        <v>10.918710168635499</v>
      </c>
      <c r="AI74" s="12">
        <f t="shared" si="43"/>
        <v>10.955692363051</v>
      </c>
      <c r="AJ74" s="12">
        <f t="shared" si="44"/>
        <v>10.948812612433299</v>
      </c>
      <c r="AK74" s="12">
        <f t="shared" si="45"/>
        <v>10.9537262194797</v>
      </c>
      <c r="AL74" s="12" t="str">
        <f t="shared" si="46"/>
        <v/>
      </c>
      <c r="AM74" s="12" t="str">
        <f t="shared" si="47"/>
        <v/>
      </c>
      <c r="AN74" s="12" t="str">
        <f t="shared" si="48"/>
        <v/>
      </c>
      <c r="AO74" s="12" t="str">
        <f t="shared" si="49"/>
        <v/>
      </c>
      <c r="AP74" s="12" t="str">
        <f t="shared" si="50"/>
        <v/>
      </c>
    </row>
    <row r="75" spans="1:42">
      <c r="A75" s="9">
        <f t="shared" si="24"/>
        <v>43123.764039351852</v>
      </c>
      <c r="B75" s="22">
        <f t="shared" si="25"/>
        <v>2458142.2640393521</v>
      </c>
      <c r="C75" s="23">
        <f t="shared" si="27"/>
        <v>9.1093525321801252</v>
      </c>
      <c r="D75" s="24">
        <f t="shared" ca="1" si="28"/>
        <v>5.4764786435543292E-2</v>
      </c>
      <c r="E75" s="24">
        <f t="shared" si="26"/>
        <v>1.87550638477888E-2</v>
      </c>
      <c r="F75" s="25">
        <f t="shared" si="29"/>
        <v>10.934941512069424</v>
      </c>
      <c r="G75" s="7">
        <v>43123.764039351852</v>
      </c>
      <c r="H75" s="11">
        <v>2458142.264039</v>
      </c>
      <c r="I75" s="11">
        <v>-13.176758900740399</v>
      </c>
      <c r="J75" s="11">
        <v>-11.351169920851101</v>
      </c>
      <c r="K75" s="11">
        <v>-13.732247794175199</v>
      </c>
      <c r="L75" s="11">
        <v>-12.615380786936599</v>
      </c>
      <c r="M75" s="11">
        <v>-12.845951984788099</v>
      </c>
      <c r="N75" s="11">
        <v>-12.385865165782199</v>
      </c>
      <c r="O75" s="11"/>
      <c r="P75" s="11"/>
      <c r="Q75" s="11"/>
      <c r="R75" s="11"/>
      <c r="S75" s="11"/>
      <c r="T75" s="12"/>
      <c r="U75" s="12">
        <f t="shared" si="30"/>
        <v>4</v>
      </c>
      <c r="V75" s="28">
        <f t="shared" ca="1" si="31"/>
        <v>5.84</v>
      </c>
      <c r="W75" s="28">
        <f t="shared" si="32"/>
        <v>1.87550638477888E-2</v>
      </c>
      <c r="X75" s="12">
        <f t="shared" si="33"/>
        <v>9.0814888934348001</v>
      </c>
      <c r="Y75" s="12">
        <f t="shared" si="34"/>
        <v>9.1176218861962006</v>
      </c>
      <c r="Z75" s="12">
        <f t="shared" si="35"/>
        <v>9.1221930840476997</v>
      </c>
      <c r="AA75" s="12">
        <f t="shared" si="36"/>
        <v>9.1161062650418003</v>
      </c>
      <c r="AB75" s="12" t="str">
        <f t="shared" si="37"/>
        <v/>
      </c>
      <c r="AC75" s="12" t="str">
        <f t="shared" si="38"/>
        <v/>
      </c>
      <c r="AD75" s="12" t="str">
        <f t="shared" si="39"/>
        <v/>
      </c>
      <c r="AE75" s="12" t="str">
        <f t="shared" si="40"/>
        <v/>
      </c>
      <c r="AF75" s="12" t="str">
        <f t="shared" si="41"/>
        <v/>
      </c>
      <c r="AG75" s="12"/>
      <c r="AH75" s="12">
        <f t="shared" si="42"/>
        <v>10.907077873324099</v>
      </c>
      <c r="AI75" s="12">
        <f t="shared" si="43"/>
        <v>10.943210866085499</v>
      </c>
      <c r="AJ75" s="12">
        <f t="shared" si="44"/>
        <v>10.947782063936998</v>
      </c>
      <c r="AK75" s="12">
        <f t="shared" si="45"/>
        <v>10.941695244931099</v>
      </c>
      <c r="AL75" s="12" t="str">
        <f t="shared" si="46"/>
        <v/>
      </c>
      <c r="AM75" s="12" t="str">
        <f t="shared" si="47"/>
        <v/>
      </c>
      <c r="AN75" s="12" t="str">
        <f t="shared" si="48"/>
        <v/>
      </c>
      <c r="AO75" s="12" t="str">
        <f t="shared" si="49"/>
        <v/>
      </c>
      <c r="AP75" s="12" t="str">
        <f t="shared" si="50"/>
        <v/>
      </c>
    </row>
    <row r="76" spans="1:42">
      <c r="A76" s="9">
        <f t="shared" si="24"/>
        <v>43123.764456018522</v>
      </c>
      <c r="B76" s="22">
        <f t="shared" si="25"/>
        <v>2458142.2644560183</v>
      </c>
      <c r="C76" s="23">
        <f t="shared" si="27"/>
        <v>9.1103674523735254</v>
      </c>
      <c r="D76" s="24">
        <f t="shared" ca="1" si="28"/>
        <v>6.3523131881461289E-2</v>
      </c>
      <c r="E76" s="24">
        <f t="shared" si="26"/>
        <v>2.1754497219678523E-2</v>
      </c>
      <c r="F76" s="25">
        <f t="shared" si="29"/>
        <v>10.943178897787124</v>
      </c>
      <c r="G76" s="7">
        <v>43123.764456018522</v>
      </c>
      <c r="H76" s="11">
        <v>2458142.2644560002</v>
      </c>
      <c r="I76" s="11">
        <v>-13.1773796839631</v>
      </c>
      <c r="J76" s="11">
        <v>-11.344568238549501</v>
      </c>
      <c r="K76" s="11">
        <v>-13.732343122166601</v>
      </c>
      <c r="L76" s="11">
        <v>-12.607461708930201</v>
      </c>
      <c r="M76" s="11">
        <v>-12.8436651486836</v>
      </c>
      <c r="N76" s="11">
        <v>-12.402518565566099</v>
      </c>
      <c r="O76" s="11"/>
      <c r="P76" s="11"/>
      <c r="Q76" s="11"/>
      <c r="R76" s="11"/>
      <c r="S76" s="11"/>
      <c r="T76" s="12"/>
      <c r="U76" s="12">
        <f t="shared" si="30"/>
        <v>4</v>
      </c>
      <c r="V76" s="28">
        <f t="shared" ca="1" si="31"/>
        <v>5.84</v>
      </c>
      <c r="W76" s="28">
        <f t="shared" si="32"/>
        <v>2.1754497219678523E-2</v>
      </c>
      <c r="X76" s="12">
        <f t="shared" si="33"/>
        <v>9.0809634382035007</v>
      </c>
      <c r="Y76" s="12">
        <f t="shared" si="34"/>
        <v>9.1090820249671012</v>
      </c>
      <c r="Z76" s="12">
        <f t="shared" si="35"/>
        <v>9.1192854647204999</v>
      </c>
      <c r="AA76" s="12">
        <f t="shared" si="36"/>
        <v>9.1321388816029998</v>
      </c>
      <c r="AB76" s="12" t="str">
        <f t="shared" si="37"/>
        <v/>
      </c>
      <c r="AC76" s="12" t="str">
        <f t="shared" si="38"/>
        <v/>
      </c>
      <c r="AD76" s="12" t="str">
        <f t="shared" si="39"/>
        <v/>
      </c>
      <c r="AE76" s="12" t="str">
        <f t="shared" si="40"/>
        <v/>
      </c>
      <c r="AF76" s="12" t="str">
        <f t="shared" si="41"/>
        <v/>
      </c>
      <c r="AG76" s="12"/>
      <c r="AH76" s="12">
        <f t="shared" si="42"/>
        <v>10.9137748836171</v>
      </c>
      <c r="AI76" s="12">
        <f t="shared" si="43"/>
        <v>10.9418934703807</v>
      </c>
      <c r="AJ76" s="12">
        <f t="shared" si="44"/>
        <v>10.952096910134099</v>
      </c>
      <c r="AK76" s="12">
        <f t="shared" si="45"/>
        <v>10.964950327016599</v>
      </c>
      <c r="AL76" s="12" t="str">
        <f t="shared" si="46"/>
        <v/>
      </c>
      <c r="AM76" s="12" t="str">
        <f t="shared" si="47"/>
        <v/>
      </c>
      <c r="AN76" s="12" t="str">
        <f t="shared" si="48"/>
        <v/>
      </c>
      <c r="AO76" s="12" t="str">
        <f t="shared" si="49"/>
        <v/>
      </c>
      <c r="AP76" s="12" t="str">
        <f t="shared" si="50"/>
        <v/>
      </c>
    </row>
    <row r="77" spans="1:42">
      <c r="A77" s="9">
        <f t="shared" si="24"/>
        <v>43123.764872685184</v>
      </c>
      <c r="B77" s="22">
        <f t="shared" si="25"/>
        <v>2458142.2648726851</v>
      </c>
      <c r="C77" s="23">
        <f t="shared" si="27"/>
        <v>9.1063981562501741</v>
      </c>
      <c r="D77" s="24">
        <f t="shared" ca="1" si="28"/>
        <v>5.5130728120404579E-2</v>
      </c>
      <c r="E77" s="24">
        <f t="shared" si="26"/>
        <v>1.8880386342604309E-2</v>
      </c>
      <c r="F77" s="25">
        <f t="shared" si="29"/>
        <v>10.930098900586573</v>
      </c>
      <c r="G77" s="7">
        <v>43123.764872685184</v>
      </c>
      <c r="H77" s="11">
        <v>2458142.2648729999</v>
      </c>
      <c r="I77" s="11">
        <v>-13.1797691592087</v>
      </c>
      <c r="J77" s="11">
        <v>-11.356068414872301</v>
      </c>
      <c r="K77" s="11">
        <v>-13.737719495184001</v>
      </c>
      <c r="L77" s="11">
        <v>-12.602468144930301</v>
      </c>
      <c r="M77" s="11">
        <v>-12.8373882558154</v>
      </c>
      <c r="N77" s="11">
        <v>-12.402093365905801</v>
      </c>
      <c r="O77" s="11"/>
      <c r="P77" s="11"/>
      <c r="Q77" s="11"/>
      <c r="R77" s="11"/>
      <c r="S77" s="11"/>
      <c r="T77" s="12"/>
      <c r="U77" s="12">
        <f t="shared" si="30"/>
        <v>4</v>
      </c>
      <c r="V77" s="28">
        <f t="shared" ca="1" si="31"/>
        <v>5.84</v>
      </c>
      <c r="W77" s="28">
        <f t="shared" si="32"/>
        <v>1.8880386342604309E-2</v>
      </c>
      <c r="X77" s="12">
        <f t="shared" si="33"/>
        <v>9.0839503359753007</v>
      </c>
      <c r="Y77" s="12">
        <f t="shared" si="34"/>
        <v>9.1016989857216011</v>
      </c>
      <c r="Z77" s="12">
        <f t="shared" si="35"/>
        <v>9.1106190966066993</v>
      </c>
      <c r="AA77" s="12">
        <f t="shared" si="36"/>
        <v>9.1293242066971008</v>
      </c>
      <c r="AB77" s="12" t="str">
        <f t="shared" si="37"/>
        <v/>
      </c>
      <c r="AC77" s="12" t="str">
        <f t="shared" si="38"/>
        <v/>
      </c>
      <c r="AD77" s="12" t="str">
        <f t="shared" si="39"/>
        <v/>
      </c>
      <c r="AE77" s="12" t="str">
        <f t="shared" si="40"/>
        <v/>
      </c>
      <c r="AF77" s="12" t="str">
        <f t="shared" si="41"/>
        <v/>
      </c>
      <c r="AG77" s="12"/>
      <c r="AH77" s="12">
        <f t="shared" si="42"/>
        <v>10.9076510803117</v>
      </c>
      <c r="AI77" s="12">
        <f t="shared" si="43"/>
        <v>10.925399730058</v>
      </c>
      <c r="AJ77" s="12">
        <f t="shared" si="44"/>
        <v>10.934319840943099</v>
      </c>
      <c r="AK77" s="12">
        <f t="shared" si="45"/>
        <v>10.9530249510335</v>
      </c>
      <c r="AL77" s="12" t="str">
        <f t="shared" si="46"/>
        <v/>
      </c>
      <c r="AM77" s="12" t="str">
        <f t="shared" si="47"/>
        <v/>
      </c>
      <c r="AN77" s="12" t="str">
        <f t="shared" si="48"/>
        <v/>
      </c>
      <c r="AO77" s="12" t="str">
        <f t="shared" si="49"/>
        <v/>
      </c>
      <c r="AP77" s="12" t="str">
        <f t="shared" si="50"/>
        <v/>
      </c>
    </row>
    <row r="78" spans="1:42">
      <c r="A78" s="9">
        <f t="shared" si="24"/>
        <v>43123.765300925923</v>
      </c>
      <c r="B78" s="22">
        <f t="shared" si="25"/>
        <v>2458142.2653009258</v>
      </c>
      <c r="C78" s="23">
        <f t="shared" si="27"/>
        <v>9.1072656054661998</v>
      </c>
      <c r="D78" s="24">
        <f t="shared" ca="1" si="28"/>
        <v>5.6448691207197026E-2</v>
      </c>
      <c r="E78" s="24">
        <f t="shared" si="26"/>
        <v>1.9331743564108571E-2</v>
      </c>
      <c r="F78" s="25">
        <f t="shared" si="29"/>
        <v>10.9100860131544</v>
      </c>
      <c r="G78" s="7">
        <v>43123.765300925923</v>
      </c>
      <c r="H78" s="11">
        <v>2458142.2653009999</v>
      </c>
      <c r="I78" s="11">
        <v>-13.1810040166839</v>
      </c>
      <c r="J78" s="11">
        <v>-11.3781836089957</v>
      </c>
      <c r="K78" s="11">
        <v>-13.73973395783</v>
      </c>
      <c r="L78" s="11">
        <v>-12.5995821294505</v>
      </c>
      <c r="M78" s="11">
        <v>-12.8517549133666</v>
      </c>
      <c r="N78" s="11">
        <v>-12.397007487953299</v>
      </c>
      <c r="O78" s="11"/>
      <c r="P78" s="11"/>
      <c r="Q78" s="11"/>
      <c r="R78" s="11"/>
      <c r="S78" s="11"/>
      <c r="T78" s="12"/>
      <c r="U78" s="12">
        <f t="shared" si="30"/>
        <v>4</v>
      </c>
      <c r="V78" s="28">
        <f t="shared" ca="1" si="31"/>
        <v>5.84</v>
      </c>
      <c r="W78" s="28">
        <f t="shared" si="32"/>
        <v>1.9331743564108571E-2</v>
      </c>
      <c r="X78" s="12">
        <f t="shared" si="33"/>
        <v>9.0847299411460991</v>
      </c>
      <c r="Y78" s="12">
        <f t="shared" si="34"/>
        <v>9.0975781127666</v>
      </c>
      <c r="Z78" s="12">
        <f t="shared" si="35"/>
        <v>9.123750896682699</v>
      </c>
      <c r="AA78" s="12">
        <f t="shared" si="36"/>
        <v>9.1230034712693993</v>
      </c>
      <c r="AB78" s="12" t="str">
        <f t="shared" si="37"/>
        <v/>
      </c>
      <c r="AC78" s="12" t="str">
        <f t="shared" si="38"/>
        <v/>
      </c>
      <c r="AD78" s="12" t="str">
        <f t="shared" si="39"/>
        <v/>
      </c>
      <c r="AE78" s="12" t="str">
        <f t="shared" si="40"/>
        <v/>
      </c>
      <c r="AF78" s="12" t="str">
        <f t="shared" si="41"/>
        <v/>
      </c>
      <c r="AG78" s="12"/>
      <c r="AH78" s="12">
        <f t="shared" si="42"/>
        <v>10.887550348834299</v>
      </c>
      <c r="AI78" s="12">
        <f t="shared" si="43"/>
        <v>10.9003985204548</v>
      </c>
      <c r="AJ78" s="12">
        <f t="shared" si="44"/>
        <v>10.926571304370899</v>
      </c>
      <c r="AK78" s="12">
        <f t="shared" si="45"/>
        <v>10.925823878957599</v>
      </c>
      <c r="AL78" s="12" t="str">
        <f t="shared" si="46"/>
        <v/>
      </c>
      <c r="AM78" s="12" t="str">
        <f t="shared" si="47"/>
        <v/>
      </c>
      <c r="AN78" s="12" t="str">
        <f t="shared" si="48"/>
        <v/>
      </c>
      <c r="AO78" s="12" t="str">
        <f t="shared" si="49"/>
        <v/>
      </c>
      <c r="AP78" s="12" t="str">
        <f t="shared" si="50"/>
        <v/>
      </c>
    </row>
    <row r="79" spans="1:42">
      <c r="A79" s="9">
        <f t="shared" si="24"/>
        <v>43123.765717592592</v>
      </c>
      <c r="B79" s="22">
        <f t="shared" si="25"/>
        <v>2458142.2657175926</v>
      </c>
      <c r="C79" s="23">
        <f t="shared" si="27"/>
        <v>9.1167174626641252</v>
      </c>
      <c r="D79" s="24">
        <f t="shared" ca="1" si="28"/>
        <v>5.2940249463435798E-2</v>
      </c>
      <c r="E79" s="24">
        <f t="shared" si="26"/>
        <v>1.8130222418984862E-2</v>
      </c>
      <c r="F79" s="25">
        <f t="shared" si="29"/>
        <v>10.902780138291725</v>
      </c>
      <c r="G79" s="7">
        <v>43123.765717592592</v>
      </c>
      <c r="H79" s="11">
        <v>2458142.265718</v>
      </c>
      <c r="I79" s="11">
        <v>-13.1819601441061</v>
      </c>
      <c r="J79" s="11">
        <v>-11.3958974684785</v>
      </c>
      <c r="K79" s="11">
        <v>-13.7455162322224</v>
      </c>
      <c r="L79" s="11">
        <v>-12.6280716539059</v>
      </c>
      <c r="M79" s="11">
        <v>-12.8541103995216</v>
      </c>
      <c r="N79" s="11">
        <v>-12.402012141430999</v>
      </c>
      <c r="O79" s="11"/>
      <c r="P79" s="11"/>
      <c r="Q79" s="11"/>
      <c r="R79" s="11"/>
      <c r="S79" s="11"/>
      <c r="T79" s="12"/>
      <c r="U79" s="12">
        <f t="shared" si="30"/>
        <v>4</v>
      </c>
      <c r="V79" s="28">
        <f t="shared" ca="1" si="31"/>
        <v>5.84</v>
      </c>
      <c r="W79" s="28">
        <f t="shared" si="32"/>
        <v>1.8130222418984862E-2</v>
      </c>
      <c r="X79" s="12">
        <f t="shared" si="33"/>
        <v>9.0895560881163</v>
      </c>
      <c r="Y79" s="12">
        <f t="shared" si="34"/>
        <v>9.125111509799801</v>
      </c>
      <c r="Z79" s="12">
        <f t="shared" si="35"/>
        <v>9.1251502554155</v>
      </c>
      <c r="AA79" s="12">
        <f t="shared" si="36"/>
        <v>9.1270519973248998</v>
      </c>
      <c r="AB79" s="12" t="str">
        <f t="shared" si="37"/>
        <v/>
      </c>
      <c r="AC79" s="12" t="str">
        <f t="shared" si="38"/>
        <v/>
      </c>
      <c r="AD79" s="12" t="str">
        <f t="shared" si="39"/>
        <v/>
      </c>
      <c r="AE79" s="12" t="str">
        <f t="shared" si="40"/>
        <v/>
      </c>
      <c r="AF79" s="12" t="str">
        <f t="shared" si="41"/>
        <v/>
      </c>
      <c r="AG79" s="12"/>
      <c r="AH79" s="12">
        <f t="shared" si="42"/>
        <v>10.875618763743899</v>
      </c>
      <c r="AI79" s="12">
        <f t="shared" si="43"/>
        <v>10.9111741854274</v>
      </c>
      <c r="AJ79" s="12">
        <f t="shared" si="44"/>
        <v>10.911212931043099</v>
      </c>
      <c r="AK79" s="12">
        <f t="shared" si="45"/>
        <v>10.913114672952499</v>
      </c>
      <c r="AL79" s="12" t="str">
        <f t="shared" si="46"/>
        <v/>
      </c>
      <c r="AM79" s="12" t="str">
        <f t="shared" si="47"/>
        <v/>
      </c>
      <c r="AN79" s="12" t="str">
        <f t="shared" si="48"/>
        <v/>
      </c>
      <c r="AO79" s="12" t="str">
        <f t="shared" si="49"/>
        <v/>
      </c>
      <c r="AP79" s="12" t="str">
        <f t="shared" si="50"/>
        <v/>
      </c>
    </row>
    <row r="80" spans="1:42">
      <c r="A80" s="9">
        <f t="shared" si="24"/>
        <v>43123.766134259262</v>
      </c>
      <c r="B80" s="22">
        <f t="shared" si="25"/>
        <v>2458142.2661342593</v>
      </c>
      <c r="C80" s="23">
        <f t="shared" si="27"/>
        <v>9.1166168053113754</v>
      </c>
      <c r="D80" s="24">
        <f t="shared" ca="1" si="28"/>
        <v>5.6588996992969938E-2</v>
      </c>
      <c r="E80" s="24">
        <f t="shared" si="26"/>
        <v>1.9379793490743129E-2</v>
      </c>
      <c r="F80" s="25">
        <f t="shared" si="29"/>
        <v>10.928309167867875</v>
      </c>
      <c r="G80" s="7">
        <v>43123.766134259262</v>
      </c>
      <c r="H80" s="11">
        <v>2458142.2661339999</v>
      </c>
      <c r="I80" s="11">
        <v>-13.171000637915199</v>
      </c>
      <c r="J80" s="11">
        <v>-11.3593082753587</v>
      </c>
      <c r="K80" s="11">
        <v>-13.732739768762301</v>
      </c>
      <c r="L80" s="11">
        <v>-12.6160400940977</v>
      </c>
      <c r="M80" s="11">
        <v>-12.847288449314499</v>
      </c>
      <c r="N80" s="11">
        <v>-12.389401460731801</v>
      </c>
      <c r="O80" s="11"/>
      <c r="P80" s="11"/>
      <c r="Q80" s="11"/>
      <c r="R80" s="11"/>
      <c r="S80" s="11"/>
      <c r="T80" s="12"/>
      <c r="U80" s="12">
        <f t="shared" si="30"/>
        <v>4</v>
      </c>
      <c r="V80" s="28">
        <f t="shared" ca="1" si="31"/>
        <v>5.84</v>
      </c>
      <c r="W80" s="28">
        <f t="shared" si="32"/>
        <v>1.9379793490743129E-2</v>
      </c>
      <c r="X80" s="12">
        <f t="shared" si="33"/>
        <v>9.0877391308471012</v>
      </c>
      <c r="Y80" s="12">
        <f t="shared" si="34"/>
        <v>9.1240394561825013</v>
      </c>
      <c r="Z80" s="12">
        <f t="shared" si="35"/>
        <v>9.1292878113992995</v>
      </c>
      <c r="AA80" s="12">
        <f t="shared" si="36"/>
        <v>9.1254008228166015</v>
      </c>
      <c r="AB80" s="12" t="str">
        <f t="shared" si="37"/>
        <v/>
      </c>
      <c r="AC80" s="12" t="str">
        <f t="shared" si="38"/>
        <v/>
      </c>
      <c r="AD80" s="12" t="str">
        <f t="shared" si="39"/>
        <v/>
      </c>
      <c r="AE80" s="12" t="str">
        <f t="shared" si="40"/>
        <v/>
      </c>
      <c r="AF80" s="12" t="str">
        <f t="shared" si="41"/>
        <v/>
      </c>
      <c r="AG80" s="12"/>
      <c r="AH80" s="12">
        <f t="shared" si="42"/>
        <v>10.899431493403601</v>
      </c>
      <c r="AI80" s="12">
        <f t="shared" si="43"/>
        <v>10.935731818739001</v>
      </c>
      <c r="AJ80" s="12">
        <f t="shared" si="44"/>
        <v>10.940980173955799</v>
      </c>
      <c r="AK80" s="12">
        <f t="shared" si="45"/>
        <v>10.937093185373101</v>
      </c>
      <c r="AL80" s="12" t="str">
        <f t="shared" si="46"/>
        <v/>
      </c>
      <c r="AM80" s="12" t="str">
        <f t="shared" si="47"/>
        <v/>
      </c>
      <c r="AN80" s="12" t="str">
        <f t="shared" si="48"/>
        <v/>
      </c>
      <c r="AO80" s="12" t="str">
        <f t="shared" si="49"/>
        <v/>
      </c>
      <c r="AP80" s="12" t="str">
        <f t="shared" si="50"/>
        <v/>
      </c>
    </row>
    <row r="81" spans="1:42">
      <c r="A81" s="9">
        <f t="shared" si="24"/>
        <v>43123.766550925924</v>
      </c>
      <c r="B81" s="22">
        <f t="shared" si="25"/>
        <v>2458142.266550926</v>
      </c>
      <c r="C81" s="23">
        <f t="shared" si="27"/>
        <v>9.119693280843375</v>
      </c>
      <c r="D81" s="24">
        <f t="shared" ca="1" si="28"/>
        <v>7.4892798734278593E-2</v>
      </c>
      <c r="E81" s="24">
        <f t="shared" si="26"/>
        <v>2.5648218744615956E-2</v>
      </c>
      <c r="F81" s="25">
        <f t="shared" si="29"/>
        <v>10.912686702245676</v>
      </c>
      <c r="G81" s="7">
        <v>43123.766550925924</v>
      </c>
      <c r="H81" s="11">
        <v>2458142.2665510001</v>
      </c>
      <c r="I81" s="11">
        <v>-13.172699941802099</v>
      </c>
      <c r="J81" s="11">
        <v>-11.3797065203998</v>
      </c>
      <c r="K81" s="11">
        <v>-13.730688784499</v>
      </c>
      <c r="L81" s="11">
        <v>-12.617268024161801</v>
      </c>
      <c r="M81" s="11">
        <v>-12.845897687615301</v>
      </c>
      <c r="N81" s="11">
        <v>-12.4107183943058</v>
      </c>
      <c r="O81" s="11"/>
      <c r="P81" s="11"/>
      <c r="Q81" s="11"/>
      <c r="R81" s="11"/>
      <c r="S81" s="11"/>
      <c r="T81" s="12"/>
      <c r="U81" s="12">
        <f t="shared" si="30"/>
        <v>4</v>
      </c>
      <c r="V81" s="28">
        <f t="shared" ca="1" si="31"/>
        <v>5.84</v>
      </c>
      <c r="W81" s="28">
        <f t="shared" si="32"/>
        <v>2.5648218744615956E-2</v>
      </c>
      <c r="X81" s="12">
        <f t="shared" si="33"/>
        <v>9.0839888426969004</v>
      </c>
      <c r="Y81" s="12">
        <f t="shared" si="34"/>
        <v>9.1235680823597018</v>
      </c>
      <c r="Z81" s="12">
        <f t="shared" si="35"/>
        <v>9.1261977458132009</v>
      </c>
      <c r="AA81" s="12">
        <f t="shared" si="36"/>
        <v>9.1450184525037006</v>
      </c>
      <c r="AB81" s="12" t="str">
        <f t="shared" si="37"/>
        <v/>
      </c>
      <c r="AC81" s="12" t="str">
        <f t="shared" si="38"/>
        <v/>
      </c>
      <c r="AD81" s="12" t="str">
        <f t="shared" si="39"/>
        <v/>
      </c>
      <c r="AE81" s="12" t="str">
        <f t="shared" si="40"/>
        <v/>
      </c>
      <c r="AF81" s="12" t="str">
        <f t="shared" si="41"/>
        <v/>
      </c>
      <c r="AG81" s="12"/>
      <c r="AH81" s="12">
        <f t="shared" si="42"/>
        <v>10.876982264099199</v>
      </c>
      <c r="AI81" s="12">
        <f t="shared" si="43"/>
        <v>10.916561503762001</v>
      </c>
      <c r="AJ81" s="12">
        <f t="shared" si="44"/>
        <v>10.9191911672155</v>
      </c>
      <c r="AK81" s="12">
        <f t="shared" si="45"/>
        <v>10.938011873905999</v>
      </c>
      <c r="AL81" s="12" t="str">
        <f t="shared" si="46"/>
        <v/>
      </c>
      <c r="AM81" s="12" t="str">
        <f t="shared" si="47"/>
        <v/>
      </c>
      <c r="AN81" s="12" t="str">
        <f t="shared" si="48"/>
        <v/>
      </c>
      <c r="AO81" s="12" t="str">
        <f t="shared" si="49"/>
        <v/>
      </c>
      <c r="AP81" s="12" t="str">
        <f t="shared" si="50"/>
        <v/>
      </c>
    </row>
    <row r="82" spans="1:42">
      <c r="A82" s="9">
        <f t="shared" si="24"/>
        <v>43123.766979166663</v>
      </c>
      <c r="B82" s="22">
        <f t="shared" si="25"/>
        <v>2458142.2669791668</v>
      </c>
      <c r="C82" s="23">
        <f t="shared" si="27"/>
        <v>9.1359470561835252</v>
      </c>
      <c r="D82" s="24">
        <f t="shared" ca="1" si="28"/>
        <v>4.3122323050224676E-2</v>
      </c>
      <c r="E82" s="24">
        <f t="shared" si="26"/>
        <v>1.4767918852816671E-2</v>
      </c>
      <c r="F82" s="25">
        <f t="shared" si="29"/>
        <v>10.908643908154025</v>
      </c>
      <c r="G82" s="7">
        <v>43123.766979166663</v>
      </c>
      <c r="H82" s="11">
        <v>2458142.2669790001</v>
      </c>
      <c r="I82" s="11">
        <v>-13.155301466153499</v>
      </c>
      <c r="J82" s="11">
        <v>-11.382604614183</v>
      </c>
      <c r="K82" s="11">
        <v>-13.7435642832861</v>
      </c>
      <c r="L82" s="11">
        <v>-12.623679927261</v>
      </c>
      <c r="M82" s="11">
        <v>-12.844019429958699</v>
      </c>
      <c r="N82" s="11">
        <v>-12.388730448842299</v>
      </c>
      <c r="O82" s="11"/>
      <c r="P82" s="11"/>
      <c r="Q82" s="11"/>
      <c r="R82" s="11"/>
      <c r="S82" s="11"/>
      <c r="T82" s="12"/>
      <c r="U82" s="12">
        <f t="shared" si="30"/>
        <v>4</v>
      </c>
      <c r="V82" s="28">
        <f t="shared" ca="1" si="31"/>
        <v>5.84</v>
      </c>
      <c r="W82" s="28">
        <f t="shared" si="32"/>
        <v>1.4767918852816671E-2</v>
      </c>
      <c r="X82" s="12">
        <f t="shared" si="33"/>
        <v>9.1142628171325999</v>
      </c>
      <c r="Y82" s="12">
        <f t="shared" si="34"/>
        <v>9.1473784611075004</v>
      </c>
      <c r="Z82" s="12">
        <f t="shared" si="35"/>
        <v>9.1417179638051991</v>
      </c>
      <c r="AA82" s="12">
        <f t="shared" si="36"/>
        <v>9.1404289826887997</v>
      </c>
      <c r="AB82" s="12" t="str">
        <f t="shared" si="37"/>
        <v/>
      </c>
      <c r="AC82" s="12" t="str">
        <f t="shared" si="38"/>
        <v/>
      </c>
      <c r="AD82" s="12" t="str">
        <f t="shared" si="39"/>
        <v/>
      </c>
      <c r="AE82" s="12" t="str">
        <f t="shared" si="40"/>
        <v/>
      </c>
      <c r="AF82" s="12" t="str">
        <f t="shared" si="41"/>
        <v/>
      </c>
      <c r="AG82" s="12"/>
      <c r="AH82" s="12">
        <f t="shared" si="42"/>
        <v>10.886959669103099</v>
      </c>
      <c r="AI82" s="12">
        <f t="shared" si="43"/>
        <v>10.920075313078</v>
      </c>
      <c r="AJ82" s="12">
        <f t="shared" si="44"/>
        <v>10.914414815775698</v>
      </c>
      <c r="AK82" s="12">
        <f t="shared" si="45"/>
        <v>10.913125834659299</v>
      </c>
      <c r="AL82" s="12" t="str">
        <f t="shared" si="46"/>
        <v/>
      </c>
      <c r="AM82" s="12" t="str">
        <f t="shared" si="47"/>
        <v/>
      </c>
      <c r="AN82" s="12" t="str">
        <f t="shared" si="48"/>
        <v/>
      </c>
      <c r="AO82" s="12" t="str">
        <f t="shared" si="49"/>
        <v/>
      </c>
      <c r="AP82" s="12" t="str">
        <f t="shared" si="50"/>
        <v/>
      </c>
    </row>
    <row r="83" spans="1:42">
      <c r="A83" s="9">
        <f t="shared" si="24"/>
        <v>43123.767395833333</v>
      </c>
      <c r="B83" s="22">
        <f t="shared" si="25"/>
        <v>2458142.2673958335</v>
      </c>
      <c r="C83" s="23">
        <f t="shared" si="27"/>
        <v>9.1417127153134246</v>
      </c>
      <c r="D83" s="24">
        <f t="shared" ca="1" si="28"/>
        <v>4.6462774033144694E-2</v>
      </c>
      <c r="E83" s="24">
        <f t="shared" si="26"/>
        <v>1.5911908915460512E-2</v>
      </c>
      <c r="F83" s="25">
        <f t="shared" si="29"/>
        <v>10.915136729155925</v>
      </c>
      <c r="G83" s="7">
        <v>43123.767395833333</v>
      </c>
      <c r="H83" s="11">
        <v>2458142.2673960002</v>
      </c>
      <c r="I83" s="11">
        <v>-13.1505895117497</v>
      </c>
      <c r="J83" s="11">
        <v>-11.3771654979072</v>
      </c>
      <c r="K83" s="11">
        <v>-13.744549173243501</v>
      </c>
      <c r="L83" s="11">
        <v>-12.611324978736301</v>
      </c>
      <c r="M83" s="11">
        <v>-12.850497283144801</v>
      </c>
      <c r="N83" s="11">
        <v>-12.3978374731279</v>
      </c>
      <c r="O83" s="11"/>
      <c r="P83" s="11"/>
      <c r="Q83" s="11"/>
      <c r="R83" s="11"/>
      <c r="S83" s="11"/>
      <c r="T83" s="12"/>
      <c r="U83" s="12">
        <f t="shared" si="30"/>
        <v>4</v>
      </c>
      <c r="V83" s="28">
        <f t="shared" ca="1" si="31"/>
        <v>5.84</v>
      </c>
      <c r="W83" s="28">
        <f t="shared" si="32"/>
        <v>1.5911908915460512E-2</v>
      </c>
      <c r="X83" s="12">
        <f t="shared" si="33"/>
        <v>9.1199596614937999</v>
      </c>
      <c r="Y83" s="12">
        <f t="shared" si="34"/>
        <v>9.1397354669866004</v>
      </c>
      <c r="Z83" s="12">
        <f t="shared" si="35"/>
        <v>9.1529077713950997</v>
      </c>
      <c r="AA83" s="12">
        <f t="shared" si="36"/>
        <v>9.1542479613782</v>
      </c>
      <c r="AB83" s="12" t="str">
        <f t="shared" si="37"/>
        <v/>
      </c>
      <c r="AC83" s="12" t="str">
        <f t="shared" si="38"/>
        <v/>
      </c>
      <c r="AD83" s="12" t="str">
        <f t="shared" si="39"/>
        <v/>
      </c>
      <c r="AE83" s="12" t="str">
        <f t="shared" si="40"/>
        <v/>
      </c>
      <c r="AF83" s="12" t="str">
        <f t="shared" si="41"/>
        <v/>
      </c>
      <c r="AG83" s="12"/>
      <c r="AH83" s="12">
        <f t="shared" si="42"/>
        <v>10.893383675336301</v>
      </c>
      <c r="AI83" s="12">
        <f t="shared" si="43"/>
        <v>10.913159480829101</v>
      </c>
      <c r="AJ83" s="12">
        <f t="shared" si="44"/>
        <v>10.926331785237601</v>
      </c>
      <c r="AK83" s="12">
        <f t="shared" si="45"/>
        <v>10.927671975220701</v>
      </c>
      <c r="AL83" s="12" t="str">
        <f t="shared" si="46"/>
        <v/>
      </c>
      <c r="AM83" s="12" t="str">
        <f t="shared" si="47"/>
        <v/>
      </c>
      <c r="AN83" s="12" t="str">
        <f t="shared" si="48"/>
        <v/>
      </c>
      <c r="AO83" s="12" t="str">
        <f t="shared" si="49"/>
        <v/>
      </c>
      <c r="AP83" s="12" t="str">
        <f t="shared" si="50"/>
        <v/>
      </c>
    </row>
    <row r="84" spans="1:42">
      <c r="A84" s="9">
        <f t="shared" si="24"/>
        <v>43123.767812500002</v>
      </c>
      <c r="B84" s="22">
        <f t="shared" si="25"/>
        <v>2458142.2678124998</v>
      </c>
      <c r="C84" s="23">
        <f t="shared" si="27"/>
        <v>9.1294222766932247</v>
      </c>
      <c r="D84" s="24">
        <f t="shared" ca="1" si="28"/>
        <v>3.5889563313207168E-2</v>
      </c>
      <c r="E84" s="24">
        <f t="shared" si="26"/>
        <v>1.2290946340139441E-2</v>
      </c>
      <c r="F84" s="25">
        <f t="shared" si="29"/>
        <v>10.938035719375224</v>
      </c>
      <c r="G84" s="7">
        <v>43123.767812500002</v>
      </c>
      <c r="H84" s="11">
        <v>2458142.2678120001</v>
      </c>
      <c r="I84" s="11">
        <v>-13.170892865351099</v>
      </c>
      <c r="J84" s="11">
        <v>-11.362279422669101</v>
      </c>
      <c r="K84" s="11">
        <v>-13.757074216741</v>
      </c>
      <c r="L84" s="11">
        <v>-12.6215617652592</v>
      </c>
      <c r="M84" s="11">
        <v>-12.8534155655543</v>
      </c>
      <c r="N84" s="11">
        <v>-12.404209020622799</v>
      </c>
      <c r="O84" s="11"/>
      <c r="P84" s="11"/>
      <c r="Q84" s="11"/>
      <c r="R84" s="11"/>
      <c r="S84" s="11"/>
      <c r="T84" s="12"/>
      <c r="U84" s="12">
        <f t="shared" si="30"/>
        <v>4</v>
      </c>
      <c r="V84" s="28">
        <f t="shared" ca="1" si="31"/>
        <v>5.84</v>
      </c>
      <c r="W84" s="28">
        <f t="shared" si="32"/>
        <v>1.2290946340139441E-2</v>
      </c>
      <c r="X84" s="12">
        <f t="shared" si="33"/>
        <v>9.1121813513898999</v>
      </c>
      <c r="Y84" s="12">
        <f t="shared" si="34"/>
        <v>9.1296688999081006</v>
      </c>
      <c r="Z84" s="12">
        <f t="shared" si="35"/>
        <v>9.1355227002032002</v>
      </c>
      <c r="AA84" s="12">
        <f t="shared" si="36"/>
        <v>9.1403161552716998</v>
      </c>
      <c r="AB84" s="12" t="str">
        <f t="shared" si="37"/>
        <v/>
      </c>
      <c r="AC84" s="12" t="str">
        <f t="shared" si="38"/>
        <v/>
      </c>
      <c r="AD84" s="12" t="str">
        <f t="shared" si="39"/>
        <v/>
      </c>
      <c r="AE84" s="12" t="str">
        <f t="shared" si="40"/>
        <v/>
      </c>
      <c r="AF84" s="12" t="str">
        <f t="shared" si="41"/>
        <v/>
      </c>
      <c r="AG84" s="12"/>
      <c r="AH84" s="12">
        <f t="shared" si="42"/>
        <v>10.920794794071899</v>
      </c>
      <c r="AI84" s="12">
        <f t="shared" si="43"/>
        <v>10.938282342590099</v>
      </c>
      <c r="AJ84" s="12">
        <f t="shared" si="44"/>
        <v>10.944136142885199</v>
      </c>
      <c r="AK84" s="12">
        <f t="shared" si="45"/>
        <v>10.948929597953699</v>
      </c>
      <c r="AL84" s="12" t="str">
        <f t="shared" si="46"/>
        <v/>
      </c>
      <c r="AM84" s="12" t="str">
        <f t="shared" si="47"/>
        <v/>
      </c>
      <c r="AN84" s="12" t="str">
        <f t="shared" si="48"/>
        <v/>
      </c>
      <c r="AO84" s="12" t="str">
        <f t="shared" si="49"/>
        <v/>
      </c>
      <c r="AP84" s="12" t="str">
        <f t="shared" si="50"/>
        <v/>
      </c>
    </row>
    <row r="85" spans="1:42">
      <c r="A85" s="9">
        <f t="shared" si="24"/>
        <v>43123.768229166664</v>
      </c>
      <c r="B85" s="22">
        <f t="shared" si="25"/>
        <v>2458142.2682291665</v>
      </c>
      <c r="C85" s="23">
        <f t="shared" si="27"/>
        <v>9.1444200923026493</v>
      </c>
      <c r="D85" s="24">
        <f t="shared" ca="1" si="28"/>
        <v>5.7568373891830726E-2</v>
      </c>
      <c r="E85" s="24">
        <f t="shared" si="26"/>
        <v>1.9715196538298195E-2</v>
      </c>
      <c r="F85" s="25">
        <f t="shared" si="29"/>
        <v>10.907761647094748</v>
      </c>
      <c r="G85" s="7">
        <v>43123.768229166664</v>
      </c>
      <c r="H85" s="11">
        <v>2458142.2682289998</v>
      </c>
      <c r="I85" s="11">
        <v>-13.151602027781699</v>
      </c>
      <c r="J85" s="11">
        <v>-11.3882604729896</v>
      </c>
      <c r="K85" s="11">
        <v>-13.7423206913397</v>
      </c>
      <c r="L85" s="11">
        <v>-12.616916429586</v>
      </c>
      <c r="M85" s="11">
        <v>-12.854469192543499</v>
      </c>
      <c r="N85" s="11">
        <v>-12.4053821668682</v>
      </c>
      <c r="O85" s="11"/>
      <c r="P85" s="11"/>
      <c r="Q85" s="11"/>
      <c r="R85" s="11"/>
      <c r="S85" s="11"/>
      <c r="T85" s="12"/>
      <c r="U85" s="12">
        <f t="shared" si="30"/>
        <v>4</v>
      </c>
      <c r="V85" s="28">
        <f t="shared" ca="1" si="31"/>
        <v>5.84</v>
      </c>
      <c r="W85" s="28">
        <f t="shared" si="32"/>
        <v>1.9715196538298195E-2</v>
      </c>
      <c r="X85" s="12">
        <f t="shared" si="33"/>
        <v>9.1167186635580002</v>
      </c>
      <c r="Y85" s="12">
        <f t="shared" si="34"/>
        <v>9.1443144018043014</v>
      </c>
      <c r="Z85" s="12">
        <f t="shared" si="35"/>
        <v>9.1558671647617995</v>
      </c>
      <c r="AA85" s="12">
        <f t="shared" si="36"/>
        <v>9.1607801390865014</v>
      </c>
      <c r="AB85" s="12" t="str">
        <f t="shared" si="37"/>
        <v/>
      </c>
      <c r="AC85" s="12" t="str">
        <f t="shared" si="38"/>
        <v/>
      </c>
      <c r="AD85" s="12" t="str">
        <f t="shared" si="39"/>
        <v/>
      </c>
      <c r="AE85" s="12" t="str">
        <f t="shared" si="40"/>
        <v/>
      </c>
      <c r="AF85" s="12" t="str">
        <f t="shared" si="41"/>
        <v/>
      </c>
      <c r="AG85" s="12"/>
      <c r="AH85" s="12">
        <f t="shared" si="42"/>
        <v>10.880060218350099</v>
      </c>
      <c r="AI85" s="12">
        <f t="shared" si="43"/>
        <v>10.9076559565964</v>
      </c>
      <c r="AJ85" s="12">
        <f t="shared" si="44"/>
        <v>10.919208719553898</v>
      </c>
      <c r="AK85" s="12">
        <f t="shared" si="45"/>
        <v>10.9241216938786</v>
      </c>
      <c r="AL85" s="12" t="str">
        <f t="shared" si="46"/>
        <v/>
      </c>
      <c r="AM85" s="12" t="str">
        <f t="shared" si="47"/>
        <v/>
      </c>
      <c r="AN85" s="12" t="str">
        <f t="shared" si="48"/>
        <v/>
      </c>
      <c r="AO85" s="12" t="str">
        <f t="shared" si="49"/>
        <v/>
      </c>
      <c r="AP85" s="12" t="str">
        <f t="shared" si="50"/>
        <v/>
      </c>
    </row>
    <row r="86" spans="1:42">
      <c r="A86" s="9">
        <f t="shared" si="24"/>
        <v>43123.768645833334</v>
      </c>
      <c r="B86" s="22">
        <f t="shared" si="25"/>
        <v>2458142.2686458332</v>
      </c>
      <c r="C86" s="23">
        <f t="shared" si="27"/>
        <v>9.1439414178318508</v>
      </c>
      <c r="D86" s="24">
        <f t="shared" ca="1" si="28"/>
        <v>4.3800327891422124E-2</v>
      </c>
      <c r="E86" s="24">
        <f t="shared" si="26"/>
        <v>1.5000112291582919E-2</v>
      </c>
      <c r="F86" s="25">
        <f t="shared" si="29"/>
        <v>10.89195849541075</v>
      </c>
      <c r="G86" s="7">
        <v>43123.768645833334</v>
      </c>
      <c r="H86" s="11">
        <v>2458142.268646</v>
      </c>
      <c r="I86" s="11">
        <v>-13.159698688970099</v>
      </c>
      <c r="J86" s="11">
        <v>-11.411681611391201</v>
      </c>
      <c r="K86" s="11">
        <v>-13.7552902095959</v>
      </c>
      <c r="L86" s="11">
        <v>-12.629642763092299</v>
      </c>
      <c r="M86" s="11">
        <v>-12.859280204832499</v>
      </c>
      <c r="N86" s="11">
        <v>-12.4053472496871</v>
      </c>
      <c r="O86" s="11"/>
      <c r="P86" s="11"/>
      <c r="Q86" s="11"/>
      <c r="R86" s="11"/>
      <c r="S86" s="11"/>
      <c r="T86" s="12"/>
      <c r="U86" s="12">
        <f t="shared" si="30"/>
        <v>4</v>
      </c>
      <c r="V86" s="28">
        <f t="shared" ca="1" si="31"/>
        <v>5.84</v>
      </c>
      <c r="W86" s="28">
        <f t="shared" si="32"/>
        <v>1.5000112291582919E-2</v>
      </c>
      <c r="X86" s="12">
        <f t="shared" si="33"/>
        <v>9.1215915206258007</v>
      </c>
      <c r="Y86" s="12">
        <f t="shared" si="34"/>
        <v>9.1489440741222001</v>
      </c>
      <c r="Z86" s="12">
        <f t="shared" si="35"/>
        <v>9.1525815158623995</v>
      </c>
      <c r="AA86" s="12">
        <f t="shared" si="36"/>
        <v>9.1526485607170009</v>
      </c>
      <c r="AB86" s="12" t="str">
        <f t="shared" si="37"/>
        <v/>
      </c>
      <c r="AC86" s="12" t="str">
        <f t="shared" si="38"/>
        <v/>
      </c>
      <c r="AD86" s="12" t="str">
        <f t="shared" si="39"/>
        <v/>
      </c>
      <c r="AE86" s="12" t="str">
        <f t="shared" si="40"/>
        <v/>
      </c>
      <c r="AF86" s="12" t="str">
        <f t="shared" si="41"/>
        <v/>
      </c>
      <c r="AG86" s="12"/>
      <c r="AH86" s="12">
        <f t="shared" si="42"/>
        <v>10.869608598204699</v>
      </c>
      <c r="AI86" s="12">
        <f t="shared" si="43"/>
        <v>10.896961151701099</v>
      </c>
      <c r="AJ86" s="12">
        <f t="shared" si="44"/>
        <v>10.900598593441298</v>
      </c>
      <c r="AK86" s="12">
        <f t="shared" si="45"/>
        <v>10.9006656382959</v>
      </c>
      <c r="AL86" s="12" t="str">
        <f t="shared" si="46"/>
        <v/>
      </c>
      <c r="AM86" s="12" t="str">
        <f t="shared" si="47"/>
        <v/>
      </c>
      <c r="AN86" s="12" t="str">
        <f t="shared" si="48"/>
        <v/>
      </c>
      <c r="AO86" s="12" t="str">
        <f t="shared" si="49"/>
        <v/>
      </c>
      <c r="AP86" s="12" t="str">
        <f t="shared" si="50"/>
        <v/>
      </c>
    </row>
    <row r="87" spans="1:42">
      <c r="A87" s="9">
        <f t="shared" si="24"/>
        <v>43123.769074074073</v>
      </c>
      <c r="B87" s="22">
        <f t="shared" si="25"/>
        <v>2458142.269074074</v>
      </c>
      <c r="C87" s="23">
        <f t="shared" si="27"/>
        <v>9.1549089676721245</v>
      </c>
      <c r="D87" s="24">
        <f t="shared" ca="1" si="28"/>
        <v>5.6152260207903246E-2</v>
      </c>
      <c r="E87" s="24">
        <f t="shared" si="26"/>
        <v>1.9230226098597002E-2</v>
      </c>
      <c r="F87" s="25">
        <f t="shared" si="29"/>
        <v>10.911606329716825</v>
      </c>
      <c r="G87" s="7">
        <v>43123.769074074073</v>
      </c>
      <c r="H87" s="11">
        <v>2458142.269074</v>
      </c>
      <c r="I87" s="11">
        <v>-13.145814903213299</v>
      </c>
      <c r="J87" s="11">
        <v>-11.3891175411686</v>
      </c>
      <c r="K87" s="11">
        <v>-13.7469300230785</v>
      </c>
      <c r="L87" s="11">
        <v>-12.623968667377</v>
      </c>
      <c r="M87" s="11">
        <v>-12.8621553046047</v>
      </c>
      <c r="N87" s="11">
        <v>-12.4048414884815</v>
      </c>
      <c r="O87" s="11"/>
      <c r="P87" s="11"/>
      <c r="Q87" s="11"/>
      <c r="R87" s="11"/>
      <c r="S87" s="11"/>
      <c r="T87" s="12"/>
      <c r="U87" s="12">
        <f t="shared" si="30"/>
        <v>4</v>
      </c>
      <c r="V87" s="28">
        <f t="shared" ca="1" si="31"/>
        <v>5.84</v>
      </c>
      <c r="W87" s="28">
        <f t="shared" si="32"/>
        <v>1.9230226098597002E-2</v>
      </c>
      <c r="X87" s="12">
        <f t="shared" si="33"/>
        <v>9.1271151198652003</v>
      </c>
      <c r="Y87" s="12">
        <f t="shared" si="34"/>
        <v>9.1571537641637004</v>
      </c>
      <c r="Z87" s="12">
        <f t="shared" si="35"/>
        <v>9.1693404013914002</v>
      </c>
      <c r="AA87" s="12">
        <f t="shared" si="36"/>
        <v>9.1660265852682006</v>
      </c>
      <c r="AB87" s="12" t="str">
        <f t="shared" si="37"/>
        <v/>
      </c>
      <c r="AC87" s="12" t="str">
        <f t="shared" si="38"/>
        <v/>
      </c>
      <c r="AD87" s="12" t="str">
        <f t="shared" si="39"/>
        <v/>
      </c>
      <c r="AE87" s="12" t="str">
        <f t="shared" si="40"/>
        <v/>
      </c>
      <c r="AF87" s="12" t="str">
        <f t="shared" si="41"/>
        <v/>
      </c>
      <c r="AG87" s="12"/>
      <c r="AH87" s="12">
        <f t="shared" si="42"/>
        <v>10.883812481909899</v>
      </c>
      <c r="AI87" s="12">
        <f t="shared" si="43"/>
        <v>10.913851126208399</v>
      </c>
      <c r="AJ87" s="12">
        <f t="shared" si="44"/>
        <v>10.926037763436099</v>
      </c>
      <c r="AK87" s="12">
        <f t="shared" si="45"/>
        <v>10.9227239473129</v>
      </c>
      <c r="AL87" s="12" t="str">
        <f t="shared" si="46"/>
        <v/>
      </c>
      <c r="AM87" s="12" t="str">
        <f t="shared" si="47"/>
        <v/>
      </c>
      <c r="AN87" s="12" t="str">
        <f t="shared" si="48"/>
        <v/>
      </c>
      <c r="AO87" s="12" t="str">
        <f t="shared" si="49"/>
        <v/>
      </c>
      <c r="AP87" s="12" t="str">
        <f t="shared" si="50"/>
        <v/>
      </c>
    </row>
    <row r="88" spans="1:42">
      <c r="A88" s="9">
        <f t="shared" si="24"/>
        <v>43123.769490740742</v>
      </c>
      <c r="B88" s="22">
        <f t="shared" si="25"/>
        <v>2458142.2694907407</v>
      </c>
      <c r="C88" s="23">
        <f t="shared" si="27"/>
        <v>9.1533513296153757</v>
      </c>
      <c r="D88" s="24">
        <f t="shared" ca="1" si="28"/>
        <v>6.3187800777675607E-2</v>
      </c>
      <c r="E88" s="24">
        <f t="shared" si="26"/>
        <v>2.163965780057384E-2</v>
      </c>
      <c r="F88" s="25">
        <f t="shared" si="29"/>
        <v>10.902772648329776</v>
      </c>
      <c r="G88" s="7">
        <v>43123.769490740742</v>
      </c>
      <c r="H88" s="11">
        <v>2458142.2694910001</v>
      </c>
      <c r="I88" s="11">
        <v>-13.1471803906906</v>
      </c>
      <c r="J88" s="11">
        <v>-11.3977590719762</v>
      </c>
      <c r="K88" s="11">
        <v>-13.743120805159201</v>
      </c>
      <c r="L88" s="11">
        <v>-12.6248976972379</v>
      </c>
      <c r="M88" s="11">
        <v>-12.864160882565301</v>
      </c>
      <c r="N88" s="11">
        <v>-12.404947496261499</v>
      </c>
      <c r="O88" s="11"/>
      <c r="P88" s="11"/>
      <c r="Q88" s="11"/>
      <c r="R88" s="11"/>
      <c r="S88" s="11"/>
      <c r="T88" s="12"/>
      <c r="U88" s="12">
        <f t="shared" si="30"/>
        <v>4</v>
      </c>
      <c r="V88" s="28">
        <f t="shared" ca="1" si="31"/>
        <v>5.84</v>
      </c>
      <c r="W88" s="28">
        <f t="shared" si="32"/>
        <v>2.163965780057384E-2</v>
      </c>
      <c r="X88" s="12">
        <f t="shared" si="33"/>
        <v>9.1219404144686003</v>
      </c>
      <c r="Y88" s="12">
        <f t="shared" si="34"/>
        <v>9.1567173065473</v>
      </c>
      <c r="Z88" s="12">
        <f t="shared" si="35"/>
        <v>9.1699804918746999</v>
      </c>
      <c r="AA88" s="12">
        <f t="shared" si="36"/>
        <v>9.164767105570899</v>
      </c>
      <c r="AB88" s="12" t="str">
        <f t="shared" si="37"/>
        <v/>
      </c>
      <c r="AC88" s="12" t="str">
        <f t="shared" si="38"/>
        <v/>
      </c>
      <c r="AD88" s="12" t="str">
        <f t="shared" si="39"/>
        <v/>
      </c>
      <c r="AE88" s="12" t="str">
        <f t="shared" si="40"/>
        <v/>
      </c>
      <c r="AF88" s="12" t="str">
        <f t="shared" si="41"/>
        <v/>
      </c>
      <c r="AG88" s="12"/>
      <c r="AH88" s="12">
        <f t="shared" si="42"/>
        <v>10.871361733183001</v>
      </c>
      <c r="AI88" s="12">
        <f t="shared" si="43"/>
        <v>10.906138625261701</v>
      </c>
      <c r="AJ88" s="12">
        <f t="shared" si="44"/>
        <v>10.9194018105891</v>
      </c>
      <c r="AK88" s="12">
        <f t="shared" si="45"/>
        <v>10.9141884242853</v>
      </c>
      <c r="AL88" s="12" t="str">
        <f t="shared" si="46"/>
        <v/>
      </c>
      <c r="AM88" s="12" t="str">
        <f t="shared" si="47"/>
        <v/>
      </c>
      <c r="AN88" s="12" t="str">
        <f t="shared" si="48"/>
        <v/>
      </c>
      <c r="AO88" s="12" t="str">
        <f t="shared" si="49"/>
        <v/>
      </c>
      <c r="AP88" s="12" t="str">
        <f t="shared" si="50"/>
        <v/>
      </c>
    </row>
    <row r="89" spans="1:42">
      <c r="A89" s="9">
        <f t="shared" si="24"/>
        <v>43123.769907407404</v>
      </c>
      <c r="B89" s="22">
        <f t="shared" si="25"/>
        <v>2458142.2699074075</v>
      </c>
      <c r="C89" s="23">
        <f t="shared" si="27"/>
        <v>9.1597456445141496</v>
      </c>
      <c r="D89" s="24">
        <f t="shared" ca="1" si="28"/>
        <v>6.9569646059650908E-2</v>
      </c>
      <c r="E89" s="24">
        <f t="shared" si="26"/>
        <v>2.3825221253305107E-2</v>
      </c>
      <c r="F89" s="25">
        <f t="shared" si="29"/>
        <v>10.91285496905985</v>
      </c>
      <c r="G89" s="7">
        <v>43123.769907407404</v>
      </c>
      <c r="H89" s="11">
        <v>2458142.269907</v>
      </c>
      <c r="I89" s="11">
        <v>-13.1532341060281</v>
      </c>
      <c r="J89" s="11">
        <v>-11.4001247814824</v>
      </c>
      <c r="K89" s="11">
        <v>-13.755100151315</v>
      </c>
      <c r="L89" s="11">
        <v>-12.6328896068408</v>
      </c>
      <c r="M89" s="11">
        <v>-12.868040719445</v>
      </c>
      <c r="N89" s="11">
        <v>-12.4308885245682</v>
      </c>
      <c r="O89" s="11"/>
      <c r="P89" s="11"/>
      <c r="Q89" s="11"/>
      <c r="R89" s="11"/>
      <c r="S89" s="11"/>
      <c r="T89" s="12"/>
      <c r="U89" s="12">
        <f t="shared" si="30"/>
        <v>4</v>
      </c>
      <c r="V89" s="28">
        <f t="shared" ca="1" si="31"/>
        <v>5.84</v>
      </c>
      <c r="W89" s="28">
        <f t="shared" si="32"/>
        <v>2.3825221253305107E-2</v>
      </c>
      <c r="X89" s="12">
        <f t="shared" si="33"/>
        <v>9.1278660452869005</v>
      </c>
      <c r="Y89" s="12">
        <f t="shared" si="34"/>
        <v>9.1586555008127011</v>
      </c>
      <c r="Z89" s="12">
        <f t="shared" si="35"/>
        <v>9.1678066134169001</v>
      </c>
      <c r="AA89" s="12">
        <f t="shared" si="36"/>
        <v>9.1846544185401005</v>
      </c>
      <c r="AB89" s="12" t="str">
        <f t="shared" si="37"/>
        <v/>
      </c>
      <c r="AC89" s="12" t="str">
        <f t="shared" si="38"/>
        <v/>
      </c>
      <c r="AD89" s="12" t="str">
        <f t="shared" si="39"/>
        <v/>
      </c>
      <c r="AE89" s="12" t="str">
        <f t="shared" si="40"/>
        <v/>
      </c>
      <c r="AF89" s="12" t="str">
        <f t="shared" si="41"/>
        <v/>
      </c>
      <c r="AG89" s="12"/>
      <c r="AH89" s="12">
        <f t="shared" si="42"/>
        <v>10.880975369832599</v>
      </c>
      <c r="AI89" s="12">
        <f t="shared" si="43"/>
        <v>10.9117648253584</v>
      </c>
      <c r="AJ89" s="12">
        <f t="shared" si="44"/>
        <v>10.920915937962599</v>
      </c>
      <c r="AK89" s="12">
        <f t="shared" si="45"/>
        <v>10.937763743085799</v>
      </c>
      <c r="AL89" s="12" t="str">
        <f t="shared" si="46"/>
        <v/>
      </c>
      <c r="AM89" s="12" t="str">
        <f t="shared" si="47"/>
        <v/>
      </c>
      <c r="AN89" s="12" t="str">
        <f t="shared" si="48"/>
        <v/>
      </c>
      <c r="AO89" s="12" t="str">
        <f t="shared" si="49"/>
        <v/>
      </c>
      <c r="AP89" s="12" t="str">
        <f t="shared" si="50"/>
        <v/>
      </c>
    </row>
    <row r="90" spans="1:42">
      <c r="A90" s="9">
        <f t="shared" si="24"/>
        <v>43123.770324074074</v>
      </c>
      <c r="B90" s="22">
        <f t="shared" si="25"/>
        <v>2458142.2703240742</v>
      </c>
      <c r="C90" s="23">
        <f t="shared" si="27"/>
        <v>9.1665527917984733</v>
      </c>
      <c r="D90" s="24">
        <f t="shared" ca="1" si="28"/>
        <v>6.675480584675321E-2</v>
      </c>
      <c r="E90" s="24">
        <f t="shared" si="26"/>
        <v>2.2861234879025073E-2</v>
      </c>
      <c r="F90" s="25">
        <f t="shared" si="29"/>
        <v>10.927698328539673</v>
      </c>
      <c r="G90" s="7">
        <v>43123.770324074074</v>
      </c>
      <c r="H90" s="11">
        <v>2458142.2703240002</v>
      </c>
      <c r="I90" s="11">
        <v>-13.138571378304</v>
      </c>
      <c r="J90" s="11">
        <v>-11.3774258415628</v>
      </c>
      <c r="K90" s="11">
        <v>-13.7451751855134</v>
      </c>
      <c r="L90" s="11">
        <v>-12.6342122331195</v>
      </c>
      <c r="M90" s="11">
        <v>-12.862264986618399</v>
      </c>
      <c r="N90" s="11">
        <v>-12.413844275158599</v>
      </c>
      <c r="O90" s="11"/>
      <c r="P90" s="11"/>
      <c r="Q90" s="11"/>
      <c r="R90" s="11"/>
      <c r="S90" s="11"/>
      <c r="T90" s="12"/>
      <c r="U90" s="12">
        <f t="shared" si="30"/>
        <v>4</v>
      </c>
      <c r="V90" s="28">
        <f t="shared" ca="1" si="31"/>
        <v>5.84</v>
      </c>
      <c r="W90" s="28">
        <f t="shared" si="32"/>
        <v>2.2861234879025073E-2</v>
      </c>
      <c r="X90" s="12">
        <f t="shared" si="33"/>
        <v>9.1326038072093993</v>
      </c>
      <c r="Y90" s="12">
        <f t="shared" si="34"/>
        <v>9.1746408548155003</v>
      </c>
      <c r="Z90" s="12">
        <f t="shared" si="35"/>
        <v>9.1766936083143982</v>
      </c>
      <c r="AA90" s="12">
        <f t="shared" si="36"/>
        <v>9.1822728968545988</v>
      </c>
      <c r="AB90" s="12" t="str">
        <f t="shared" si="37"/>
        <v/>
      </c>
      <c r="AC90" s="12" t="str">
        <f t="shared" si="38"/>
        <v/>
      </c>
      <c r="AD90" s="12" t="str">
        <f t="shared" si="39"/>
        <v/>
      </c>
      <c r="AE90" s="12" t="str">
        <f t="shared" si="40"/>
        <v/>
      </c>
      <c r="AF90" s="12" t="str">
        <f t="shared" si="41"/>
        <v/>
      </c>
      <c r="AG90" s="12"/>
      <c r="AH90" s="12">
        <f t="shared" si="42"/>
        <v>10.893749343950599</v>
      </c>
      <c r="AI90" s="12">
        <f t="shared" si="43"/>
        <v>10.9357863915567</v>
      </c>
      <c r="AJ90" s="12">
        <f t="shared" si="44"/>
        <v>10.937839145055598</v>
      </c>
      <c r="AK90" s="12">
        <f t="shared" si="45"/>
        <v>10.943418433595799</v>
      </c>
      <c r="AL90" s="12" t="str">
        <f t="shared" si="46"/>
        <v/>
      </c>
      <c r="AM90" s="12" t="str">
        <f t="shared" si="47"/>
        <v/>
      </c>
      <c r="AN90" s="12" t="str">
        <f t="shared" si="48"/>
        <v/>
      </c>
      <c r="AO90" s="12" t="str">
        <f t="shared" si="49"/>
        <v/>
      </c>
      <c r="AP90" s="12" t="str">
        <f t="shared" si="50"/>
        <v/>
      </c>
    </row>
    <row r="91" spans="1:42">
      <c r="A91" s="9">
        <f t="shared" si="24"/>
        <v>43123.770752314813</v>
      </c>
      <c r="B91" s="22">
        <f t="shared" si="25"/>
        <v>2458142.2707523149</v>
      </c>
      <c r="C91" s="23">
        <f t="shared" ref="C91:C122" si="51">IF(U91&gt;0,AVERAGE(X91:AF91),"")</f>
        <v>9.1612552512368257</v>
      </c>
      <c r="D91" s="24">
        <f t="shared" ref="D91:D122" ca="1" si="52">IF(U91&gt;0,STDEV(X91:AF91)/SQRT(U91)*V91,"")</f>
        <v>5.0329020658024103E-2</v>
      </c>
      <c r="E91" s="24">
        <f t="shared" si="26"/>
        <v>1.7235965978775379E-2</v>
      </c>
      <c r="F91" s="25">
        <f t="shared" ref="F91:F122" si="53">IF(U91&gt;0,AVERAGE(AH91:AP91),"")</f>
        <v>10.933459876995926</v>
      </c>
      <c r="G91" s="7">
        <v>43123.770752314813</v>
      </c>
      <c r="H91" s="11">
        <v>2458142.2707520002</v>
      </c>
      <c r="I91" s="11">
        <v>-13.142363312300899</v>
      </c>
      <c r="J91" s="11">
        <v>-11.370158686541799</v>
      </c>
      <c r="K91" s="11">
        <v>-13.7524683182983</v>
      </c>
      <c r="L91" s="11">
        <v>-12.6350325205277</v>
      </c>
      <c r="M91" s="11">
        <v>-12.862551307217</v>
      </c>
      <c r="N91" s="11">
        <v>-12.399422108107901</v>
      </c>
      <c r="O91" s="11"/>
      <c r="P91" s="11"/>
      <c r="Q91" s="11"/>
      <c r="R91" s="11"/>
      <c r="S91" s="11"/>
      <c r="T91" s="12"/>
      <c r="U91" s="12">
        <f t="shared" ref="U91:U122" si="54">MIN(COUNTA(K$25:S$25),COUNTA(K91:S91))</f>
        <v>4</v>
      </c>
      <c r="V91" s="28">
        <f t="shared" ref="V91:V122" ca="1" si="55">IF(U91&gt;1,INDIRECT(ADDRESS(U91+1,3,1,1,"Student")),"")</f>
        <v>5.84</v>
      </c>
      <c r="W91" s="28">
        <f t="shared" ref="W91:W122" si="56">IF(U91&gt;0,STDEV(X91:AF91),"")</f>
        <v>1.7235965978775379E-2</v>
      </c>
      <c r="X91" s="12">
        <f t="shared" ref="X91:X122" si="57">IF(OR(ISBLANK(K$25),ISBLANK(K91),ISBLANK($I91)),"",$I91-K91+K$25)</f>
        <v>9.1361050059974005</v>
      </c>
      <c r="Y91" s="12">
        <f t="shared" ref="Y91:Y122" si="58">IF(OR(ISBLANK(L$25),ISBLANK(L91),ISBLANK($I91)),"",$I91-L91+L$25)</f>
        <v>9.1716692082268008</v>
      </c>
      <c r="Z91" s="12">
        <f t="shared" ref="Z91:Z122" si="59">IF(OR(ISBLANK(M$25),ISBLANK(M91),ISBLANK($I91)),"",$I91-M91+M$25)</f>
        <v>9.1731879949161002</v>
      </c>
      <c r="AA91" s="12">
        <f t="shared" ref="AA91:AA122" si="60">IF(OR(ISBLANK(N$25),ISBLANK(N91),ISBLANK($I91)),"",$I91-N91+N$25)</f>
        <v>9.1640587958070014</v>
      </c>
      <c r="AB91" s="12" t="str">
        <f t="shared" ref="AB91:AB122" si="61">IF(OR(ISBLANK(O$25),ISBLANK(O91),ISBLANK($I91)),"",$I91-O91+O$25)</f>
        <v/>
      </c>
      <c r="AC91" s="12" t="str">
        <f t="shared" ref="AC91:AC122" si="62">IF(OR(ISBLANK(P$25),ISBLANK(P91),ISBLANK($I91)),"",$I91-P91+P$25)</f>
        <v/>
      </c>
      <c r="AD91" s="12" t="str">
        <f t="shared" ref="AD91:AD122" si="63">IF(OR(ISBLANK(Q$25),ISBLANK(Q91),ISBLANK($I91)),"",$I91-Q91+Q$25)</f>
        <v/>
      </c>
      <c r="AE91" s="12" t="str">
        <f t="shared" ref="AE91:AE122" si="64">IF(OR(ISBLANK(R$25),ISBLANK(R91),ISBLANK($I91)),"",$I91-R91+R$25)</f>
        <v/>
      </c>
      <c r="AF91" s="12" t="str">
        <f t="shared" ref="AF91:AF122" si="65">IF(OR(ISBLANK(S$25),ISBLANK(S91),ISBLANK($I91)),"",$I91-S91+S$25)</f>
        <v/>
      </c>
      <c r="AG91" s="12"/>
      <c r="AH91" s="12">
        <f t="shared" ref="AH91:AH122" si="66">IF(OR(ISBLANK(K$25),ISBLANK(K91),ISBLANK($J91)),"",$J91-K91+K$25)</f>
        <v>10.9083096317565</v>
      </c>
      <c r="AI91" s="12">
        <f t="shared" ref="AI91:AI122" si="67">IF(OR(ISBLANK(L$25),ISBLANK(L91),ISBLANK($J91)),"",$J91-L91+L$25)</f>
        <v>10.943873833985901</v>
      </c>
      <c r="AJ91" s="12">
        <f t="shared" ref="AJ91:AJ122" si="68">IF(OR(ISBLANK(M$25),ISBLANK(M91),ISBLANK($J91)),"",$J91-M91+M$25)</f>
        <v>10.9453926206752</v>
      </c>
      <c r="AK91" s="12">
        <f t="shared" ref="AK91:AK122" si="69">IF(OR(ISBLANK(N$25),ISBLANK(N91),ISBLANK($J91)),"",$J91-N91+N$25)</f>
        <v>10.936263421566101</v>
      </c>
      <c r="AL91" s="12" t="str">
        <f t="shared" ref="AL91:AL122" si="70">IF(OR(ISBLANK(O$25),ISBLANK(O91),ISBLANK($J91)),"",$J91-O91+O$25)</f>
        <v/>
      </c>
      <c r="AM91" s="12" t="str">
        <f t="shared" ref="AM91:AM122" si="71">IF(OR(ISBLANK(P$25),ISBLANK(P91),ISBLANK($J91)),"",$J91-P91+P$25)</f>
        <v/>
      </c>
      <c r="AN91" s="12" t="str">
        <f t="shared" ref="AN91:AN122" si="72">IF(OR(ISBLANK(Q$25),ISBLANK(Q91),ISBLANK($J91)),"",$J91-Q91+Q$25)</f>
        <v/>
      </c>
      <c r="AO91" s="12" t="str">
        <f t="shared" ref="AO91:AO122" si="73">IF(OR(ISBLANK(R$25),ISBLANK(R91),ISBLANK($J91)),"",$J91-R91+R$25)</f>
        <v/>
      </c>
      <c r="AP91" s="12" t="str">
        <f t="shared" ref="AP91:AP122" si="74">IF(OR(ISBLANK(S$25),ISBLANK(S91),ISBLANK($J91)),"",$J91-S91+S$25)</f>
        <v/>
      </c>
    </row>
    <row r="92" spans="1:42">
      <c r="A92" s="9">
        <f t="shared" ref="A92:A128" si="75">IF(ISBLANK(G92),"",G92)</f>
        <v>43123.771168981482</v>
      </c>
      <c r="B92" s="22">
        <f t="shared" ref="B92:B128" si="76">IF(ISBLANK(G92),"",G92+2415018.5)</f>
        <v>2458142.2711689817</v>
      </c>
      <c r="C92" s="23">
        <f t="shared" si="51"/>
        <v>9.1693241493945248</v>
      </c>
      <c r="D92" s="24">
        <f t="shared" ca="1" si="52"/>
        <v>5.7423809690468661E-2</v>
      </c>
      <c r="E92" s="24">
        <f t="shared" ref="E92:E128" si="77">IF(ISBLANK(W92),"",W92)</f>
        <v>1.9665688250160501E-2</v>
      </c>
      <c r="F92" s="25">
        <f t="shared" si="53"/>
        <v>10.911560798570425</v>
      </c>
      <c r="G92" s="7">
        <v>43123.771168981482</v>
      </c>
      <c r="H92" s="11">
        <v>2458142.2711689998</v>
      </c>
      <c r="I92" s="11">
        <v>-13.131415134466501</v>
      </c>
      <c r="J92" s="11">
        <v>-11.3891784852906</v>
      </c>
      <c r="K92" s="11">
        <v>-13.7466133235969</v>
      </c>
      <c r="L92" s="11">
        <v>-12.6327983742759</v>
      </c>
      <c r="M92" s="11">
        <v>-12.863386288151601</v>
      </c>
      <c r="N92" s="11">
        <v>-12.395159149419699</v>
      </c>
      <c r="O92" s="11"/>
      <c r="P92" s="11"/>
      <c r="Q92" s="11"/>
      <c r="R92" s="11"/>
      <c r="S92" s="11"/>
      <c r="T92" s="12"/>
      <c r="U92" s="12">
        <f t="shared" si="54"/>
        <v>4</v>
      </c>
      <c r="V92" s="28">
        <f t="shared" ca="1" si="55"/>
        <v>5.84</v>
      </c>
      <c r="W92" s="28">
        <f t="shared" si="56"/>
        <v>1.9665688250160501E-2</v>
      </c>
      <c r="X92" s="12">
        <f t="shared" si="57"/>
        <v>9.1411981891303995</v>
      </c>
      <c r="Y92" s="12">
        <f t="shared" si="58"/>
        <v>9.1803832398093999</v>
      </c>
      <c r="Z92" s="12">
        <f t="shared" si="59"/>
        <v>9.1849711536850993</v>
      </c>
      <c r="AA92" s="12">
        <f t="shared" si="60"/>
        <v>9.1707440149531987</v>
      </c>
      <c r="AB92" s="12" t="str">
        <f t="shared" si="61"/>
        <v/>
      </c>
      <c r="AC92" s="12" t="str">
        <f t="shared" si="62"/>
        <v/>
      </c>
      <c r="AD92" s="12" t="str">
        <f t="shared" si="63"/>
        <v/>
      </c>
      <c r="AE92" s="12" t="str">
        <f t="shared" si="64"/>
        <v/>
      </c>
      <c r="AF92" s="12" t="str">
        <f t="shared" si="65"/>
        <v/>
      </c>
      <c r="AG92" s="12"/>
      <c r="AH92" s="12">
        <f t="shared" si="66"/>
        <v>10.8834348383063</v>
      </c>
      <c r="AI92" s="12">
        <f t="shared" si="67"/>
        <v>10.922619888985301</v>
      </c>
      <c r="AJ92" s="12">
        <f t="shared" si="68"/>
        <v>10.927207802861</v>
      </c>
      <c r="AK92" s="12">
        <f t="shared" si="69"/>
        <v>10.912980664129099</v>
      </c>
      <c r="AL92" s="12" t="str">
        <f t="shared" si="70"/>
        <v/>
      </c>
      <c r="AM92" s="12" t="str">
        <f t="shared" si="71"/>
        <v/>
      </c>
      <c r="AN92" s="12" t="str">
        <f t="shared" si="72"/>
        <v/>
      </c>
      <c r="AO92" s="12" t="str">
        <f t="shared" si="73"/>
        <v/>
      </c>
      <c r="AP92" s="12" t="str">
        <f t="shared" si="74"/>
        <v/>
      </c>
    </row>
    <row r="93" spans="1:42">
      <c r="A93" s="9">
        <f t="shared" si="75"/>
        <v>43123.771597222221</v>
      </c>
      <c r="B93" s="22">
        <f t="shared" si="76"/>
        <v>2458142.2715972224</v>
      </c>
      <c r="C93" s="23">
        <f t="shared" si="51"/>
        <v>9.1795040119732754</v>
      </c>
      <c r="D93" s="24">
        <f t="shared" ca="1" si="52"/>
        <v>6.1186135639029096E-2</v>
      </c>
      <c r="E93" s="24">
        <f t="shared" si="77"/>
        <v>2.0954156040763391E-2</v>
      </c>
      <c r="F93" s="25">
        <f t="shared" si="53"/>
        <v>10.931462897271674</v>
      </c>
      <c r="G93" s="7">
        <v>43123.771597222221</v>
      </c>
      <c r="H93" s="11">
        <v>2458142.2715969998</v>
      </c>
      <c r="I93" s="11">
        <v>-13.1220424322919</v>
      </c>
      <c r="J93" s="11">
        <v>-11.3700835469935</v>
      </c>
      <c r="K93" s="11">
        <v>-13.7443086154382</v>
      </c>
      <c r="L93" s="11">
        <v>-12.6354488786712</v>
      </c>
      <c r="M93" s="11">
        <v>-12.855861864710301</v>
      </c>
      <c r="N93" s="11">
        <v>-12.405566418240999</v>
      </c>
      <c r="O93" s="11"/>
      <c r="P93" s="11"/>
      <c r="Q93" s="11"/>
      <c r="R93" s="11"/>
      <c r="S93" s="11"/>
      <c r="T93" s="12"/>
      <c r="U93" s="12">
        <f t="shared" si="54"/>
        <v>4</v>
      </c>
      <c r="V93" s="28">
        <f t="shared" ca="1" si="55"/>
        <v>5.84</v>
      </c>
      <c r="W93" s="28">
        <f t="shared" si="56"/>
        <v>2.0954156040763391E-2</v>
      </c>
      <c r="X93" s="12">
        <f t="shared" si="57"/>
        <v>9.1482661831462995</v>
      </c>
      <c r="Y93" s="12">
        <f t="shared" si="58"/>
        <v>9.1924064463792998</v>
      </c>
      <c r="Z93" s="12">
        <f t="shared" si="59"/>
        <v>9.1868194324183996</v>
      </c>
      <c r="AA93" s="12">
        <f t="shared" si="60"/>
        <v>9.190523985949099</v>
      </c>
      <c r="AB93" s="12" t="str">
        <f t="shared" si="61"/>
        <v/>
      </c>
      <c r="AC93" s="12" t="str">
        <f t="shared" si="62"/>
        <v/>
      </c>
      <c r="AD93" s="12" t="str">
        <f t="shared" si="63"/>
        <v/>
      </c>
      <c r="AE93" s="12" t="str">
        <f t="shared" si="64"/>
        <v/>
      </c>
      <c r="AF93" s="12" t="str">
        <f t="shared" si="65"/>
        <v/>
      </c>
      <c r="AG93" s="12"/>
      <c r="AH93" s="12">
        <f t="shared" si="66"/>
        <v>10.9002250684447</v>
      </c>
      <c r="AI93" s="12">
        <f t="shared" si="67"/>
        <v>10.9443653316777</v>
      </c>
      <c r="AJ93" s="12">
        <f t="shared" si="68"/>
        <v>10.9387783177168</v>
      </c>
      <c r="AK93" s="12">
        <f t="shared" si="69"/>
        <v>10.942482871247499</v>
      </c>
      <c r="AL93" s="12" t="str">
        <f t="shared" si="70"/>
        <v/>
      </c>
      <c r="AM93" s="12" t="str">
        <f t="shared" si="71"/>
        <v/>
      </c>
      <c r="AN93" s="12" t="str">
        <f t="shared" si="72"/>
        <v/>
      </c>
      <c r="AO93" s="12" t="str">
        <f t="shared" si="73"/>
        <v/>
      </c>
      <c r="AP93" s="12" t="str">
        <f t="shared" si="74"/>
        <v/>
      </c>
    </row>
    <row r="94" spans="1:42">
      <c r="A94" s="9">
        <f t="shared" si="75"/>
        <v>43123.772013888891</v>
      </c>
      <c r="B94" s="22">
        <f t="shared" si="76"/>
        <v>2458142.2720138887</v>
      </c>
      <c r="C94" s="23">
        <f t="shared" si="51"/>
        <v>9.1826414352595229</v>
      </c>
      <c r="D94" s="24">
        <f t="shared" ca="1" si="52"/>
        <v>4.8509809856675211E-2</v>
      </c>
      <c r="E94" s="24">
        <f t="shared" si="77"/>
        <v>1.6612948581053156E-2</v>
      </c>
      <c r="F94" s="25">
        <f t="shared" si="53"/>
        <v>10.932139694265326</v>
      </c>
      <c r="G94" s="7">
        <v>43123.772013888891</v>
      </c>
      <c r="H94" s="11">
        <v>2458142.272014</v>
      </c>
      <c r="I94" s="11">
        <v>-13.118277785035501</v>
      </c>
      <c r="J94" s="11">
        <v>-11.3687795260297</v>
      </c>
      <c r="K94" s="11">
        <v>-13.7513720105782</v>
      </c>
      <c r="L94" s="11">
        <v>-12.6225291882244</v>
      </c>
      <c r="M94" s="11">
        <v>-12.861631555178899</v>
      </c>
      <c r="N94" s="11">
        <v>-12.403144127198599</v>
      </c>
      <c r="O94" s="11"/>
      <c r="P94" s="11"/>
      <c r="Q94" s="11"/>
      <c r="R94" s="11"/>
      <c r="S94" s="11"/>
      <c r="T94" s="12"/>
      <c r="U94" s="12">
        <f t="shared" si="54"/>
        <v>4</v>
      </c>
      <c r="V94" s="28">
        <f t="shared" ca="1" si="55"/>
        <v>5.84</v>
      </c>
      <c r="W94" s="28">
        <f t="shared" si="56"/>
        <v>1.6612948581053156E-2</v>
      </c>
      <c r="X94" s="12">
        <f t="shared" si="57"/>
        <v>9.1590942255426988</v>
      </c>
      <c r="Y94" s="12">
        <f t="shared" si="58"/>
        <v>9.1832514031888994</v>
      </c>
      <c r="Z94" s="12">
        <f t="shared" si="59"/>
        <v>9.1963537701433982</v>
      </c>
      <c r="AA94" s="12">
        <f t="shared" si="60"/>
        <v>9.1918663421630988</v>
      </c>
      <c r="AB94" s="12" t="str">
        <f t="shared" si="61"/>
        <v/>
      </c>
      <c r="AC94" s="12" t="str">
        <f t="shared" si="62"/>
        <v/>
      </c>
      <c r="AD94" s="12" t="str">
        <f t="shared" si="63"/>
        <v/>
      </c>
      <c r="AE94" s="12" t="str">
        <f t="shared" si="64"/>
        <v/>
      </c>
      <c r="AF94" s="12" t="str">
        <f t="shared" si="65"/>
        <v/>
      </c>
      <c r="AG94" s="12"/>
      <c r="AH94" s="12">
        <f t="shared" si="66"/>
        <v>10.9085924845485</v>
      </c>
      <c r="AI94" s="12">
        <f t="shared" si="67"/>
        <v>10.9327496621947</v>
      </c>
      <c r="AJ94" s="12">
        <f t="shared" si="68"/>
        <v>10.945852029149199</v>
      </c>
      <c r="AK94" s="12">
        <f t="shared" si="69"/>
        <v>10.9413646011689</v>
      </c>
      <c r="AL94" s="12" t="str">
        <f t="shared" si="70"/>
        <v/>
      </c>
      <c r="AM94" s="12" t="str">
        <f t="shared" si="71"/>
        <v/>
      </c>
      <c r="AN94" s="12" t="str">
        <f t="shared" si="72"/>
        <v/>
      </c>
      <c r="AO94" s="12" t="str">
        <f t="shared" si="73"/>
        <v/>
      </c>
      <c r="AP94" s="12" t="str">
        <f t="shared" si="74"/>
        <v/>
      </c>
    </row>
    <row r="95" spans="1:42">
      <c r="A95" s="9">
        <f t="shared" si="75"/>
        <v>43123.772430555553</v>
      </c>
      <c r="B95" s="22">
        <f t="shared" si="76"/>
        <v>2458142.2724305554</v>
      </c>
      <c r="C95" s="23">
        <f t="shared" si="51"/>
        <v>9.1814252876081248</v>
      </c>
      <c r="D95" s="24">
        <f t="shared" ca="1" si="52"/>
        <v>5.3582525282212842E-2</v>
      </c>
      <c r="E95" s="24">
        <f t="shared" si="77"/>
        <v>1.8350179891168782E-2</v>
      </c>
      <c r="F95" s="25">
        <f t="shared" si="53"/>
        <v>10.908550475368925</v>
      </c>
      <c r="G95" s="7">
        <v>43123.772430555553</v>
      </c>
      <c r="H95" s="11">
        <v>2458142.2724310001</v>
      </c>
      <c r="I95" s="11">
        <v>-13.1074543152081</v>
      </c>
      <c r="J95" s="11">
        <v>-11.3803291274473</v>
      </c>
      <c r="K95" s="11">
        <v>-13.737048521869999</v>
      </c>
      <c r="L95" s="11">
        <v>-12.6241810602098</v>
      </c>
      <c r="M95" s="11">
        <v>-12.8476421129032</v>
      </c>
      <c r="N95" s="11">
        <v>-12.3816467162819</v>
      </c>
      <c r="O95" s="11"/>
      <c r="P95" s="11"/>
      <c r="Q95" s="11"/>
      <c r="R95" s="11"/>
      <c r="S95" s="11"/>
      <c r="T95" s="12"/>
      <c r="U95" s="12">
        <f t="shared" si="54"/>
        <v>4</v>
      </c>
      <c r="V95" s="28">
        <f t="shared" ca="1" si="55"/>
        <v>5.84</v>
      </c>
      <c r="W95" s="28">
        <f t="shared" si="56"/>
        <v>1.8350179891168782E-2</v>
      </c>
      <c r="X95" s="12">
        <f t="shared" si="57"/>
        <v>9.1555942066618989</v>
      </c>
      <c r="Y95" s="12">
        <f t="shared" si="58"/>
        <v>9.1957267450017</v>
      </c>
      <c r="Z95" s="12">
        <f t="shared" si="59"/>
        <v>9.1931877976950993</v>
      </c>
      <c r="AA95" s="12">
        <f t="shared" si="60"/>
        <v>9.1811924010737993</v>
      </c>
      <c r="AB95" s="12" t="str">
        <f t="shared" si="61"/>
        <v/>
      </c>
      <c r="AC95" s="12" t="str">
        <f t="shared" si="62"/>
        <v/>
      </c>
      <c r="AD95" s="12" t="str">
        <f t="shared" si="63"/>
        <v/>
      </c>
      <c r="AE95" s="12" t="str">
        <f t="shared" si="64"/>
        <v/>
      </c>
      <c r="AF95" s="12" t="str">
        <f t="shared" si="65"/>
        <v/>
      </c>
      <c r="AG95" s="12"/>
      <c r="AH95" s="12">
        <f t="shared" si="66"/>
        <v>10.882719394422699</v>
      </c>
      <c r="AI95" s="12">
        <f t="shared" si="67"/>
        <v>10.9228519327625</v>
      </c>
      <c r="AJ95" s="12">
        <f t="shared" si="68"/>
        <v>10.920312985455899</v>
      </c>
      <c r="AK95" s="12">
        <f t="shared" si="69"/>
        <v>10.908317588834599</v>
      </c>
      <c r="AL95" s="12" t="str">
        <f t="shared" si="70"/>
        <v/>
      </c>
      <c r="AM95" s="12" t="str">
        <f t="shared" si="71"/>
        <v/>
      </c>
      <c r="AN95" s="12" t="str">
        <f t="shared" si="72"/>
        <v/>
      </c>
      <c r="AO95" s="12" t="str">
        <f t="shared" si="73"/>
        <v/>
      </c>
      <c r="AP95" s="12" t="str">
        <f t="shared" si="74"/>
        <v/>
      </c>
    </row>
    <row r="96" spans="1:42">
      <c r="A96" s="9">
        <f t="shared" si="75"/>
        <v>43123.772858796299</v>
      </c>
      <c r="B96" s="22">
        <f t="shared" si="76"/>
        <v>2458142.2728587962</v>
      </c>
      <c r="C96" s="23">
        <f t="shared" si="51"/>
        <v>9.1951360854755997</v>
      </c>
      <c r="D96" s="24">
        <f t="shared" ca="1" si="52"/>
        <v>6.1813749340205462E-2</v>
      </c>
      <c r="E96" s="24">
        <f t="shared" si="77"/>
        <v>2.1169092239796392E-2</v>
      </c>
      <c r="F96" s="25">
        <f t="shared" si="53"/>
        <v>10.913381156006201</v>
      </c>
      <c r="G96" s="7">
        <v>43123.772858796299</v>
      </c>
      <c r="H96" s="11">
        <v>2458142.2728590001</v>
      </c>
      <c r="I96" s="11">
        <v>-13.1088912113315</v>
      </c>
      <c r="J96" s="11">
        <v>-11.3906461408009</v>
      </c>
      <c r="K96" s="11">
        <v>-13.746877992407301</v>
      </c>
      <c r="L96" s="11">
        <v>-12.629758496288</v>
      </c>
      <c r="M96" s="11">
        <v>-12.863059520498499</v>
      </c>
      <c r="N96" s="11">
        <v>-12.4114131780346</v>
      </c>
      <c r="O96" s="11"/>
      <c r="P96" s="11"/>
      <c r="Q96" s="11"/>
      <c r="R96" s="11"/>
      <c r="S96" s="11"/>
      <c r="T96" s="12"/>
      <c r="U96" s="12">
        <f t="shared" si="54"/>
        <v>4</v>
      </c>
      <c r="V96" s="28">
        <f t="shared" ca="1" si="55"/>
        <v>5.84</v>
      </c>
      <c r="W96" s="28">
        <f t="shared" si="56"/>
        <v>2.1169092239796392E-2</v>
      </c>
      <c r="X96" s="12">
        <f t="shared" si="57"/>
        <v>9.1639867810758009</v>
      </c>
      <c r="Y96" s="12">
        <f t="shared" si="58"/>
        <v>9.1998672849565004</v>
      </c>
      <c r="Z96" s="12">
        <f t="shared" si="59"/>
        <v>9.2071683091669989</v>
      </c>
      <c r="AA96" s="12">
        <f t="shared" si="60"/>
        <v>9.2095219667031003</v>
      </c>
      <c r="AB96" s="12" t="str">
        <f t="shared" si="61"/>
        <v/>
      </c>
      <c r="AC96" s="12" t="str">
        <f t="shared" si="62"/>
        <v/>
      </c>
      <c r="AD96" s="12" t="str">
        <f t="shared" si="63"/>
        <v/>
      </c>
      <c r="AE96" s="12" t="str">
        <f t="shared" si="64"/>
        <v/>
      </c>
      <c r="AF96" s="12" t="str">
        <f t="shared" si="65"/>
        <v/>
      </c>
      <c r="AG96" s="12"/>
      <c r="AH96" s="12">
        <f t="shared" si="66"/>
        <v>10.8822318516064</v>
      </c>
      <c r="AI96" s="12">
        <f t="shared" si="67"/>
        <v>10.9181123554871</v>
      </c>
      <c r="AJ96" s="12">
        <f t="shared" si="68"/>
        <v>10.925413379697599</v>
      </c>
      <c r="AK96" s="12">
        <f t="shared" si="69"/>
        <v>10.9277670372337</v>
      </c>
      <c r="AL96" s="12" t="str">
        <f t="shared" si="70"/>
        <v/>
      </c>
      <c r="AM96" s="12" t="str">
        <f t="shared" si="71"/>
        <v/>
      </c>
      <c r="AN96" s="12" t="str">
        <f t="shared" si="72"/>
        <v/>
      </c>
      <c r="AO96" s="12" t="str">
        <f t="shared" si="73"/>
        <v/>
      </c>
      <c r="AP96" s="12" t="str">
        <f t="shared" si="74"/>
        <v/>
      </c>
    </row>
    <row r="97" spans="1:42">
      <c r="A97" s="9">
        <f t="shared" si="75"/>
        <v>43123.773275462961</v>
      </c>
      <c r="B97" s="22">
        <f t="shared" si="76"/>
        <v>2458142.2732754629</v>
      </c>
      <c r="C97" s="23">
        <f t="shared" si="51"/>
        <v>9.1800339730552238</v>
      </c>
      <c r="D97" s="24">
        <f t="shared" ca="1" si="52"/>
        <v>4.408442408190047E-2</v>
      </c>
      <c r="E97" s="24">
        <f t="shared" si="77"/>
        <v>1.5097405507500161E-2</v>
      </c>
      <c r="F97" s="25">
        <f t="shared" si="53"/>
        <v>10.914862308224626</v>
      </c>
      <c r="G97" s="7">
        <v>43123.773275462961</v>
      </c>
      <c r="H97" s="11">
        <v>2458142.273275</v>
      </c>
      <c r="I97" s="11">
        <v>-13.1227044722631</v>
      </c>
      <c r="J97" s="11">
        <v>-11.3878761370937</v>
      </c>
      <c r="K97" s="11">
        <v>-13.7558223625539</v>
      </c>
      <c r="L97" s="11">
        <v>-12.6246010781192</v>
      </c>
      <c r="M97" s="11">
        <v>-12.8644820483935</v>
      </c>
      <c r="N97" s="11">
        <v>-12.401048292206699</v>
      </c>
      <c r="O97" s="11"/>
      <c r="P97" s="11"/>
      <c r="Q97" s="11"/>
      <c r="R97" s="11"/>
      <c r="S97" s="11"/>
      <c r="T97" s="12"/>
      <c r="U97" s="12">
        <f t="shared" si="54"/>
        <v>4</v>
      </c>
      <c r="V97" s="28">
        <f t="shared" ca="1" si="55"/>
        <v>5.84</v>
      </c>
      <c r="W97" s="28">
        <f t="shared" si="56"/>
        <v>1.5097405507500161E-2</v>
      </c>
      <c r="X97" s="12">
        <f t="shared" si="57"/>
        <v>9.1591178902907995</v>
      </c>
      <c r="Y97" s="12">
        <f t="shared" si="58"/>
        <v>9.1808966058561001</v>
      </c>
      <c r="Z97" s="12">
        <f t="shared" si="59"/>
        <v>9.1947775761303987</v>
      </c>
      <c r="AA97" s="12">
        <f t="shared" si="60"/>
        <v>9.1853438199435988</v>
      </c>
      <c r="AB97" s="12" t="str">
        <f t="shared" si="61"/>
        <v/>
      </c>
      <c r="AC97" s="12" t="str">
        <f t="shared" si="62"/>
        <v/>
      </c>
      <c r="AD97" s="12" t="str">
        <f t="shared" si="63"/>
        <v/>
      </c>
      <c r="AE97" s="12" t="str">
        <f t="shared" si="64"/>
        <v/>
      </c>
      <c r="AF97" s="12" t="str">
        <f t="shared" si="65"/>
        <v/>
      </c>
      <c r="AG97" s="12"/>
      <c r="AH97" s="12">
        <f t="shared" si="66"/>
        <v>10.8939462254602</v>
      </c>
      <c r="AI97" s="12">
        <f t="shared" si="67"/>
        <v>10.9157249410255</v>
      </c>
      <c r="AJ97" s="12">
        <f t="shared" si="68"/>
        <v>10.929605911299799</v>
      </c>
      <c r="AK97" s="12">
        <f t="shared" si="69"/>
        <v>10.920172155112999</v>
      </c>
      <c r="AL97" s="12" t="str">
        <f t="shared" si="70"/>
        <v/>
      </c>
      <c r="AM97" s="12" t="str">
        <f t="shared" si="71"/>
        <v/>
      </c>
      <c r="AN97" s="12" t="str">
        <f t="shared" si="72"/>
        <v/>
      </c>
      <c r="AO97" s="12" t="str">
        <f t="shared" si="73"/>
        <v/>
      </c>
      <c r="AP97" s="12" t="str">
        <f t="shared" si="74"/>
        <v/>
      </c>
    </row>
    <row r="98" spans="1:42">
      <c r="A98" s="9">
        <f t="shared" si="75"/>
        <v>43123.773692129631</v>
      </c>
      <c r="B98" s="22">
        <f t="shared" si="76"/>
        <v>2458142.2736921296</v>
      </c>
      <c r="C98" s="23">
        <f t="shared" si="51"/>
        <v>9.1894632832716763</v>
      </c>
      <c r="D98" s="24">
        <f t="shared" ca="1" si="52"/>
        <v>5.824319793458458E-2</v>
      </c>
      <c r="E98" s="24">
        <f t="shared" si="77"/>
        <v>1.9946300662528966E-2</v>
      </c>
      <c r="F98" s="25">
        <f t="shared" si="53"/>
        <v>10.916854580757374</v>
      </c>
      <c r="G98" s="7">
        <v>43123.773692129631</v>
      </c>
      <c r="H98" s="11">
        <v>2458142.2736920002</v>
      </c>
      <c r="I98" s="11">
        <v>-13.110559527476299</v>
      </c>
      <c r="J98" s="11">
        <v>-11.3831682299906</v>
      </c>
      <c r="K98" s="11">
        <v>-13.747115838299001</v>
      </c>
      <c r="L98" s="11">
        <v>-12.617792664053701</v>
      </c>
      <c r="M98" s="11">
        <v>-12.8636761007693</v>
      </c>
      <c r="N98" s="11">
        <v>-12.4065066398699</v>
      </c>
      <c r="O98" s="11"/>
      <c r="P98" s="11"/>
      <c r="Q98" s="11"/>
      <c r="R98" s="11"/>
      <c r="S98" s="11"/>
      <c r="T98" s="12"/>
      <c r="U98" s="12">
        <f t="shared" si="54"/>
        <v>4</v>
      </c>
      <c r="V98" s="28">
        <f t="shared" ca="1" si="55"/>
        <v>5.84</v>
      </c>
      <c r="W98" s="28">
        <f t="shared" si="56"/>
        <v>1.9946300662528966E-2</v>
      </c>
      <c r="X98" s="12">
        <f t="shared" si="57"/>
        <v>9.1625563108227013</v>
      </c>
      <c r="Y98" s="12">
        <f t="shared" si="58"/>
        <v>9.1862331365774015</v>
      </c>
      <c r="Z98" s="12">
        <f t="shared" si="59"/>
        <v>9.2061165732930004</v>
      </c>
      <c r="AA98" s="12">
        <f t="shared" si="60"/>
        <v>9.2029471123936002</v>
      </c>
      <c r="AB98" s="12" t="str">
        <f t="shared" si="61"/>
        <v/>
      </c>
      <c r="AC98" s="12" t="str">
        <f t="shared" si="62"/>
        <v/>
      </c>
      <c r="AD98" s="12" t="str">
        <f t="shared" si="63"/>
        <v/>
      </c>
      <c r="AE98" s="12" t="str">
        <f t="shared" si="64"/>
        <v/>
      </c>
      <c r="AF98" s="12" t="str">
        <f t="shared" si="65"/>
        <v/>
      </c>
      <c r="AG98" s="12"/>
      <c r="AH98" s="12">
        <f t="shared" si="66"/>
        <v>10.8899476083084</v>
      </c>
      <c r="AI98" s="12">
        <f t="shared" si="67"/>
        <v>10.913624434063101</v>
      </c>
      <c r="AJ98" s="12">
        <f t="shared" si="68"/>
        <v>10.933507870778699</v>
      </c>
      <c r="AK98" s="12">
        <f t="shared" si="69"/>
        <v>10.930338409879299</v>
      </c>
      <c r="AL98" s="12" t="str">
        <f t="shared" si="70"/>
        <v/>
      </c>
      <c r="AM98" s="12" t="str">
        <f t="shared" si="71"/>
        <v/>
      </c>
      <c r="AN98" s="12" t="str">
        <f t="shared" si="72"/>
        <v/>
      </c>
      <c r="AO98" s="12" t="str">
        <f t="shared" si="73"/>
        <v/>
      </c>
      <c r="AP98" s="12" t="str">
        <f t="shared" si="74"/>
        <v/>
      </c>
    </row>
    <row r="99" spans="1:42">
      <c r="A99" s="9">
        <f t="shared" si="75"/>
        <v>43123.77412037037</v>
      </c>
      <c r="B99" s="22">
        <f t="shared" si="76"/>
        <v>2458142.2741203704</v>
      </c>
      <c r="C99" s="23">
        <f t="shared" si="51"/>
        <v>9.2093625318425492</v>
      </c>
      <c r="D99" s="24">
        <f t="shared" ca="1" si="52"/>
        <v>7.1680881148445633E-2</v>
      </c>
      <c r="E99" s="24">
        <f t="shared" si="77"/>
        <v>2.4548246968645767E-2</v>
      </c>
      <c r="F99" s="25">
        <f t="shared" si="53"/>
        <v>10.926507665716152</v>
      </c>
      <c r="G99" s="7">
        <v>43123.77412037037</v>
      </c>
      <c r="H99" s="11">
        <v>2458142.2741200002</v>
      </c>
      <c r="I99" s="11">
        <v>-13.0908120996391</v>
      </c>
      <c r="J99" s="11">
        <v>-11.3736669657655</v>
      </c>
      <c r="K99" s="11">
        <v>-13.7398511920549</v>
      </c>
      <c r="L99" s="11">
        <v>-12.620059418815</v>
      </c>
      <c r="M99" s="11">
        <v>-12.865422191959601</v>
      </c>
      <c r="N99" s="11">
        <v>-12.410365723097099</v>
      </c>
      <c r="O99" s="11"/>
      <c r="P99" s="11"/>
      <c r="Q99" s="11"/>
      <c r="R99" s="11"/>
      <c r="S99" s="11"/>
      <c r="T99" s="12"/>
      <c r="U99" s="12">
        <f t="shared" si="54"/>
        <v>4</v>
      </c>
      <c r="V99" s="28">
        <f t="shared" ca="1" si="55"/>
        <v>5.84</v>
      </c>
      <c r="W99" s="28">
        <f t="shared" si="56"/>
        <v>2.4548246968645767E-2</v>
      </c>
      <c r="X99" s="12">
        <f t="shared" si="57"/>
        <v>9.1750390924157994</v>
      </c>
      <c r="Y99" s="12">
        <f t="shared" si="58"/>
        <v>9.2082473191759</v>
      </c>
      <c r="Z99" s="12">
        <f t="shared" si="59"/>
        <v>9.2276100923205</v>
      </c>
      <c r="AA99" s="12">
        <f t="shared" si="60"/>
        <v>9.226553623457999</v>
      </c>
      <c r="AB99" s="12" t="str">
        <f t="shared" si="61"/>
        <v/>
      </c>
      <c r="AC99" s="12" t="str">
        <f t="shared" si="62"/>
        <v/>
      </c>
      <c r="AD99" s="12" t="str">
        <f t="shared" si="63"/>
        <v/>
      </c>
      <c r="AE99" s="12" t="str">
        <f t="shared" si="64"/>
        <v/>
      </c>
      <c r="AF99" s="12" t="str">
        <f t="shared" si="65"/>
        <v/>
      </c>
      <c r="AG99" s="12"/>
      <c r="AH99" s="12">
        <f t="shared" si="66"/>
        <v>10.8921842262894</v>
      </c>
      <c r="AI99" s="12">
        <f t="shared" si="67"/>
        <v>10.925392453049501</v>
      </c>
      <c r="AJ99" s="12">
        <f t="shared" si="68"/>
        <v>10.944755226194101</v>
      </c>
      <c r="AK99" s="12">
        <f t="shared" si="69"/>
        <v>10.9436987573316</v>
      </c>
      <c r="AL99" s="12" t="str">
        <f t="shared" si="70"/>
        <v/>
      </c>
      <c r="AM99" s="12" t="str">
        <f t="shared" si="71"/>
        <v/>
      </c>
      <c r="AN99" s="12" t="str">
        <f t="shared" si="72"/>
        <v/>
      </c>
      <c r="AO99" s="12" t="str">
        <f t="shared" si="73"/>
        <v/>
      </c>
      <c r="AP99" s="12" t="str">
        <f t="shared" si="74"/>
        <v/>
      </c>
    </row>
    <row r="100" spans="1:42">
      <c r="A100" s="9">
        <f t="shared" si="75"/>
        <v>43123.774537037039</v>
      </c>
      <c r="B100" s="22">
        <f t="shared" si="76"/>
        <v>2458142.2745370371</v>
      </c>
      <c r="C100" s="23">
        <f t="shared" si="51"/>
        <v>9.218903631020023</v>
      </c>
      <c r="D100" s="24">
        <f t="shared" ca="1" si="52"/>
        <v>6.3495367378495302E-2</v>
      </c>
      <c r="E100" s="24">
        <f t="shared" si="77"/>
        <v>2.1744988828251818E-2</v>
      </c>
      <c r="F100" s="25">
        <f t="shared" si="53"/>
        <v>10.917688695857823</v>
      </c>
      <c r="G100" s="7">
        <v>43123.774537037039</v>
      </c>
      <c r="H100" s="11">
        <v>2458142.2745369999</v>
      </c>
      <c r="I100" s="11">
        <v>-13.078255634995701</v>
      </c>
      <c r="J100" s="11">
        <v>-11.379470570157901</v>
      </c>
      <c r="K100" s="11">
        <v>-13.7388270266111</v>
      </c>
      <c r="L100" s="11">
        <v>-12.627750921136901</v>
      </c>
      <c r="M100" s="11">
        <v>-12.8588905831324</v>
      </c>
      <c r="N100" s="11">
        <v>-12.398168533182499</v>
      </c>
      <c r="O100" s="11"/>
      <c r="P100" s="11"/>
      <c r="Q100" s="11"/>
      <c r="R100" s="11"/>
      <c r="S100" s="11"/>
      <c r="T100" s="12"/>
      <c r="U100" s="12">
        <f t="shared" si="54"/>
        <v>4</v>
      </c>
      <c r="V100" s="28">
        <f t="shared" ca="1" si="55"/>
        <v>5.84</v>
      </c>
      <c r="W100" s="28">
        <f t="shared" si="56"/>
        <v>2.1744988828251818E-2</v>
      </c>
      <c r="X100" s="12">
        <f t="shared" si="57"/>
        <v>9.1865713916153986</v>
      </c>
      <c r="Y100" s="12">
        <f t="shared" si="58"/>
        <v>9.2284952861412002</v>
      </c>
      <c r="Z100" s="12">
        <f t="shared" si="59"/>
        <v>9.2336349481366984</v>
      </c>
      <c r="AA100" s="12">
        <f t="shared" si="60"/>
        <v>9.2269128981867983</v>
      </c>
      <c r="AB100" s="12" t="str">
        <f t="shared" si="61"/>
        <v/>
      </c>
      <c r="AC100" s="12" t="str">
        <f t="shared" si="62"/>
        <v/>
      </c>
      <c r="AD100" s="12" t="str">
        <f t="shared" si="63"/>
        <v/>
      </c>
      <c r="AE100" s="12" t="str">
        <f t="shared" si="64"/>
        <v/>
      </c>
      <c r="AF100" s="12" t="str">
        <f t="shared" si="65"/>
        <v/>
      </c>
      <c r="AG100" s="12"/>
      <c r="AH100" s="12">
        <f t="shared" si="66"/>
        <v>10.885356456453199</v>
      </c>
      <c r="AI100" s="12">
        <f t="shared" si="67"/>
        <v>10.927280350979</v>
      </c>
      <c r="AJ100" s="12">
        <f t="shared" si="68"/>
        <v>10.932420012974498</v>
      </c>
      <c r="AK100" s="12">
        <f t="shared" si="69"/>
        <v>10.925697963024598</v>
      </c>
      <c r="AL100" s="12" t="str">
        <f t="shared" si="70"/>
        <v/>
      </c>
      <c r="AM100" s="12" t="str">
        <f t="shared" si="71"/>
        <v/>
      </c>
      <c r="AN100" s="12" t="str">
        <f t="shared" si="72"/>
        <v/>
      </c>
      <c r="AO100" s="12" t="str">
        <f t="shared" si="73"/>
        <v/>
      </c>
      <c r="AP100" s="12" t="str">
        <f t="shared" si="74"/>
        <v/>
      </c>
    </row>
    <row r="101" spans="1:42">
      <c r="A101" s="9">
        <f t="shared" si="75"/>
        <v>43123.774953703702</v>
      </c>
      <c r="B101" s="22">
        <f t="shared" si="76"/>
        <v>2458142.2749537039</v>
      </c>
      <c r="C101" s="23">
        <f t="shared" si="51"/>
        <v>9.2164629227419503</v>
      </c>
      <c r="D101" s="24">
        <f t="shared" ca="1" si="52"/>
        <v>6.7440416549742949E-2</v>
      </c>
      <c r="E101" s="24">
        <f t="shared" si="77"/>
        <v>2.309603306498046E-2</v>
      </c>
      <c r="F101" s="25">
        <f t="shared" si="53"/>
        <v>10.932145309873949</v>
      </c>
      <c r="G101" s="7">
        <v>43123.774953703702</v>
      </c>
      <c r="H101" s="11">
        <v>2458142.274954</v>
      </c>
      <c r="I101" s="11">
        <v>-13.078677564339699</v>
      </c>
      <c r="J101" s="11">
        <v>-11.362995177207701</v>
      </c>
      <c r="K101" s="11">
        <v>-13.7354966351601</v>
      </c>
      <c r="L101" s="11">
        <v>-12.620947049423</v>
      </c>
      <c r="M101" s="11">
        <v>-12.8527202660764</v>
      </c>
      <c r="N101" s="11">
        <v>-12.406397997667099</v>
      </c>
      <c r="O101" s="11"/>
      <c r="P101" s="11"/>
      <c r="Q101" s="11"/>
      <c r="R101" s="11"/>
      <c r="S101" s="11"/>
      <c r="T101" s="12"/>
      <c r="U101" s="12">
        <f t="shared" si="54"/>
        <v>4</v>
      </c>
      <c r="V101" s="28">
        <f t="shared" ca="1" si="55"/>
        <v>5.84</v>
      </c>
      <c r="W101" s="28">
        <f t="shared" si="56"/>
        <v>2.309603306498046E-2</v>
      </c>
      <c r="X101" s="12">
        <f t="shared" si="57"/>
        <v>9.1828190708204005</v>
      </c>
      <c r="Y101" s="12">
        <f t="shared" si="58"/>
        <v>9.221269485083301</v>
      </c>
      <c r="Z101" s="12">
        <f t="shared" si="59"/>
        <v>9.2270427017366998</v>
      </c>
      <c r="AA101" s="12">
        <f t="shared" si="60"/>
        <v>9.2347204333274</v>
      </c>
      <c r="AB101" s="12" t="str">
        <f t="shared" si="61"/>
        <v/>
      </c>
      <c r="AC101" s="12" t="str">
        <f t="shared" si="62"/>
        <v/>
      </c>
      <c r="AD101" s="12" t="str">
        <f t="shared" si="63"/>
        <v/>
      </c>
      <c r="AE101" s="12" t="str">
        <f t="shared" si="64"/>
        <v/>
      </c>
      <c r="AF101" s="12" t="str">
        <f t="shared" si="65"/>
        <v/>
      </c>
      <c r="AG101" s="12"/>
      <c r="AH101" s="12">
        <f t="shared" si="66"/>
        <v>10.898501457952399</v>
      </c>
      <c r="AI101" s="12">
        <f t="shared" si="67"/>
        <v>10.9369518722153</v>
      </c>
      <c r="AJ101" s="12">
        <f t="shared" si="68"/>
        <v>10.942725088868698</v>
      </c>
      <c r="AK101" s="12">
        <f t="shared" si="69"/>
        <v>10.950402820459399</v>
      </c>
      <c r="AL101" s="12" t="str">
        <f t="shared" si="70"/>
        <v/>
      </c>
      <c r="AM101" s="12" t="str">
        <f t="shared" si="71"/>
        <v/>
      </c>
      <c r="AN101" s="12" t="str">
        <f t="shared" si="72"/>
        <v/>
      </c>
      <c r="AO101" s="12" t="str">
        <f t="shared" si="73"/>
        <v/>
      </c>
      <c r="AP101" s="12" t="str">
        <f t="shared" si="74"/>
        <v/>
      </c>
    </row>
    <row r="102" spans="1:42">
      <c r="A102" s="9">
        <f t="shared" si="75"/>
        <v>43123.775381944448</v>
      </c>
      <c r="B102" s="22">
        <f t="shared" si="76"/>
        <v>2458142.2753819446</v>
      </c>
      <c r="C102" s="23">
        <f t="shared" si="51"/>
        <v>9.2268205538257249</v>
      </c>
      <c r="D102" s="24">
        <f t="shared" ca="1" si="52"/>
        <v>5.8510410020236769E-2</v>
      </c>
      <c r="E102" s="24">
        <f t="shared" si="77"/>
        <v>2.0037811650766017E-2</v>
      </c>
      <c r="F102" s="25">
        <f t="shared" si="53"/>
        <v>10.908252746944125</v>
      </c>
      <c r="G102" s="7">
        <v>43123.775381944448</v>
      </c>
      <c r="H102" s="11">
        <v>2458142.275382</v>
      </c>
      <c r="I102" s="11">
        <v>-13.0625456584437</v>
      </c>
      <c r="J102" s="11">
        <v>-11.381113465325299</v>
      </c>
      <c r="K102" s="11">
        <v>-13.733879814943201</v>
      </c>
      <c r="L102" s="11">
        <v>-12.615490237387499</v>
      </c>
      <c r="M102" s="11">
        <v>-12.8510046159829</v>
      </c>
      <c r="N102" s="11">
        <v>-12.3920901807641</v>
      </c>
      <c r="O102" s="11"/>
      <c r="P102" s="11"/>
      <c r="Q102" s="11"/>
      <c r="R102" s="11"/>
      <c r="S102" s="11"/>
      <c r="T102" s="12"/>
      <c r="U102" s="12">
        <f t="shared" si="54"/>
        <v>4</v>
      </c>
      <c r="V102" s="28">
        <f t="shared" ca="1" si="55"/>
        <v>5.84</v>
      </c>
      <c r="W102" s="28">
        <f t="shared" si="56"/>
        <v>2.0037811650766017E-2</v>
      </c>
      <c r="X102" s="12">
        <f t="shared" si="57"/>
        <v>9.197334156499501</v>
      </c>
      <c r="Y102" s="12">
        <f t="shared" si="58"/>
        <v>9.2319445789437999</v>
      </c>
      <c r="Z102" s="12">
        <f t="shared" si="59"/>
        <v>9.2414589575391997</v>
      </c>
      <c r="AA102" s="12">
        <f t="shared" si="60"/>
        <v>9.2365445223204006</v>
      </c>
      <c r="AB102" s="12" t="str">
        <f t="shared" si="61"/>
        <v/>
      </c>
      <c r="AC102" s="12" t="str">
        <f t="shared" si="62"/>
        <v/>
      </c>
      <c r="AD102" s="12" t="str">
        <f t="shared" si="63"/>
        <v/>
      </c>
      <c r="AE102" s="12" t="str">
        <f t="shared" si="64"/>
        <v/>
      </c>
      <c r="AF102" s="12" t="str">
        <f t="shared" si="65"/>
        <v/>
      </c>
      <c r="AG102" s="12"/>
      <c r="AH102" s="12">
        <f t="shared" si="66"/>
        <v>10.878766349617901</v>
      </c>
      <c r="AI102" s="12">
        <f t="shared" si="67"/>
        <v>10.9133767720622</v>
      </c>
      <c r="AJ102" s="12">
        <f t="shared" si="68"/>
        <v>10.9228911506576</v>
      </c>
      <c r="AK102" s="12">
        <f t="shared" si="69"/>
        <v>10.917976715438801</v>
      </c>
      <c r="AL102" s="12" t="str">
        <f t="shared" si="70"/>
        <v/>
      </c>
      <c r="AM102" s="12" t="str">
        <f t="shared" si="71"/>
        <v/>
      </c>
      <c r="AN102" s="12" t="str">
        <f t="shared" si="72"/>
        <v/>
      </c>
      <c r="AO102" s="12" t="str">
        <f t="shared" si="73"/>
        <v/>
      </c>
      <c r="AP102" s="12" t="str">
        <f t="shared" si="74"/>
        <v/>
      </c>
    </row>
    <row r="103" spans="1:42">
      <c r="A103" s="9">
        <f t="shared" si="75"/>
        <v>43123.77579861111</v>
      </c>
      <c r="B103" s="22">
        <f t="shared" si="76"/>
        <v>2458142.2757986113</v>
      </c>
      <c r="C103" s="23">
        <f t="shared" si="51"/>
        <v>9.2284826046620996</v>
      </c>
      <c r="D103" s="24">
        <f t="shared" ca="1" si="52"/>
        <v>6.5260719041742771E-2</v>
      </c>
      <c r="E103" s="24">
        <f t="shared" si="77"/>
        <v>2.2349561315665335E-2</v>
      </c>
      <c r="F103" s="25">
        <f t="shared" si="53"/>
        <v>10.905349202297199</v>
      </c>
      <c r="G103" s="7">
        <v>43123.77579861111</v>
      </c>
      <c r="H103" s="11">
        <v>2458142.2757990002</v>
      </c>
      <c r="I103" s="11">
        <v>-13.0613944594253</v>
      </c>
      <c r="J103" s="11">
        <v>-11.3845278617902</v>
      </c>
      <c r="K103" s="11">
        <v>-13.7304289544514</v>
      </c>
      <c r="L103" s="11">
        <v>-12.6220329102851</v>
      </c>
      <c r="M103" s="11">
        <v>-12.846178307490399</v>
      </c>
      <c r="N103" s="11">
        <v>-12.3958680841227</v>
      </c>
      <c r="O103" s="11"/>
      <c r="P103" s="11"/>
      <c r="Q103" s="11"/>
      <c r="R103" s="11"/>
      <c r="S103" s="11"/>
      <c r="T103" s="12"/>
      <c r="U103" s="12">
        <f t="shared" si="54"/>
        <v>4</v>
      </c>
      <c r="V103" s="28">
        <f t="shared" ca="1" si="55"/>
        <v>5.84</v>
      </c>
      <c r="W103" s="28">
        <f t="shared" si="56"/>
        <v>2.2349561315665335E-2</v>
      </c>
      <c r="X103" s="12">
        <f t="shared" si="57"/>
        <v>9.1950344950260998</v>
      </c>
      <c r="Y103" s="12">
        <f t="shared" si="58"/>
        <v>9.2396384508598004</v>
      </c>
      <c r="Z103" s="12">
        <f t="shared" si="59"/>
        <v>9.2377838480650993</v>
      </c>
      <c r="AA103" s="12">
        <f t="shared" si="60"/>
        <v>9.2414736246974005</v>
      </c>
      <c r="AB103" s="12" t="str">
        <f t="shared" si="61"/>
        <v/>
      </c>
      <c r="AC103" s="12" t="str">
        <f t="shared" si="62"/>
        <v/>
      </c>
      <c r="AD103" s="12" t="str">
        <f t="shared" si="63"/>
        <v/>
      </c>
      <c r="AE103" s="12" t="str">
        <f t="shared" si="64"/>
        <v/>
      </c>
      <c r="AF103" s="12" t="str">
        <f t="shared" si="65"/>
        <v/>
      </c>
      <c r="AG103" s="12"/>
      <c r="AH103" s="12">
        <f t="shared" si="66"/>
        <v>10.871901092661199</v>
      </c>
      <c r="AI103" s="12">
        <f t="shared" si="67"/>
        <v>10.9165050484949</v>
      </c>
      <c r="AJ103" s="12">
        <f t="shared" si="68"/>
        <v>10.914650445700198</v>
      </c>
      <c r="AK103" s="12">
        <f t="shared" si="69"/>
        <v>10.9183402223325</v>
      </c>
      <c r="AL103" s="12" t="str">
        <f t="shared" si="70"/>
        <v/>
      </c>
      <c r="AM103" s="12" t="str">
        <f t="shared" si="71"/>
        <v/>
      </c>
      <c r="AN103" s="12" t="str">
        <f t="shared" si="72"/>
        <v/>
      </c>
      <c r="AO103" s="12" t="str">
        <f t="shared" si="73"/>
        <v/>
      </c>
      <c r="AP103" s="12" t="str">
        <f t="shared" si="74"/>
        <v/>
      </c>
    </row>
    <row r="104" spans="1:42">
      <c r="A104" s="9">
        <f t="shared" si="75"/>
        <v>43123.77621527778</v>
      </c>
      <c r="B104" s="22">
        <f t="shared" si="76"/>
        <v>2458142.2762152776</v>
      </c>
      <c r="C104" s="23">
        <f t="shared" si="51"/>
        <v>9.2411251188572745</v>
      </c>
      <c r="D104" s="24">
        <f t="shared" ca="1" si="52"/>
        <v>5.6306909860828043E-2</v>
      </c>
      <c r="E104" s="24">
        <f t="shared" si="77"/>
        <v>1.9283188308502754E-2</v>
      </c>
      <c r="F104" s="25">
        <f t="shared" si="53"/>
        <v>10.934332664249677</v>
      </c>
      <c r="G104" s="7">
        <v>43123.77621527778</v>
      </c>
      <c r="H104" s="11">
        <v>2458142.2762150001</v>
      </c>
      <c r="I104" s="11">
        <v>-13.0636691557256</v>
      </c>
      <c r="J104" s="11">
        <v>-11.3704616103332</v>
      </c>
      <c r="K104" s="11">
        <v>-13.750258714032199</v>
      </c>
      <c r="L104" s="11">
        <v>-12.631505114721101</v>
      </c>
      <c r="M104" s="11">
        <v>-12.865225076272599</v>
      </c>
      <c r="N104" s="11">
        <v>-12.407188193305601</v>
      </c>
      <c r="O104" s="11"/>
      <c r="P104" s="11"/>
      <c r="Q104" s="11"/>
      <c r="R104" s="11"/>
      <c r="S104" s="11"/>
      <c r="T104" s="12"/>
      <c r="U104" s="12">
        <f t="shared" si="54"/>
        <v>4</v>
      </c>
      <c r="V104" s="28">
        <f t="shared" ca="1" si="55"/>
        <v>5.84</v>
      </c>
      <c r="W104" s="28">
        <f t="shared" si="56"/>
        <v>1.9283188308502754E-2</v>
      </c>
      <c r="X104" s="12">
        <f t="shared" si="57"/>
        <v>9.2125895583065986</v>
      </c>
      <c r="Y104" s="12">
        <f t="shared" si="58"/>
        <v>9.2468359589955007</v>
      </c>
      <c r="Z104" s="12">
        <f t="shared" si="59"/>
        <v>9.2545559205469985</v>
      </c>
      <c r="AA104" s="12">
        <f t="shared" si="60"/>
        <v>9.2505190375800002</v>
      </c>
      <c r="AB104" s="12" t="str">
        <f t="shared" si="61"/>
        <v/>
      </c>
      <c r="AC104" s="12" t="str">
        <f t="shared" si="62"/>
        <v/>
      </c>
      <c r="AD104" s="12" t="str">
        <f t="shared" si="63"/>
        <v/>
      </c>
      <c r="AE104" s="12" t="str">
        <f t="shared" si="64"/>
        <v/>
      </c>
      <c r="AF104" s="12" t="str">
        <f t="shared" si="65"/>
        <v/>
      </c>
      <c r="AG104" s="12"/>
      <c r="AH104" s="12">
        <f t="shared" si="66"/>
        <v>10.905797103698999</v>
      </c>
      <c r="AI104" s="12">
        <f t="shared" si="67"/>
        <v>10.940043504387901</v>
      </c>
      <c r="AJ104" s="12">
        <f t="shared" si="68"/>
        <v>10.947763465939399</v>
      </c>
      <c r="AK104" s="12">
        <f t="shared" si="69"/>
        <v>10.943726582972401</v>
      </c>
      <c r="AL104" s="12" t="str">
        <f t="shared" si="70"/>
        <v/>
      </c>
      <c r="AM104" s="12" t="str">
        <f t="shared" si="71"/>
        <v/>
      </c>
      <c r="AN104" s="12" t="str">
        <f t="shared" si="72"/>
        <v/>
      </c>
      <c r="AO104" s="12" t="str">
        <f t="shared" si="73"/>
        <v/>
      </c>
      <c r="AP104" s="12" t="str">
        <f t="shared" si="74"/>
        <v/>
      </c>
    </row>
    <row r="105" spans="1:42">
      <c r="A105" s="9">
        <f t="shared" si="75"/>
        <v>43123.776643518519</v>
      </c>
      <c r="B105" s="22">
        <f t="shared" si="76"/>
        <v>2458142.2766435184</v>
      </c>
      <c r="C105" s="23">
        <f t="shared" si="51"/>
        <v>9.2327672506243239</v>
      </c>
      <c r="D105" s="24">
        <f t="shared" ca="1" si="52"/>
        <v>6.4179941754088768E-2</v>
      </c>
      <c r="E105" s="24">
        <f t="shared" si="77"/>
        <v>2.1979432107564645E-2</v>
      </c>
      <c r="F105" s="25">
        <f t="shared" si="53"/>
        <v>10.934053121596124</v>
      </c>
      <c r="G105" s="7">
        <v>43123.776643518519</v>
      </c>
      <c r="H105" s="11">
        <v>2458142.2766439999</v>
      </c>
      <c r="I105" s="11">
        <v>-13.0726422988477</v>
      </c>
      <c r="J105" s="11">
        <v>-11.371356427875901</v>
      </c>
      <c r="K105" s="11">
        <v>-13.7472775542081</v>
      </c>
      <c r="L105" s="11">
        <v>-12.632211332162001</v>
      </c>
      <c r="M105" s="11">
        <v>-12.8613014568287</v>
      </c>
      <c r="N105" s="11">
        <v>-12.4158478546893</v>
      </c>
      <c r="O105" s="11"/>
      <c r="P105" s="11"/>
      <c r="Q105" s="11"/>
      <c r="R105" s="11"/>
      <c r="S105" s="11"/>
      <c r="T105" s="12"/>
      <c r="U105" s="12">
        <f t="shared" si="54"/>
        <v>4</v>
      </c>
      <c r="V105" s="28">
        <f t="shared" ca="1" si="55"/>
        <v>5.84</v>
      </c>
      <c r="W105" s="28">
        <f t="shared" si="56"/>
        <v>2.1979432107564645E-2</v>
      </c>
      <c r="X105" s="12">
        <f t="shared" si="57"/>
        <v>9.2006352553603996</v>
      </c>
      <c r="Y105" s="12">
        <f t="shared" si="58"/>
        <v>9.2385690333143007</v>
      </c>
      <c r="Z105" s="12">
        <f t="shared" si="59"/>
        <v>9.2416591579809992</v>
      </c>
      <c r="AA105" s="12">
        <f t="shared" si="60"/>
        <v>9.2502055558415996</v>
      </c>
      <c r="AB105" s="12" t="str">
        <f t="shared" si="61"/>
        <v/>
      </c>
      <c r="AC105" s="12" t="str">
        <f t="shared" si="62"/>
        <v/>
      </c>
      <c r="AD105" s="12" t="str">
        <f t="shared" si="63"/>
        <v/>
      </c>
      <c r="AE105" s="12" t="str">
        <f t="shared" si="64"/>
        <v/>
      </c>
      <c r="AF105" s="12" t="str">
        <f t="shared" si="65"/>
        <v/>
      </c>
      <c r="AG105" s="12"/>
      <c r="AH105" s="12">
        <f t="shared" si="66"/>
        <v>10.9019211263322</v>
      </c>
      <c r="AI105" s="12">
        <f t="shared" si="67"/>
        <v>10.939854904286101</v>
      </c>
      <c r="AJ105" s="12">
        <f t="shared" si="68"/>
        <v>10.942945028952799</v>
      </c>
      <c r="AK105" s="12">
        <f t="shared" si="69"/>
        <v>10.9514914268134</v>
      </c>
      <c r="AL105" s="12" t="str">
        <f t="shared" si="70"/>
        <v/>
      </c>
      <c r="AM105" s="12" t="str">
        <f t="shared" si="71"/>
        <v/>
      </c>
      <c r="AN105" s="12" t="str">
        <f t="shared" si="72"/>
        <v/>
      </c>
      <c r="AO105" s="12" t="str">
        <f t="shared" si="73"/>
        <v/>
      </c>
      <c r="AP105" s="12" t="str">
        <f t="shared" si="74"/>
        <v/>
      </c>
    </row>
    <row r="106" spans="1:42">
      <c r="A106" s="9">
        <f t="shared" si="75"/>
        <v>43123.777060185188</v>
      </c>
      <c r="B106" s="22">
        <f t="shared" si="76"/>
        <v>2458142.2770601851</v>
      </c>
      <c r="C106" s="23">
        <f t="shared" si="51"/>
        <v>9.2368681718750238</v>
      </c>
      <c r="D106" s="24">
        <f t="shared" ca="1" si="52"/>
        <v>4.9881819492250276E-2</v>
      </c>
      <c r="E106" s="24">
        <f t="shared" si="77"/>
        <v>1.7082814894606259E-2</v>
      </c>
      <c r="F106" s="25">
        <f t="shared" si="53"/>
        <v>10.911844098463625</v>
      </c>
      <c r="G106" s="7">
        <v>43123.777060185188</v>
      </c>
      <c r="H106" s="11">
        <v>2458142.2770600002</v>
      </c>
      <c r="I106" s="11">
        <v>-13.073106514629201</v>
      </c>
      <c r="J106" s="11">
        <v>-11.398130588040599</v>
      </c>
      <c r="K106" s="11">
        <v>-13.7584232438904</v>
      </c>
      <c r="L106" s="11">
        <v>-12.6406264395647</v>
      </c>
      <c r="M106" s="11">
        <v>-12.8661564146836</v>
      </c>
      <c r="N106" s="11">
        <v>-12.409692647878201</v>
      </c>
      <c r="O106" s="11"/>
      <c r="P106" s="11"/>
      <c r="Q106" s="11"/>
      <c r="R106" s="11"/>
      <c r="S106" s="11"/>
      <c r="T106" s="12"/>
      <c r="U106" s="12">
        <f t="shared" si="54"/>
        <v>4</v>
      </c>
      <c r="V106" s="28">
        <f t="shared" ca="1" si="55"/>
        <v>5.84</v>
      </c>
      <c r="W106" s="28">
        <f t="shared" si="56"/>
        <v>1.7082814894606259E-2</v>
      </c>
      <c r="X106" s="12">
        <f t="shared" si="57"/>
        <v>9.211316729261199</v>
      </c>
      <c r="Y106" s="12">
        <f t="shared" si="58"/>
        <v>9.2465199249354999</v>
      </c>
      <c r="Z106" s="12">
        <f t="shared" si="59"/>
        <v>9.2460499000543983</v>
      </c>
      <c r="AA106" s="12">
        <f t="shared" si="60"/>
        <v>9.2435861332489999</v>
      </c>
      <c r="AB106" s="12" t="str">
        <f t="shared" si="61"/>
        <v/>
      </c>
      <c r="AC106" s="12" t="str">
        <f t="shared" si="62"/>
        <v/>
      </c>
      <c r="AD106" s="12" t="str">
        <f t="shared" si="63"/>
        <v/>
      </c>
      <c r="AE106" s="12" t="str">
        <f t="shared" si="64"/>
        <v/>
      </c>
      <c r="AF106" s="12" t="str">
        <f t="shared" si="65"/>
        <v/>
      </c>
      <c r="AG106" s="12"/>
      <c r="AH106" s="12">
        <f t="shared" si="66"/>
        <v>10.8862926558498</v>
      </c>
      <c r="AI106" s="12">
        <f t="shared" si="67"/>
        <v>10.921495851524101</v>
      </c>
      <c r="AJ106" s="12">
        <f t="shared" si="68"/>
        <v>10.921025826643</v>
      </c>
      <c r="AK106" s="12">
        <f t="shared" si="69"/>
        <v>10.918562059837601</v>
      </c>
      <c r="AL106" s="12" t="str">
        <f t="shared" si="70"/>
        <v/>
      </c>
      <c r="AM106" s="12" t="str">
        <f t="shared" si="71"/>
        <v/>
      </c>
      <c r="AN106" s="12" t="str">
        <f t="shared" si="72"/>
        <v/>
      </c>
      <c r="AO106" s="12" t="str">
        <f t="shared" si="73"/>
        <v/>
      </c>
      <c r="AP106" s="12" t="str">
        <f t="shared" si="74"/>
        <v/>
      </c>
    </row>
    <row r="107" spans="1:42">
      <c r="A107" s="9">
        <f t="shared" si="75"/>
        <v>43123.77747685185</v>
      </c>
      <c r="B107" s="22">
        <f t="shared" si="76"/>
        <v>2458142.2774768518</v>
      </c>
      <c r="C107" s="23">
        <f t="shared" si="51"/>
        <v>9.2477600054889244</v>
      </c>
      <c r="D107" s="24">
        <f t="shared" ca="1" si="52"/>
        <v>5.6562733959518503E-2</v>
      </c>
      <c r="E107" s="24">
        <f t="shared" si="77"/>
        <v>1.9370799301204968E-2</v>
      </c>
      <c r="F107" s="25">
        <f t="shared" si="53"/>
        <v>10.887534007801026</v>
      </c>
      <c r="G107" s="7">
        <v>43123.77747685185</v>
      </c>
      <c r="H107" s="11">
        <v>2458142.2774769999</v>
      </c>
      <c r="I107" s="11">
        <v>-13.0616444880248</v>
      </c>
      <c r="J107" s="11">
        <v>-11.4218704857127</v>
      </c>
      <c r="K107" s="11">
        <v>-13.7562875733992</v>
      </c>
      <c r="L107" s="11">
        <v>-12.6319535506221</v>
      </c>
      <c r="M107" s="11">
        <v>-12.874715578575801</v>
      </c>
      <c r="N107" s="11">
        <v>-12.4096612714578</v>
      </c>
      <c r="O107" s="11"/>
      <c r="P107" s="11"/>
      <c r="Q107" s="11"/>
      <c r="R107" s="11"/>
      <c r="S107" s="11"/>
      <c r="T107" s="12"/>
      <c r="U107" s="12">
        <f t="shared" si="54"/>
        <v>4</v>
      </c>
      <c r="V107" s="28">
        <f t="shared" ca="1" si="55"/>
        <v>5.84</v>
      </c>
      <c r="W107" s="28">
        <f t="shared" si="56"/>
        <v>1.9370799301204968E-2</v>
      </c>
      <c r="X107" s="12">
        <f t="shared" si="57"/>
        <v>9.2206430853743999</v>
      </c>
      <c r="Y107" s="12">
        <f t="shared" si="58"/>
        <v>9.2493090625973</v>
      </c>
      <c r="Z107" s="12">
        <f t="shared" si="59"/>
        <v>9.2660710905509998</v>
      </c>
      <c r="AA107" s="12">
        <f t="shared" si="60"/>
        <v>9.2550167834329997</v>
      </c>
      <c r="AB107" s="12" t="str">
        <f t="shared" si="61"/>
        <v/>
      </c>
      <c r="AC107" s="12" t="str">
        <f t="shared" si="62"/>
        <v/>
      </c>
      <c r="AD107" s="12" t="str">
        <f t="shared" si="63"/>
        <v/>
      </c>
      <c r="AE107" s="12" t="str">
        <f t="shared" si="64"/>
        <v/>
      </c>
      <c r="AF107" s="12" t="str">
        <f t="shared" si="65"/>
        <v/>
      </c>
      <c r="AG107" s="12"/>
      <c r="AH107" s="12">
        <f t="shared" si="66"/>
        <v>10.8604170876865</v>
      </c>
      <c r="AI107" s="12">
        <f t="shared" si="67"/>
        <v>10.8890830649094</v>
      </c>
      <c r="AJ107" s="12">
        <f t="shared" si="68"/>
        <v>10.9058450928631</v>
      </c>
      <c r="AK107" s="12">
        <f t="shared" si="69"/>
        <v>10.8947907857451</v>
      </c>
      <c r="AL107" s="12" t="str">
        <f t="shared" si="70"/>
        <v/>
      </c>
      <c r="AM107" s="12" t="str">
        <f t="shared" si="71"/>
        <v/>
      </c>
      <c r="AN107" s="12" t="str">
        <f t="shared" si="72"/>
        <v/>
      </c>
      <c r="AO107" s="12" t="str">
        <f t="shared" si="73"/>
        <v/>
      </c>
      <c r="AP107" s="12" t="str">
        <f t="shared" si="74"/>
        <v/>
      </c>
    </row>
    <row r="108" spans="1:42">
      <c r="A108" s="9">
        <f t="shared" si="75"/>
        <v>43123.777905092589</v>
      </c>
      <c r="B108" s="22">
        <f t="shared" si="76"/>
        <v>2458142.2779050926</v>
      </c>
      <c r="C108" s="23">
        <f t="shared" si="51"/>
        <v>9.254035226331025</v>
      </c>
      <c r="D108" s="24">
        <f t="shared" ca="1" si="52"/>
        <v>4.799043776825266E-2</v>
      </c>
      <c r="E108" s="24">
        <f t="shared" si="77"/>
        <v>1.6435081427483789E-2</v>
      </c>
      <c r="F108" s="25">
        <f t="shared" si="53"/>
        <v>10.895648985608325</v>
      </c>
      <c r="G108" s="7">
        <v>43123.777905092589</v>
      </c>
      <c r="H108" s="11">
        <v>2458142.2779049999</v>
      </c>
      <c r="I108" s="11">
        <v>-13.0515891324753</v>
      </c>
      <c r="J108" s="11">
        <v>-11.409975373198</v>
      </c>
      <c r="K108" s="11">
        <v>-13.7551046107848</v>
      </c>
      <c r="L108" s="11">
        <v>-12.6333819923055</v>
      </c>
      <c r="M108" s="11">
        <v>-12.863194453498</v>
      </c>
      <c r="N108" s="11">
        <v>-12.405816378637001</v>
      </c>
      <c r="O108" s="11"/>
      <c r="P108" s="11"/>
      <c r="Q108" s="11"/>
      <c r="R108" s="11"/>
      <c r="S108" s="11"/>
      <c r="T108" s="12"/>
      <c r="U108" s="12">
        <f t="shared" si="54"/>
        <v>4</v>
      </c>
      <c r="V108" s="28">
        <f t="shared" ca="1" si="55"/>
        <v>5.84</v>
      </c>
      <c r="W108" s="28">
        <f t="shared" si="56"/>
        <v>1.6435081427483789E-2</v>
      </c>
      <c r="X108" s="12">
        <f t="shared" si="57"/>
        <v>9.2295154783094997</v>
      </c>
      <c r="Y108" s="12">
        <f t="shared" si="58"/>
        <v>9.2607928598302003</v>
      </c>
      <c r="Z108" s="12">
        <f t="shared" si="59"/>
        <v>9.2646053210226995</v>
      </c>
      <c r="AA108" s="12">
        <f t="shared" si="60"/>
        <v>9.2612272461617007</v>
      </c>
      <c r="AB108" s="12" t="str">
        <f t="shared" si="61"/>
        <v/>
      </c>
      <c r="AC108" s="12" t="str">
        <f t="shared" si="62"/>
        <v/>
      </c>
      <c r="AD108" s="12" t="str">
        <f t="shared" si="63"/>
        <v/>
      </c>
      <c r="AE108" s="12" t="str">
        <f t="shared" si="64"/>
        <v/>
      </c>
      <c r="AF108" s="12" t="str">
        <f t="shared" si="65"/>
        <v/>
      </c>
      <c r="AG108" s="12"/>
      <c r="AH108" s="12">
        <f t="shared" si="66"/>
        <v>10.8711292375868</v>
      </c>
      <c r="AI108" s="12">
        <f t="shared" si="67"/>
        <v>10.9024066191075</v>
      </c>
      <c r="AJ108" s="12">
        <f t="shared" si="68"/>
        <v>10.9062190803</v>
      </c>
      <c r="AK108" s="12">
        <f t="shared" si="69"/>
        <v>10.902841005439001</v>
      </c>
      <c r="AL108" s="12" t="str">
        <f t="shared" si="70"/>
        <v/>
      </c>
      <c r="AM108" s="12" t="str">
        <f t="shared" si="71"/>
        <v/>
      </c>
      <c r="AN108" s="12" t="str">
        <f t="shared" si="72"/>
        <v/>
      </c>
      <c r="AO108" s="12" t="str">
        <f t="shared" si="73"/>
        <v/>
      </c>
      <c r="AP108" s="12" t="str">
        <f t="shared" si="74"/>
        <v/>
      </c>
    </row>
    <row r="109" spans="1:42">
      <c r="A109" s="9">
        <f t="shared" si="75"/>
        <v>43123.778321759259</v>
      </c>
      <c r="B109" s="22">
        <f t="shared" si="76"/>
        <v>2458142.2783217593</v>
      </c>
      <c r="C109" s="23">
        <f t="shared" si="51"/>
        <v>9.2505499563827751</v>
      </c>
      <c r="D109" s="24">
        <f t="shared" ca="1" si="52"/>
        <v>5.6721346310710907E-2</v>
      </c>
      <c r="E109" s="24">
        <f t="shared" si="77"/>
        <v>1.9425118599558529E-2</v>
      </c>
      <c r="F109" s="25">
        <f t="shared" si="53"/>
        <v>10.902786116404673</v>
      </c>
      <c r="G109" s="7">
        <v>43123.778321759259</v>
      </c>
      <c r="H109" s="11">
        <v>2458142.2783220001</v>
      </c>
      <c r="I109" s="11">
        <v>-13.0504468932418</v>
      </c>
      <c r="J109" s="11">
        <v>-11.3982107332199</v>
      </c>
      <c r="K109" s="11">
        <v>-13.747250561467901</v>
      </c>
      <c r="L109" s="11">
        <v>-12.622857917558701</v>
      </c>
      <c r="M109" s="11">
        <v>-12.8614499514677</v>
      </c>
      <c r="N109" s="11">
        <v>-12.407428968004</v>
      </c>
      <c r="O109" s="11"/>
      <c r="P109" s="11"/>
      <c r="Q109" s="11"/>
      <c r="R109" s="11"/>
      <c r="S109" s="11"/>
      <c r="T109" s="12"/>
      <c r="U109" s="12">
        <f t="shared" si="54"/>
        <v>4</v>
      </c>
      <c r="V109" s="28">
        <f t="shared" ca="1" si="55"/>
        <v>5.84</v>
      </c>
      <c r="W109" s="28">
        <f t="shared" si="56"/>
        <v>1.9425118599558529E-2</v>
      </c>
      <c r="X109" s="12">
        <f t="shared" si="57"/>
        <v>9.222803668226101</v>
      </c>
      <c r="Y109" s="12">
        <f t="shared" si="58"/>
        <v>9.2514110243169014</v>
      </c>
      <c r="Z109" s="12">
        <f t="shared" si="59"/>
        <v>9.2640030582258994</v>
      </c>
      <c r="AA109" s="12">
        <f t="shared" si="60"/>
        <v>9.2639820747622004</v>
      </c>
      <c r="AB109" s="12" t="str">
        <f t="shared" si="61"/>
        <v/>
      </c>
      <c r="AC109" s="12" t="str">
        <f t="shared" si="62"/>
        <v/>
      </c>
      <c r="AD109" s="12" t="str">
        <f t="shared" si="63"/>
        <v/>
      </c>
      <c r="AE109" s="12" t="str">
        <f t="shared" si="64"/>
        <v/>
      </c>
      <c r="AF109" s="12" t="str">
        <f t="shared" si="65"/>
        <v/>
      </c>
      <c r="AG109" s="12"/>
      <c r="AH109" s="12">
        <f t="shared" si="66"/>
        <v>10.875039828248001</v>
      </c>
      <c r="AI109" s="12">
        <f t="shared" si="67"/>
        <v>10.903647184338801</v>
      </c>
      <c r="AJ109" s="12">
        <f t="shared" si="68"/>
        <v>10.916239218247799</v>
      </c>
      <c r="AK109" s="12">
        <f t="shared" si="69"/>
        <v>10.9162182347841</v>
      </c>
      <c r="AL109" s="12" t="str">
        <f t="shared" si="70"/>
        <v/>
      </c>
      <c r="AM109" s="12" t="str">
        <f t="shared" si="71"/>
        <v/>
      </c>
      <c r="AN109" s="12" t="str">
        <f t="shared" si="72"/>
        <v/>
      </c>
      <c r="AO109" s="12" t="str">
        <f t="shared" si="73"/>
        <v/>
      </c>
      <c r="AP109" s="12" t="str">
        <f t="shared" si="74"/>
        <v/>
      </c>
    </row>
    <row r="110" spans="1:42">
      <c r="A110" s="9">
        <f t="shared" si="75"/>
        <v>43123.778749999998</v>
      </c>
      <c r="B110" s="22">
        <f t="shared" si="76"/>
        <v>2458142.2787500001</v>
      </c>
      <c r="C110" s="23">
        <f t="shared" si="51"/>
        <v>9.2595272059347771</v>
      </c>
      <c r="D110" s="24">
        <f t="shared" ca="1" si="52"/>
        <v>5.1257131759490149E-2</v>
      </c>
      <c r="E110" s="24">
        <f t="shared" si="77"/>
        <v>1.7553812246400735E-2</v>
      </c>
      <c r="F110" s="25">
        <f t="shared" si="53"/>
        <v>10.922960368351076</v>
      </c>
      <c r="G110" s="7">
        <v>43123.778749999998</v>
      </c>
      <c r="H110" s="11">
        <v>2458142.2787500001</v>
      </c>
      <c r="I110" s="11">
        <v>-13.053417560885199</v>
      </c>
      <c r="J110" s="11">
        <v>-11.389984398468901</v>
      </c>
      <c r="K110" s="11">
        <v>-13.7606815843502</v>
      </c>
      <c r="L110" s="11">
        <v>-12.6433417000571</v>
      </c>
      <c r="M110" s="11">
        <v>-12.8698125837122</v>
      </c>
      <c r="N110" s="11">
        <v>-12.4129431991604</v>
      </c>
      <c r="O110" s="11"/>
      <c r="P110" s="11"/>
      <c r="Q110" s="11"/>
      <c r="R110" s="11"/>
      <c r="S110" s="11"/>
      <c r="T110" s="12"/>
      <c r="U110" s="12">
        <f t="shared" si="54"/>
        <v>4</v>
      </c>
      <c r="V110" s="28">
        <f t="shared" ca="1" si="55"/>
        <v>5.84</v>
      </c>
      <c r="W110" s="28">
        <f t="shared" si="56"/>
        <v>1.7553812246400735E-2</v>
      </c>
      <c r="X110" s="12">
        <f t="shared" si="57"/>
        <v>9.2332640234650007</v>
      </c>
      <c r="Y110" s="12">
        <f t="shared" si="58"/>
        <v>9.2689241391719008</v>
      </c>
      <c r="Z110" s="12">
        <f t="shared" si="59"/>
        <v>9.2693950228270001</v>
      </c>
      <c r="AA110" s="12">
        <f t="shared" si="60"/>
        <v>9.2665256382752013</v>
      </c>
      <c r="AB110" s="12" t="str">
        <f t="shared" si="61"/>
        <v/>
      </c>
      <c r="AC110" s="12" t="str">
        <f t="shared" si="62"/>
        <v/>
      </c>
      <c r="AD110" s="12" t="str">
        <f t="shared" si="63"/>
        <v/>
      </c>
      <c r="AE110" s="12" t="str">
        <f t="shared" si="64"/>
        <v/>
      </c>
      <c r="AF110" s="12" t="str">
        <f t="shared" si="65"/>
        <v/>
      </c>
      <c r="AG110" s="12"/>
      <c r="AH110" s="12">
        <f t="shared" si="66"/>
        <v>10.896697185881299</v>
      </c>
      <c r="AI110" s="12">
        <f t="shared" si="67"/>
        <v>10.932357301588199</v>
      </c>
      <c r="AJ110" s="12">
        <f t="shared" si="68"/>
        <v>10.932828185243299</v>
      </c>
      <c r="AK110" s="12">
        <f t="shared" si="69"/>
        <v>10.9299588006915</v>
      </c>
      <c r="AL110" s="12" t="str">
        <f t="shared" si="70"/>
        <v/>
      </c>
      <c r="AM110" s="12" t="str">
        <f t="shared" si="71"/>
        <v/>
      </c>
      <c r="AN110" s="12" t="str">
        <f t="shared" si="72"/>
        <v/>
      </c>
      <c r="AO110" s="12" t="str">
        <f t="shared" si="73"/>
        <v/>
      </c>
      <c r="AP110" s="12" t="str">
        <f t="shared" si="74"/>
        <v/>
      </c>
    </row>
    <row r="111" spans="1:42">
      <c r="A111" s="9">
        <f t="shared" si="75"/>
        <v>43123.779166666667</v>
      </c>
      <c r="B111" s="22">
        <f t="shared" si="76"/>
        <v>2458142.2791666668</v>
      </c>
      <c r="C111" s="23">
        <f t="shared" si="51"/>
        <v>9.2644609859012004</v>
      </c>
      <c r="D111" s="24">
        <f t="shared" ca="1" si="52"/>
        <v>4.6079113879968783E-2</v>
      </c>
      <c r="E111" s="24">
        <f t="shared" si="77"/>
        <v>1.5780518452044104E-2</v>
      </c>
      <c r="F111" s="25">
        <f t="shared" si="53"/>
        <v>10.927803688226401</v>
      </c>
      <c r="G111" s="7">
        <v>43123.779166666667</v>
      </c>
      <c r="H111" s="11">
        <v>2458142.2791670002</v>
      </c>
      <c r="I111" s="11">
        <v>-13.0498170198548</v>
      </c>
      <c r="J111" s="11">
        <v>-11.386474317529601</v>
      </c>
      <c r="K111" s="11">
        <v>-13.766609406517899</v>
      </c>
      <c r="L111" s="11">
        <v>-12.6347938063493</v>
      </c>
      <c r="M111" s="11">
        <v>-12.8683582568116</v>
      </c>
      <c r="N111" s="11">
        <v>-12.422350553345201</v>
      </c>
      <c r="O111" s="11"/>
      <c r="P111" s="11"/>
      <c r="Q111" s="11"/>
      <c r="R111" s="11"/>
      <c r="S111" s="11"/>
      <c r="T111" s="12"/>
      <c r="U111" s="12">
        <f t="shared" si="54"/>
        <v>4</v>
      </c>
      <c r="V111" s="28">
        <f t="shared" ca="1" si="55"/>
        <v>5.84</v>
      </c>
      <c r="W111" s="28">
        <f t="shared" si="56"/>
        <v>1.5780518452044104E-2</v>
      </c>
      <c r="X111" s="12">
        <f t="shared" si="57"/>
        <v>9.2427923866630994</v>
      </c>
      <c r="Y111" s="12">
        <f t="shared" si="58"/>
        <v>9.2639767864945011</v>
      </c>
      <c r="Z111" s="12">
        <f t="shared" si="59"/>
        <v>9.2715412369568</v>
      </c>
      <c r="AA111" s="12">
        <f t="shared" si="60"/>
        <v>9.279533533490401</v>
      </c>
      <c r="AB111" s="12" t="str">
        <f t="shared" si="61"/>
        <v/>
      </c>
      <c r="AC111" s="12" t="str">
        <f t="shared" si="62"/>
        <v/>
      </c>
      <c r="AD111" s="12" t="str">
        <f t="shared" si="63"/>
        <v/>
      </c>
      <c r="AE111" s="12" t="str">
        <f t="shared" si="64"/>
        <v/>
      </c>
      <c r="AF111" s="12" t="str">
        <f t="shared" si="65"/>
        <v/>
      </c>
      <c r="AG111" s="12"/>
      <c r="AH111" s="12">
        <f t="shared" si="66"/>
        <v>10.906135088988298</v>
      </c>
      <c r="AI111" s="12">
        <f t="shared" si="67"/>
        <v>10.9273194888197</v>
      </c>
      <c r="AJ111" s="12">
        <f t="shared" si="68"/>
        <v>10.934883939281999</v>
      </c>
      <c r="AK111" s="12">
        <f t="shared" si="69"/>
        <v>10.9428762358156</v>
      </c>
      <c r="AL111" s="12" t="str">
        <f t="shared" si="70"/>
        <v/>
      </c>
      <c r="AM111" s="12" t="str">
        <f t="shared" si="71"/>
        <v/>
      </c>
      <c r="AN111" s="12" t="str">
        <f t="shared" si="72"/>
        <v/>
      </c>
      <c r="AO111" s="12" t="str">
        <f t="shared" si="73"/>
        <v/>
      </c>
      <c r="AP111" s="12" t="str">
        <f t="shared" si="74"/>
        <v/>
      </c>
    </row>
    <row r="112" spans="1:42">
      <c r="A112" s="9">
        <f t="shared" si="75"/>
        <v>43123.779965277776</v>
      </c>
      <c r="B112" s="22">
        <f t="shared" si="76"/>
        <v>2458142.2799652778</v>
      </c>
      <c r="C112" s="23">
        <f t="shared" si="51"/>
        <v>9.2789451665382501</v>
      </c>
      <c r="D112" s="24">
        <f t="shared" ca="1" si="52"/>
        <v>6.1130068350382927E-2</v>
      </c>
      <c r="E112" s="24">
        <f t="shared" si="77"/>
        <v>2.0934954914514702E-2</v>
      </c>
      <c r="F112" s="25">
        <f t="shared" si="53"/>
        <v>10.939790464900049</v>
      </c>
      <c r="G112" s="7">
        <v>43123.779965277776</v>
      </c>
      <c r="H112" s="11">
        <v>2458142.2799650002</v>
      </c>
      <c r="I112" s="11">
        <v>-13.0341875408029</v>
      </c>
      <c r="J112" s="11">
        <v>-11.373342242441099</v>
      </c>
      <c r="K112" s="11">
        <v>-13.7566856168834</v>
      </c>
      <c r="L112" s="11">
        <v>-12.637327675306301</v>
      </c>
      <c r="M112" s="11">
        <v>-12.871991739442</v>
      </c>
      <c r="N112" s="11">
        <v>-12.421525797732899</v>
      </c>
      <c r="O112" s="11"/>
      <c r="P112" s="11"/>
      <c r="Q112" s="11"/>
      <c r="R112" s="11"/>
      <c r="S112" s="11"/>
      <c r="T112" s="12"/>
      <c r="U112" s="12">
        <f t="shared" si="54"/>
        <v>4</v>
      </c>
      <c r="V112" s="28">
        <f t="shared" ca="1" si="55"/>
        <v>5.84</v>
      </c>
      <c r="W112" s="28">
        <f t="shared" si="56"/>
        <v>2.0934954914514702E-2</v>
      </c>
      <c r="X112" s="12">
        <f t="shared" si="57"/>
        <v>9.2484980760804998</v>
      </c>
      <c r="Y112" s="12">
        <f t="shared" si="58"/>
        <v>9.2821401345034005</v>
      </c>
      <c r="Z112" s="12">
        <f t="shared" si="59"/>
        <v>9.2908041986390995</v>
      </c>
      <c r="AA112" s="12">
        <f t="shared" si="60"/>
        <v>9.2943382569299988</v>
      </c>
      <c r="AB112" s="12" t="str">
        <f t="shared" si="61"/>
        <v/>
      </c>
      <c r="AC112" s="12" t="str">
        <f t="shared" si="62"/>
        <v/>
      </c>
      <c r="AD112" s="12" t="str">
        <f t="shared" si="63"/>
        <v/>
      </c>
      <c r="AE112" s="12" t="str">
        <f t="shared" si="64"/>
        <v/>
      </c>
      <c r="AF112" s="12" t="str">
        <f t="shared" si="65"/>
        <v/>
      </c>
      <c r="AG112" s="12"/>
      <c r="AH112" s="12">
        <f t="shared" si="66"/>
        <v>10.909343374442301</v>
      </c>
      <c r="AI112" s="12">
        <f t="shared" si="67"/>
        <v>10.942985432865202</v>
      </c>
      <c r="AJ112" s="12">
        <f t="shared" si="68"/>
        <v>10.951649497000901</v>
      </c>
      <c r="AK112" s="12">
        <f t="shared" si="69"/>
        <v>10.9551835552918</v>
      </c>
      <c r="AL112" s="12" t="str">
        <f t="shared" si="70"/>
        <v/>
      </c>
      <c r="AM112" s="12" t="str">
        <f t="shared" si="71"/>
        <v/>
      </c>
      <c r="AN112" s="12" t="str">
        <f t="shared" si="72"/>
        <v/>
      </c>
      <c r="AO112" s="12" t="str">
        <f t="shared" si="73"/>
        <v/>
      </c>
      <c r="AP112" s="12" t="str">
        <f t="shared" si="74"/>
        <v/>
      </c>
    </row>
    <row r="113" spans="1:42">
      <c r="A113" s="9">
        <f t="shared" si="75"/>
        <v>43123.780381944445</v>
      </c>
      <c r="B113" s="22">
        <f t="shared" si="76"/>
        <v>2458142.2803819445</v>
      </c>
      <c r="C113" s="23">
        <f t="shared" si="51"/>
        <v>9.2732137925616254</v>
      </c>
      <c r="D113" s="24">
        <f t="shared" ca="1" si="52"/>
        <v>5.6396449863813911E-2</v>
      </c>
      <c r="E113" s="24">
        <f t="shared" si="77"/>
        <v>1.9313852693086955E-2</v>
      </c>
      <c r="F113" s="25">
        <f t="shared" si="53"/>
        <v>10.928770254629924</v>
      </c>
      <c r="G113" s="7">
        <v>43123.780381944445</v>
      </c>
      <c r="H113" s="11">
        <v>2458142.2803819999</v>
      </c>
      <c r="I113" s="11">
        <v>-13.0384909139269</v>
      </c>
      <c r="J113" s="11">
        <v>-11.382934451858601</v>
      </c>
      <c r="K113" s="11">
        <v>-13.757464338562601</v>
      </c>
      <c r="L113" s="11">
        <v>-12.6406397030607</v>
      </c>
      <c r="M113" s="11">
        <v>-12.8637369374272</v>
      </c>
      <c r="N113" s="11">
        <v>-12.419977846903601</v>
      </c>
      <c r="O113" s="11"/>
      <c r="P113" s="11"/>
      <c r="Q113" s="11"/>
      <c r="R113" s="11"/>
      <c r="S113" s="11"/>
      <c r="T113" s="12"/>
      <c r="U113" s="12">
        <f t="shared" si="54"/>
        <v>4</v>
      </c>
      <c r="V113" s="28">
        <f t="shared" ca="1" si="55"/>
        <v>5.84</v>
      </c>
      <c r="W113" s="28">
        <f t="shared" si="56"/>
        <v>1.9313852693086955E-2</v>
      </c>
      <c r="X113" s="12">
        <f t="shared" si="57"/>
        <v>9.2449734246357007</v>
      </c>
      <c r="Y113" s="12">
        <f t="shared" si="58"/>
        <v>9.2811487891338</v>
      </c>
      <c r="Z113" s="12">
        <f t="shared" si="59"/>
        <v>9.2782460235002997</v>
      </c>
      <c r="AA113" s="12">
        <f t="shared" si="60"/>
        <v>9.288486932976701</v>
      </c>
      <c r="AB113" s="12" t="str">
        <f t="shared" si="61"/>
        <v/>
      </c>
      <c r="AC113" s="12" t="str">
        <f t="shared" si="62"/>
        <v/>
      </c>
      <c r="AD113" s="12" t="str">
        <f t="shared" si="63"/>
        <v/>
      </c>
      <c r="AE113" s="12" t="str">
        <f t="shared" si="64"/>
        <v/>
      </c>
      <c r="AF113" s="12" t="str">
        <f t="shared" si="65"/>
        <v/>
      </c>
      <c r="AG113" s="12"/>
      <c r="AH113" s="12">
        <f t="shared" si="66"/>
        <v>10.900529886704</v>
      </c>
      <c r="AI113" s="12">
        <f t="shared" si="67"/>
        <v>10.936705251202099</v>
      </c>
      <c r="AJ113" s="12">
        <f t="shared" si="68"/>
        <v>10.933802485568599</v>
      </c>
      <c r="AK113" s="12">
        <f t="shared" si="69"/>
        <v>10.944043395045</v>
      </c>
      <c r="AL113" s="12" t="str">
        <f t="shared" si="70"/>
        <v/>
      </c>
      <c r="AM113" s="12" t="str">
        <f t="shared" si="71"/>
        <v/>
      </c>
      <c r="AN113" s="12" t="str">
        <f t="shared" si="72"/>
        <v/>
      </c>
      <c r="AO113" s="12" t="str">
        <f t="shared" si="73"/>
        <v/>
      </c>
      <c r="AP113" s="12" t="str">
        <f t="shared" si="74"/>
        <v/>
      </c>
    </row>
    <row r="114" spans="1:42">
      <c r="A114" s="9">
        <f t="shared" si="75"/>
        <v>43123.780810185184</v>
      </c>
      <c r="B114" s="22">
        <f t="shared" si="76"/>
        <v>2458142.2808101852</v>
      </c>
      <c r="C114" s="23">
        <f t="shared" si="51"/>
        <v>9.2924726484875766</v>
      </c>
      <c r="D114" s="24">
        <f t="shared" ca="1" si="52"/>
        <v>4.9063860999954363E-2</v>
      </c>
      <c r="E114" s="24">
        <f t="shared" si="77"/>
        <v>1.6802692123272043E-2</v>
      </c>
      <c r="F114" s="25">
        <f t="shared" si="53"/>
        <v>10.921255320018675</v>
      </c>
      <c r="G114" s="7">
        <v>43123.780810185184</v>
      </c>
      <c r="H114" s="11">
        <v>2458142.2808099999</v>
      </c>
      <c r="I114" s="11">
        <v>-13.0222221100579</v>
      </c>
      <c r="J114" s="11">
        <v>-11.3934394385268</v>
      </c>
      <c r="K114" s="11">
        <v>-13.763761929475301</v>
      </c>
      <c r="L114" s="11">
        <v>-12.641299547040401</v>
      </c>
      <c r="M114" s="11">
        <v>-12.8732489100473</v>
      </c>
      <c r="N114" s="11">
        <v>-12.4154686476189</v>
      </c>
      <c r="O114" s="11"/>
      <c r="P114" s="11"/>
      <c r="Q114" s="11"/>
      <c r="R114" s="11"/>
      <c r="S114" s="11"/>
      <c r="T114" s="12"/>
      <c r="U114" s="12">
        <f t="shared" si="54"/>
        <v>4</v>
      </c>
      <c r="V114" s="28">
        <f t="shared" ca="1" si="55"/>
        <v>5.84</v>
      </c>
      <c r="W114" s="28">
        <f t="shared" si="56"/>
        <v>1.6802692123272043E-2</v>
      </c>
      <c r="X114" s="12">
        <f t="shared" si="57"/>
        <v>9.2675398194174008</v>
      </c>
      <c r="Y114" s="12">
        <f t="shared" si="58"/>
        <v>9.298077436982501</v>
      </c>
      <c r="Z114" s="12">
        <f t="shared" si="59"/>
        <v>9.3040267999893995</v>
      </c>
      <c r="AA114" s="12">
        <f t="shared" si="60"/>
        <v>9.3002465375609997</v>
      </c>
      <c r="AB114" s="12" t="str">
        <f t="shared" si="61"/>
        <v/>
      </c>
      <c r="AC114" s="12" t="str">
        <f t="shared" si="62"/>
        <v/>
      </c>
      <c r="AD114" s="12" t="str">
        <f t="shared" si="63"/>
        <v/>
      </c>
      <c r="AE114" s="12" t="str">
        <f t="shared" si="64"/>
        <v/>
      </c>
      <c r="AF114" s="12" t="str">
        <f t="shared" si="65"/>
        <v/>
      </c>
      <c r="AG114" s="12"/>
      <c r="AH114" s="12">
        <f t="shared" si="66"/>
        <v>10.896322490948501</v>
      </c>
      <c r="AI114" s="12">
        <f t="shared" si="67"/>
        <v>10.926860108513601</v>
      </c>
      <c r="AJ114" s="12">
        <f t="shared" si="68"/>
        <v>10.9328094715205</v>
      </c>
      <c r="AK114" s="12">
        <f t="shared" si="69"/>
        <v>10.9290292090921</v>
      </c>
      <c r="AL114" s="12" t="str">
        <f t="shared" si="70"/>
        <v/>
      </c>
      <c r="AM114" s="12" t="str">
        <f t="shared" si="71"/>
        <v/>
      </c>
      <c r="AN114" s="12" t="str">
        <f t="shared" si="72"/>
        <v/>
      </c>
      <c r="AO114" s="12" t="str">
        <f t="shared" si="73"/>
        <v/>
      </c>
      <c r="AP114" s="12" t="str">
        <f t="shared" si="74"/>
        <v/>
      </c>
    </row>
    <row r="115" spans="1:42">
      <c r="A115" s="9">
        <f t="shared" si="75"/>
        <v>43123.781226851854</v>
      </c>
      <c r="B115" s="22">
        <f t="shared" si="76"/>
        <v>2458142.281226852</v>
      </c>
      <c r="C115" s="23">
        <f t="shared" si="51"/>
        <v>9.28292837213605</v>
      </c>
      <c r="D115" s="24">
        <f t="shared" ca="1" si="52"/>
        <v>4.2743477071833534E-2</v>
      </c>
      <c r="E115" s="24">
        <f t="shared" si="77"/>
        <v>1.4638177079395047E-2</v>
      </c>
      <c r="F115" s="25">
        <f t="shared" si="53"/>
        <v>10.905400820169548</v>
      </c>
      <c r="G115" s="7">
        <v>43123.781226851854</v>
      </c>
      <c r="H115" s="11">
        <v>2458142.2812270001</v>
      </c>
      <c r="I115" s="11">
        <v>-13.029631663013699</v>
      </c>
      <c r="J115" s="11">
        <v>-11.407159214980201</v>
      </c>
      <c r="K115" s="11">
        <v>-13.765727848131499</v>
      </c>
      <c r="L115" s="11">
        <v>-12.634499201212</v>
      </c>
      <c r="M115" s="11">
        <v>-12.867259270122901</v>
      </c>
      <c r="N115" s="11">
        <v>-12.4177538211326</v>
      </c>
      <c r="O115" s="11"/>
      <c r="P115" s="11"/>
      <c r="Q115" s="11"/>
      <c r="R115" s="11"/>
      <c r="S115" s="11"/>
      <c r="T115" s="12"/>
      <c r="U115" s="12">
        <f t="shared" si="54"/>
        <v>4</v>
      </c>
      <c r="V115" s="28">
        <f t="shared" ca="1" si="55"/>
        <v>5.84</v>
      </c>
      <c r="W115" s="28">
        <f t="shared" si="56"/>
        <v>1.4638177079395047E-2</v>
      </c>
      <c r="X115" s="12">
        <f t="shared" si="57"/>
        <v>9.2620961851177999</v>
      </c>
      <c r="Y115" s="12">
        <f t="shared" si="58"/>
        <v>9.2838675381983009</v>
      </c>
      <c r="Z115" s="12">
        <f t="shared" si="59"/>
        <v>9.2906276071092009</v>
      </c>
      <c r="AA115" s="12">
        <f t="shared" si="60"/>
        <v>9.2951221581189003</v>
      </c>
      <c r="AB115" s="12" t="str">
        <f t="shared" si="61"/>
        <v/>
      </c>
      <c r="AC115" s="12" t="str">
        <f t="shared" si="62"/>
        <v/>
      </c>
      <c r="AD115" s="12" t="str">
        <f t="shared" si="63"/>
        <v/>
      </c>
      <c r="AE115" s="12" t="str">
        <f t="shared" si="64"/>
        <v/>
      </c>
      <c r="AF115" s="12" t="str">
        <f t="shared" si="65"/>
        <v/>
      </c>
      <c r="AG115" s="12"/>
      <c r="AH115" s="12">
        <f t="shared" si="66"/>
        <v>10.884568633151298</v>
      </c>
      <c r="AI115" s="12">
        <f t="shared" si="67"/>
        <v>10.906339986231799</v>
      </c>
      <c r="AJ115" s="12">
        <f t="shared" si="68"/>
        <v>10.913100055142699</v>
      </c>
      <c r="AK115" s="12">
        <f t="shared" si="69"/>
        <v>10.917594606152399</v>
      </c>
      <c r="AL115" s="12" t="str">
        <f t="shared" si="70"/>
        <v/>
      </c>
      <c r="AM115" s="12" t="str">
        <f t="shared" si="71"/>
        <v/>
      </c>
      <c r="AN115" s="12" t="str">
        <f t="shared" si="72"/>
        <v/>
      </c>
      <c r="AO115" s="12" t="str">
        <f t="shared" si="73"/>
        <v/>
      </c>
      <c r="AP115" s="12" t="str">
        <f t="shared" si="74"/>
        <v/>
      </c>
    </row>
    <row r="116" spans="1:42">
      <c r="A116" s="9">
        <f t="shared" si="75"/>
        <v>43123.781655092593</v>
      </c>
      <c r="B116" s="22">
        <f t="shared" si="76"/>
        <v>2458142.2816550927</v>
      </c>
      <c r="C116" s="23">
        <f t="shared" si="51"/>
        <v>9.295607727843624</v>
      </c>
      <c r="D116" s="24">
        <f t="shared" ca="1" si="52"/>
        <v>3.759937913386837E-2</v>
      </c>
      <c r="E116" s="24">
        <f t="shared" si="77"/>
        <v>1.2876499703379578E-2</v>
      </c>
      <c r="F116" s="25">
        <f t="shared" si="53"/>
        <v>10.924563043676024</v>
      </c>
      <c r="G116" s="7">
        <v>43123.781655092593</v>
      </c>
      <c r="H116" s="11">
        <v>2458142.2816550001</v>
      </c>
      <c r="I116" s="11">
        <v>-13.022175115728301</v>
      </c>
      <c r="J116" s="11">
        <v>-11.393219799895901</v>
      </c>
      <c r="K116" s="11">
        <v>-13.772503657452599</v>
      </c>
      <c r="L116" s="11">
        <v>-12.646267236835699</v>
      </c>
      <c r="M116" s="11">
        <v>-12.8709550168458</v>
      </c>
      <c r="N116" s="11">
        <v>-12.4164054631536</v>
      </c>
      <c r="O116" s="11"/>
      <c r="P116" s="11"/>
      <c r="Q116" s="11"/>
      <c r="R116" s="11"/>
      <c r="S116" s="11"/>
      <c r="T116" s="12"/>
      <c r="U116" s="12">
        <f t="shared" si="54"/>
        <v>4</v>
      </c>
      <c r="V116" s="28">
        <f t="shared" ca="1" si="55"/>
        <v>5.84</v>
      </c>
      <c r="W116" s="28">
        <f t="shared" si="56"/>
        <v>1.2876499703379578E-2</v>
      </c>
      <c r="X116" s="12">
        <f t="shared" si="57"/>
        <v>9.2763285417242987</v>
      </c>
      <c r="Y116" s="12">
        <f t="shared" si="58"/>
        <v>9.3030921211073991</v>
      </c>
      <c r="Z116" s="12">
        <f t="shared" si="59"/>
        <v>9.3017799011174986</v>
      </c>
      <c r="AA116" s="12">
        <f t="shared" si="60"/>
        <v>9.3012303474252995</v>
      </c>
      <c r="AB116" s="12" t="str">
        <f t="shared" si="61"/>
        <v/>
      </c>
      <c r="AC116" s="12" t="str">
        <f t="shared" si="62"/>
        <v/>
      </c>
      <c r="AD116" s="12" t="str">
        <f t="shared" si="63"/>
        <v/>
      </c>
      <c r="AE116" s="12" t="str">
        <f t="shared" si="64"/>
        <v/>
      </c>
      <c r="AF116" s="12" t="str">
        <f t="shared" si="65"/>
        <v/>
      </c>
      <c r="AG116" s="12"/>
      <c r="AH116" s="12">
        <f t="shared" si="66"/>
        <v>10.905283857556698</v>
      </c>
      <c r="AI116" s="12">
        <f t="shared" si="67"/>
        <v>10.932047436939799</v>
      </c>
      <c r="AJ116" s="12">
        <f t="shared" si="68"/>
        <v>10.930735216949898</v>
      </c>
      <c r="AK116" s="12">
        <f t="shared" si="69"/>
        <v>10.930185663257699</v>
      </c>
      <c r="AL116" s="12" t="str">
        <f t="shared" si="70"/>
        <v/>
      </c>
      <c r="AM116" s="12" t="str">
        <f t="shared" si="71"/>
        <v/>
      </c>
      <c r="AN116" s="12" t="str">
        <f t="shared" si="72"/>
        <v/>
      </c>
      <c r="AO116" s="12" t="str">
        <f t="shared" si="73"/>
        <v/>
      </c>
      <c r="AP116" s="12" t="str">
        <f t="shared" si="74"/>
        <v/>
      </c>
    </row>
    <row r="117" spans="1:42">
      <c r="A117" s="9">
        <f t="shared" si="75"/>
        <v>43123.782071759262</v>
      </c>
      <c r="B117" s="22">
        <f t="shared" si="76"/>
        <v>2458142.2820717595</v>
      </c>
      <c r="C117" s="23">
        <f t="shared" si="51"/>
        <v>9.2877776228915252</v>
      </c>
      <c r="D117" s="24">
        <f t="shared" ca="1" si="52"/>
        <v>3.2331351897465666E-2</v>
      </c>
      <c r="E117" s="24">
        <f t="shared" si="77"/>
        <v>1.107238078680331E-2</v>
      </c>
      <c r="F117" s="25">
        <f t="shared" si="53"/>
        <v>10.911716861457824</v>
      </c>
      <c r="G117" s="7">
        <v>43123.782071759262</v>
      </c>
      <c r="H117" s="11">
        <v>2458142.2820720002</v>
      </c>
      <c r="I117" s="11">
        <v>-13.0256951164386</v>
      </c>
      <c r="J117" s="11">
        <v>-11.401755877872301</v>
      </c>
      <c r="K117" s="11">
        <v>-13.774731063960701</v>
      </c>
      <c r="L117" s="11">
        <v>-12.6450184049465</v>
      </c>
      <c r="M117" s="11">
        <v>-12.8547950425849</v>
      </c>
      <c r="N117" s="11">
        <v>-12.4143464458284</v>
      </c>
      <c r="O117" s="11"/>
      <c r="P117" s="11"/>
      <c r="Q117" s="11"/>
      <c r="R117" s="11"/>
      <c r="S117" s="11"/>
      <c r="T117" s="12"/>
      <c r="U117" s="12">
        <f t="shared" si="54"/>
        <v>4</v>
      </c>
      <c r="V117" s="28">
        <f t="shared" ca="1" si="55"/>
        <v>5.84</v>
      </c>
      <c r="W117" s="28">
        <f t="shared" si="56"/>
        <v>1.107238078680331E-2</v>
      </c>
      <c r="X117" s="12">
        <f t="shared" si="57"/>
        <v>9.2750359475221007</v>
      </c>
      <c r="Y117" s="12">
        <f t="shared" si="58"/>
        <v>9.2983232885079001</v>
      </c>
      <c r="Z117" s="12">
        <f t="shared" si="59"/>
        <v>9.2820999261462998</v>
      </c>
      <c r="AA117" s="12">
        <f t="shared" si="60"/>
        <v>9.2956513293898002</v>
      </c>
      <c r="AB117" s="12" t="str">
        <f t="shared" si="61"/>
        <v/>
      </c>
      <c r="AC117" s="12" t="str">
        <f t="shared" si="62"/>
        <v/>
      </c>
      <c r="AD117" s="12" t="str">
        <f t="shared" si="63"/>
        <v/>
      </c>
      <c r="AE117" s="12" t="str">
        <f t="shared" si="64"/>
        <v/>
      </c>
      <c r="AF117" s="12" t="str">
        <f t="shared" si="65"/>
        <v/>
      </c>
      <c r="AG117" s="12"/>
      <c r="AH117" s="12">
        <f t="shared" si="66"/>
        <v>10.8989751860884</v>
      </c>
      <c r="AI117" s="12">
        <f t="shared" si="67"/>
        <v>10.922262527074199</v>
      </c>
      <c r="AJ117" s="12">
        <f t="shared" si="68"/>
        <v>10.906039164712599</v>
      </c>
      <c r="AK117" s="12">
        <f t="shared" si="69"/>
        <v>10.919590567956099</v>
      </c>
      <c r="AL117" s="12" t="str">
        <f t="shared" si="70"/>
        <v/>
      </c>
      <c r="AM117" s="12" t="str">
        <f t="shared" si="71"/>
        <v/>
      </c>
      <c r="AN117" s="12" t="str">
        <f t="shared" si="72"/>
        <v/>
      </c>
      <c r="AO117" s="12" t="str">
        <f t="shared" si="73"/>
        <v/>
      </c>
      <c r="AP117" s="12" t="str">
        <f t="shared" si="74"/>
        <v/>
      </c>
    </row>
    <row r="118" spans="1:42">
      <c r="A118" s="9">
        <f t="shared" si="75"/>
        <v>43123.782488425924</v>
      </c>
      <c r="B118" s="22">
        <f t="shared" si="76"/>
        <v>2458142.2824884257</v>
      </c>
      <c r="C118" s="23">
        <f t="shared" si="51"/>
        <v>9.294805571980449</v>
      </c>
      <c r="D118" s="24">
        <f t="shared" ca="1" si="52"/>
        <v>5.6679446956522515E-2</v>
      </c>
      <c r="E118" s="24">
        <f t="shared" si="77"/>
        <v>1.9410769505658395E-2</v>
      </c>
      <c r="F118" s="25">
        <f t="shared" si="53"/>
        <v>10.891954971239649</v>
      </c>
      <c r="G118" s="7">
        <v>43123.782488425924</v>
      </c>
      <c r="H118" s="11">
        <v>2458142.2824880001</v>
      </c>
      <c r="I118" s="11">
        <v>-13.0147606960989</v>
      </c>
      <c r="J118" s="11">
        <v>-11.4176112968397</v>
      </c>
      <c r="K118" s="11">
        <v>-13.7578725703787</v>
      </c>
      <c r="L118" s="11">
        <v>-12.6407810642103</v>
      </c>
      <c r="M118" s="11">
        <v>-12.8532145611254</v>
      </c>
      <c r="N118" s="11">
        <v>-12.421396876603</v>
      </c>
      <c r="O118" s="11"/>
      <c r="P118" s="11"/>
      <c r="Q118" s="11"/>
      <c r="R118" s="11"/>
      <c r="S118" s="11"/>
      <c r="T118" s="12"/>
      <c r="U118" s="12">
        <f t="shared" si="54"/>
        <v>4</v>
      </c>
      <c r="V118" s="28">
        <f t="shared" ca="1" si="55"/>
        <v>5.84</v>
      </c>
      <c r="W118" s="28">
        <f t="shared" si="56"/>
        <v>1.9410769505658395E-2</v>
      </c>
      <c r="X118" s="12">
        <f t="shared" si="57"/>
        <v>9.2691118742797993</v>
      </c>
      <c r="Y118" s="12">
        <f t="shared" si="58"/>
        <v>9.3050203681113999</v>
      </c>
      <c r="Z118" s="12">
        <f t="shared" si="59"/>
        <v>9.2914538650264991</v>
      </c>
      <c r="AA118" s="12">
        <f t="shared" si="60"/>
        <v>9.3136361805040995</v>
      </c>
      <c r="AB118" s="12" t="str">
        <f t="shared" si="61"/>
        <v/>
      </c>
      <c r="AC118" s="12" t="str">
        <f t="shared" si="62"/>
        <v/>
      </c>
      <c r="AD118" s="12" t="str">
        <f t="shared" si="63"/>
        <v/>
      </c>
      <c r="AE118" s="12" t="str">
        <f t="shared" si="64"/>
        <v/>
      </c>
      <c r="AF118" s="12" t="str">
        <f t="shared" si="65"/>
        <v/>
      </c>
      <c r="AG118" s="12"/>
      <c r="AH118" s="12">
        <f t="shared" si="66"/>
        <v>10.866261273538999</v>
      </c>
      <c r="AI118" s="12">
        <f t="shared" si="67"/>
        <v>10.9021697673706</v>
      </c>
      <c r="AJ118" s="12">
        <f t="shared" si="68"/>
        <v>10.888603264285699</v>
      </c>
      <c r="AK118" s="12">
        <f t="shared" si="69"/>
        <v>10.910785579763299</v>
      </c>
      <c r="AL118" s="12" t="str">
        <f t="shared" si="70"/>
        <v/>
      </c>
      <c r="AM118" s="12" t="str">
        <f t="shared" si="71"/>
        <v/>
      </c>
      <c r="AN118" s="12" t="str">
        <f t="shared" si="72"/>
        <v/>
      </c>
      <c r="AO118" s="12" t="str">
        <f t="shared" si="73"/>
        <v/>
      </c>
      <c r="AP118" s="12" t="str">
        <f t="shared" si="74"/>
        <v/>
      </c>
    </row>
    <row r="119" spans="1:42">
      <c r="A119" s="9">
        <f t="shared" si="75"/>
        <v>43123.782905092594</v>
      </c>
      <c r="B119" s="22">
        <f t="shared" si="76"/>
        <v>2458142.2829050925</v>
      </c>
      <c r="C119" s="23">
        <f t="shared" si="51"/>
        <v>9.2933103155157237</v>
      </c>
      <c r="D119" s="24">
        <f t="shared" ca="1" si="52"/>
        <v>3.8193698187243941E-2</v>
      </c>
      <c r="E119" s="24">
        <f t="shared" si="77"/>
        <v>1.3080033625768473E-2</v>
      </c>
      <c r="F119" s="25">
        <f t="shared" si="53"/>
        <v>10.913299582099823</v>
      </c>
      <c r="G119" s="7">
        <v>43123.782905092594</v>
      </c>
      <c r="H119" s="11">
        <v>2458142.2829049998</v>
      </c>
      <c r="I119" s="11">
        <v>-13.016034616524299</v>
      </c>
      <c r="J119" s="11">
        <v>-11.3960453499402</v>
      </c>
      <c r="K119" s="11">
        <v>-13.7637862908012</v>
      </c>
      <c r="L119" s="11">
        <v>-12.6363616494063</v>
      </c>
      <c r="M119" s="11">
        <v>-12.8619266394001</v>
      </c>
      <c r="N119" s="11">
        <v>-12.410305148552499</v>
      </c>
      <c r="O119" s="11"/>
      <c r="P119" s="11"/>
      <c r="Q119" s="11"/>
      <c r="R119" s="11"/>
      <c r="S119" s="11"/>
      <c r="T119" s="12"/>
      <c r="U119" s="12">
        <f t="shared" si="54"/>
        <v>4</v>
      </c>
      <c r="V119" s="28">
        <f t="shared" ca="1" si="55"/>
        <v>5.84</v>
      </c>
      <c r="W119" s="28">
        <f t="shared" si="56"/>
        <v>1.3080033625768473E-2</v>
      </c>
      <c r="X119" s="12">
        <f t="shared" si="57"/>
        <v>9.2737516742768999</v>
      </c>
      <c r="Y119" s="12">
        <f t="shared" si="58"/>
        <v>9.299327032882001</v>
      </c>
      <c r="Z119" s="12">
        <f t="shared" si="59"/>
        <v>9.2988920228757994</v>
      </c>
      <c r="AA119" s="12">
        <f t="shared" si="60"/>
        <v>9.3012705320281999</v>
      </c>
      <c r="AB119" s="12" t="str">
        <f t="shared" si="61"/>
        <v/>
      </c>
      <c r="AC119" s="12" t="str">
        <f t="shared" si="62"/>
        <v/>
      </c>
      <c r="AD119" s="12" t="str">
        <f t="shared" si="63"/>
        <v/>
      </c>
      <c r="AE119" s="12" t="str">
        <f t="shared" si="64"/>
        <v/>
      </c>
      <c r="AF119" s="12" t="str">
        <f t="shared" si="65"/>
        <v/>
      </c>
      <c r="AG119" s="12"/>
      <c r="AH119" s="12">
        <f t="shared" si="66"/>
        <v>10.893740940860999</v>
      </c>
      <c r="AI119" s="12">
        <f t="shared" si="67"/>
        <v>10.9193162994661</v>
      </c>
      <c r="AJ119" s="12">
        <f t="shared" si="68"/>
        <v>10.918881289459899</v>
      </c>
      <c r="AK119" s="12">
        <f t="shared" si="69"/>
        <v>10.921259798612299</v>
      </c>
      <c r="AL119" s="12" t="str">
        <f t="shared" si="70"/>
        <v/>
      </c>
      <c r="AM119" s="12" t="str">
        <f t="shared" si="71"/>
        <v/>
      </c>
      <c r="AN119" s="12" t="str">
        <f t="shared" si="72"/>
        <v/>
      </c>
      <c r="AO119" s="12" t="str">
        <f t="shared" si="73"/>
        <v/>
      </c>
      <c r="AP119" s="12" t="str">
        <f t="shared" si="74"/>
        <v/>
      </c>
    </row>
    <row r="120" spans="1:42">
      <c r="A120" s="9">
        <f t="shared" si="75"/>
        <v>43123.783333333333</v>
      </c>
      <c r="B120" s="22">
        <f t="shared" si="76"/>
        <v>2458142.2833333332</v>
      </c>
      <c r="C120" s="23">
        <f t="shared" si="51"/>
        <v>9.304681776000173</v>
      </c>
      <c r="D120" s="24">
        <f t="shared" ca="1" si="52"/>
        <v>5.2820292429723768E-2</v>
      </c>
      <c r="E120" s="24">
        <f t="shared" si="77"/>
        <v>1.8089141243056085E-2</v>
      </c>
      <c r="F120" s="25">
        <f t="shared" si="53"/>
        <v>10.938186685715273</v>
      </c>
      <c r="G120" s="7">
        <v>43123.783333333333</v>
      </c>
      <c r="H120" s="11">
        <v>2458142.2833329998</v>
      </c>
      <c r="I120" s="11">
        <v>-13.0170890153087</v>
      </c>
      <c r="J120" s="11">
        <v>-11.3835841055936</v>
      </c>
      <c r="K120" s="11">
        <v>-13.7694130047005</v>
      </c>
      <c r="L120" s="11">
        <v>-12.6488835750418</v>
      </c>
      <c r="M120" s="11">
        <v>-12.874169841563299</v>
      </c>
      <c r="N120" s="11">
        <v>-12.4296167439299</v>
      </c>
      <c r="O120" s="11"/>
      <c r="P120" s="11"/>
      <c r="Q120" s="11"/>
      <c r="R120" s="11"/>
      <c r="S120" s="11"/>
      <c r="T120" s="12"/>
      <c r="U120" s="12">
        <f t="shared" si="54"/>
        <v>4</v>
      </c>
      <c r="V120" s="28">
        <f t="shared" ca="1" si="55"/>
        <v>5.84</v>
      </c>
      <c r="W120" s="28">
        <f t="shared" si="56"/>
        <v>1.8089141243056085E-2</v>
      </c>
      <c r="X120" s="12">
        <f t="shared" si="57"/>
        <v>9.278323989391799</v>
      </c>
      <c r="Y120" s="12">
        <f t="shared" si="58"/>
        <v>9.3107945597331003</v>
      </c>
      <c r="Z120" s="12">
        <f t="shared" si="59"/>
        <v>9.3100808262545982</v>
      </c>
      <c r="AA120" s="12">
        <f t="shared" si="60"/>
        <v>9.3195277286211997</v>
      </c>
      <c r="AB120" s="12" t="str">
        <f t="shared" si="61"/>
        <v/>
      </c>
      <c r="AC120" s="12" t="str">
        <f t="shared" si="62"/>
        <v/>
      </c>
      <c r="AD120" s="12" t="str">
        <f t="shared" si="63"/>
        <v/>
      </c>
      <c r="AE120" s="12" t="str">
        <f t="shared" si="64"/>
        <v/>
      </c>
      <c r="AF120" s="12" t="str">
        <f t="shared" si="65"/>
        <v/>
      </c>
      <c r="AG120" s="12"/>
      <c r="AH120" s="12">
        <f t="shared" si="66"/>
        <v>10.911828899106899</v>
      </c>
      <c r="AI120" s="12">
        <f t="shared" si="67"/>
        <v>10.9442994694482</v>
      </c>
      <c r="AJ120" s="12">
        <f t="shared" si="68"/>
        <v>10.943585735969698</v>
      </c>
      <c r="AK120" s="12">
        <f t="shared" si="69"/>
        <v>10.9530326383363</v>
      </c>
      <c r="AL120" s="12" t="str">
        <f t="shared" si="70"/>
        <v/>
      </c>
      <c r="AM120" s="12" t="str">
        <f t="shared" si="71"/>
        <v/>
      </c>
      <c r="AN120" s="12" t="str">
        <f t="shared" si="72"/>
        <v/>
      </c>
      <c r="AO120" s="12" t="str">
        <f t="shared" si="73"/>
        <v/>
      </c>
      <c r="AP120" s="12" t="str">
        <f t="shared" si="74"/>
        <v/>
      </c>
    </row>
    <row r="121" spans="1:42">
      <c r="A121" s="9">
        <f t="shared" si="75"/>
        <v>43123.783750000002</v>
      </c>
      <c r="B121" s="22">
        <f t="shared" si="76"/>
        <v>2458142.2837499999</v>
      </c>
      <c r="C121" s="23">
        <f t="shared" si="51"/>
        <v>9.3108106219555999</v>
      </c>
      <c r="D121" s="24">
        <f t="shared" ca="1" si="52"/>
        <v>5.1764167832317229E-2</v>
      </c>
      <c r="E121" s="24">
        <f t="shared" si="77"/>
        <v>1.7727454737094941E-2</v>
      </c>
      <c r="F121" s="25">
        <f t="shared" si="53"/>
        <v>10.9239624617039</v>
      </c>
      <c r="G121" s="7">
        <v>43123.783750000002</v>
      </c>
      <c r="H121" s="11">
        <v>2458142.2837499999</v>
      </c>
      <c r="I121" s="11">
        <v>-13.0046992534024</v>
      </c>
      <c r="J121" s="11">
        <v>-11.3915474136541</v>
      </c>
      <c r="K121" s="11">
        <v>-13.7637559648305</v>
      </c>
      <c r="L121" s="11">
        <v>-12.638904006893799</v>
      </c>
      <c r="M121" s="11">
        <v>-12.8748798894178</v>
      </c>
      <c r="N121" s="11">
        <v>-12.419499640289899</v>
      </c>
      <c r="O121" s="11"/>
      <c r="P121" s="11"/>
      <c r="Q121" s="11"/>
      <c r="R121" s="11"/>
      <c r="S121" s="11"/>
      <c r="T121" s="12"/>
      <c r="U121" s="12">
        <f t="shared" si="54"/>
        <v>4</v>
      </c>
      <c r="V121" s="28">
        <f t="shared" ca="1" si="55"/>
        <v>5.84</v>
      </c>
      <c r="W121" s="28">
        <f t="shared" si="56"/>
        <v>1.7727454737094941E-2</v>
      </c>
      <c r="X121" s="12">
        <f t="shared" si="57"/>
        <v>9.2850567114280995</v>
      </c>
      <c r="Y121" s="12">
        <f t="shared" si="58"/>
        <v>9.3132047534913998</v>
      </c>
      <c r="Z121" s="12">
        <f t="shared" si="59"/>
        <v>9.3231806360153993</v>
      </c>
      <c r="AA121" s="12">
        <f t="shared" si="60"/>
        <v>9.3218003868874995</v>
      </c>
      <c r="AB121" s="12" t="str">
        <f t="shared" si="61"/>
        <v/>
      </c>
      <c r="AC121" s="12" t="str">
        <f t="shared" si="62"/>
        <v/>
      </c>
      <c r="AD121" s="12" t="str">
        <f t="shared" si="63"/>
        <v/>
      </c>
      <c r="AE121" s="12" t="str">
        <f t="shared" si="64"/>
        <v/>
      </c>
      <c r="AF121" s="12" t="str">
        <f t="shared" si="65"/>
        <v/>
      </c>
      <c r="AG121" s="12"/>
      <c r="AH121" s="12">
        <f t="shared" si="66"/>
        <v>10.898208551176399</v>
      </c>
      <c r="AI121" s="12">
        <f t="shared" si="67"/>
        <v>10.926356593239699</v>
      </c>
      <c r="AJ121" s="12">
        <f t="shared" si="68"/>
        <v>10.936332475763699</v>
      </c>
      <c r="AK121" s="12">
        <f t="shared" si="69"/>
        <v>10.934952226635799</v>
      </c>
      <c r="AL121" s="12" t="str">
        <f t="shared" si="70"/>
        <v/>
      </c>
      <c r="AM121" s="12" t="str">
        <f t="shared" si="71"/>
        <v/>
      </c>
      <c r="AN121" s="12" t="str">
        <f t="shared" si="72"/>
        <v/>
      </c>
      <c r="AO121" s="12" t="str">
        <f t="shared" si="73"/>
        <v/>
      </c>
      <c r="AP121" s="12" t="str">
        <f t="shared" si="74"/>
        <v/>
      </c>
    </row>
    <row r="122" spans="1:42">
      <c r="A122" s="9">
        <f t="shared" si="75"/>
        <v>43123.784166666665</v>
      </c>
      <c r="B122" s="22">
        <f t="shared" si="76"/>
        <v>2458142.2841666667</v>
      </c>
      <c r="C122" s="23">
        <f t="shared" si="51"/>
        <v>9.3223885452372759</v>
      </c>
      <c r="D122" s="24">
        <f t="shared" ca="1" si="52"/>
        <v>4.5835807309002989E-2</v>
      </c>
      <c r="E122" s="24">
        <f t="shared" si="77"/>
        <v>1.5697194283905133E-2</v>
      </c>
      <c r="F122" s="25">
        <f t="shared" si="53"/>
        <v>10.912222819805075</v>
      </c>
      <c r="G122" s="7">
        <v>43123.784166666665</v>
      </c>
      <c r="H122" s="11">
        <v>2458142.2841670001</v>
      </c>
      <c r="I122" s="11">
        <v>-12.988486714397199</v>
      </c>
      <c r="J122" s="11">
        <v>-11.3986524398294</v>
      </c>
      <c r="K122" s="11">
        <v>-13.762727798710999</v>
      </c>
      <c r="L122" s="11">
        <v>-12.6442986307197</v>
      </c>
      <c r="M122" s="11">
        <v>-12.867588932584001</v>
      </c>
      <c r="N122" s="11">
        <v>-12.403885676523201</v>
      </c>
      <c r="O122" s="11"/>
      <c r="P122" s="11"/>
      <c r="Q122" s="11"/>
      <c r="R122" s="11"/>
      <c r="S122" s="11"/>
      <c r="T122" s="12"/>
      <c r="U122" s="12">
        <f t="shared" si="54"/>
        <v>4</v>
      </c>
      <c r="V122" s="28">
        <f t="shared" ca="1" si="55"/>
        <v>5.84</v>
      </c>
      <c r="W122" s="28">
        <f t="shared" si="56"/>
        <v>1.5697194283905133E-2</v>
      </c>
      <c r="X122" s="12">
        <f t="shared" si="57"/>
        <v>9.3002410843138001</v>
      </c>
      <c r="Y122" s="12">
        <f t="shared" si="58"/>
        <v>9.3348119163225007</v>
      </c>
      <c r="Z122" s="12">
        <f t="shared" si="59"/>
        <v>9.332102218186801</v>
      </c>
      <c r="AA122" s="12">
        <f t="shared" si="60"/>
        <v>9.3223989621260017</v>
      </c>
      <c r="AB122" s="12" t="str">
        <f t="shared" si="61"/>
        <v/>
      </c>
      <c r="AC122" s="12" t="str">
        <f t="shared" si="62"/>
        <v/>
      </c>
      <c r="AD122" s="12" t="str">
        <f t="shared" si="63"/>
        <v/>
      </c>
      <c r="AE122" s="12" t="str">
        <f t="shared" si="64"/>
        <v/>
      </c>
      <c r="AF122" s="12" t="str">
        <f t="shared" si="65"/>
        <v/>
      </c>
      <c r="AG122" s="12"/>
      <c r="AH122" s="12">
        <f t="shared" si="66"/>
        <v>10.890075358881599</v>
      </c>
      <c r="AI122" s="12">
        <f t="shared" si="67"/>
        <v>10.9246461908903</v>
      </c>
      <c r="AJ122" s="12">
        <f t="shared" si="68"/>
        <v>10.9219364927546</v>
      </c>
      <c r="AK122" s="12">
        <f t="shared" si="69"/>
        <v>10.912233236693801</v>
      </c>
      <c r="AL122" s="12" t="str">
        <f t="shared" si="70"/>
        <v/>
      </c>
      <c r="AM122" s="12" t="str">
        <f t="shared" si="71"/>
        <v/>
      </c>
      <c r="AN122" s="12" t="str">
        <f t="shared" si="72"/>
        <v/>
      </c>
      <c r="AO122" s="12" t="str">
        <f t="shared" si="73"/>
        <v/>
      </c>
      <c r="AP122" s="12" t="str">
        <f t="shared" si="74"/>
        <v/>
      </c>
    </row>
    <row r="123" spans="1:42">
      <c r="A123" s="9">
        <f t="shared" si="75"/>
        <v>43123.784594907411</v>
      </c>
      <c r="B123" s="22">
        <f t="shared" si="76"/>
        <v>2458142.2845949074</v>
      </c>
      <c r="C123" s="23">
        <f t="shared" ref="C123:C128" si="78">IF(U123&gt;0,AVERAGE(X123:AF123),"")</f>
        <v>9.3128609915995995</v>
      </c>
      <c r="D123" s="24">
        <f t="shared" ref="D123:D128" ca="1" si="79">IF(U123&gt;0,STDEV(X123:AF123)/SQRT(U123)*V123,"")</f>
        <v>5.7984747740000363E-2</v>
      </c>
      <c r="E123" s="24">
        <f t="shared" si="77"/>
        <v>1.9857790321917933E-2</v>
      </c>
      <c r="F123" s="25">
        <f t="shared" ref="F123:F128" si="80">IF(U123&gt;0,AVERAGE(AH123:AP123),"")</f>
        <v>10.932097757684101</v>
      </c>
      <c r="G123" s="7">
        <v>43123.784594907411</v>
      </c>
      <c r="H123" s="11">
        <v>2458142.2845950001</v>
      </c>
      <c r="I123" s="11">
        <v>-12.9994980261386</v>
      </c>
      <c r="J123" s="11">
        <v>-11.3802612600541</v>
      </c>
      <c r="K123" s="11">
        <v>-13.7592436794856</v>
      </c>
      <c r="L123" s="11">
        <v>-12.6374263238529</v>
      </c>
      <c r="M123" s="11">
        <v>-12.861783444005701</v>
      </c>
      <c r="N123" s="11">
        <v>-12.425982623608601</v>
      </c>
      <c r="O123" s="11"/>
      <c r="P123" s="11"/>
      <c r="Q123" s="11"/>
      <c r="R123" s="11"/>
      <c r="S123" s="11"/>
      <c r="T123" s="12"/>
      <c r="U123" s="12">
        <f t="shared" ref="U123:U126" si="81">MIN(COUNTA(K$25:S$25),COUNTA(K123:S123))</f>
        <v>4</v>
      </c>
      <c r="V123" s="28">
        <f t="shared" ref="V123:V126" ca="1" si="82">IF(U123&gt;1,INDIRECT(ADDRESS(U123+1,3,1,1,"Student")),"")</f>
        <v>5.84</v>
      </c>
      <c r="W123" s="28">
        <f t="shared" ref="W123:W126" si="83">IF(U123&gt;0,STDEV(X123:AF123),"")</f>
        <v>1.9857790321917933E-2</v>
      </c>
      <c r="X123" s="12">
        <f t="shared" ref="X123:X126" si="84">IF(OR(ISBLANK(K$25),ISBLANK(K123),ISBLANK($I123)),"",$I123-K123+K$25)</f>
        <v>9.285745653347</v>
      </c>
      <c r="Y123" s="12">
        <f t="shared" ref="Y123:Y126" si="85">IF(OR(ISBLANK(L$25),ISBLANK(L123),ISBLANK($I123)),"",$I123-L123+L$25)</f>
        <v>9.3169282977143002</v>
      </c>
      <c r="Z123" s="12">
        <f t="shared" ref="Z123:Z126" si="86">IF(OR(ISBLANK(M$25),ISBLANK(M123),ISBLANK($I123)),"",$I123-M123+M$25)</f>
        <v>9.3152854178671003</v>
      </c>
      <c r="AA123" s="12">
        <f t="shared" ref="AA123:AA126" si="87">IF(OR(ISBLANK(N$25),ISBLANK(N123),ISBLANK($I123)),"",$I123-N123+N$25)</f>
        <v>9.3334845974700009</v>
      </c>
      <c r="AB123" s="12" t="str">
        <f t="shared" ref="AB123:AB126" si="88">IF(OR(ISBLANK(O$25),ISBLANK(O123),ISBLANK($I123)),"",$I123-O123+O$25)</f>
        <v/>
      </c>
      <c r="AC123" s="12" t="str">
        <f t="shared" ref="AC123:AC126" si="89">IF(OR(ISBLANK(P$25),ISBLANK(P123),ISBLANK($I123)),"",$I123-P123+P$25)</f>
        <v/>
      </c>
      <c r="AD123" s="12" t="str">
        <f t="shared" ref="AD123:AD126" si="90">IF(OR(ISBLANK(Q$25),ISBLANK(Q123),ISBLANK($I123)),"",$I123-Q123+Q$25)</f>
        <v/>
      </c>
      <c r="AE123" s="12" t="str">
        <f t="shared" ref="AE123:AE126" si="91">IF(OR(ISBLANK(R$25),ISBLANK(R123),ISBLANK($I123)),"",$I123-R123+R$25)</f>
        <v/>
      </c>
      <c r="AF123" s="12" t="str">
        <f t="shared" ref="AF123:AF126" si="92">IF(OR(ISBLANK(S$25),ISBLANK(S123),ISBLANK($I123)),"",$I123-S123+S$25)</f>
        <v/>
      </c>
      <c r="AG123" s="12"/>
      <c r="AH123" s="12">
        <f t="shared" ref="AH123:AH126" si="93">IF(OR(ISBLANK(K$25),ISBLANK(K123),ISBLANK($J123)),"",$J123-K123+K$25)</f>
        <v>10.9049824194315</v>
      </c>
      <c r="AI123" s="12">
        <f t="shared" ref="AI123:AI126" si="94">IF(OR(ISBLANK(L$25),ISBLANK(L123),ISBLANK($J123)),"",$J123-L123+L$25)</f>
        <v>10.9361650637988</v>
      </c>
      <c r="AJ123" s="12">
        <f t="shared" ref="AJ123:AJ126" si="95">IF(OR(ISBLANK(M$25),ISBLANK(M123),ISBLANK($J123)),"",$J123-M123+M$25)</f>
        <v>10.9345221839516</v>
      </c>
      <c r="AK123" s="12">
        <f t="shared" ref="AK123:AK126" si="96">IF(OR(ISBLANK(N$25),ISBLANK(N123),ISBLANK($J123)),"",$J123-N123+N$25)</f>
        <v>10.952721363554501</v>
      </c>
      <c r="AL123" s="12" t="str">
        <f t="shared" ref="AL123:AL126" si="97">IF(OR(ISBLANK(O$25),ISBLANK(O123),ISBLANK($J123)),"",$J123-O123+O$25)</f>
        <v/>
      </c>
      <c r="AM123" s="12" t="str">
        <f t="shared" ref="AM123:AM126" si="98">IF(OR(ISBLANK(P$25),ISBLANK(P123),ISBLANK($J123)),"",$J123-P123+P$25)</f>
        <v/>
      </c>
      <c r="AN123" s="12" t="str">
        <f t="shared" ref="AN123:AN126" si="99">IF(OR(ISBLANK(Q$25),ISBLANK(Q123),ISBLANK($J123)),"",$J123-Q123+Q$25)</f>
        <v/>
      </c>
      <c r="AO123" s="12" t="str">
        <f t="shared" ref="AO123:AO126" si="100">IF(OR(ISBLANK(R$25),ISBLANK(R123),ISBLANK($J123)),"",$J123-R123+R$25)</f>
        <v/>
      </c>
      <c r="AP123" s="12" t="str">
        <f t="shared" ref="AP123:AP126" si="101">IF(OR(ISBLANK(S$25),ISBLANK(S123),ISBLANK($J123)),"",$J123-S123+S$25)</f>
        <v/>
      </c>
    </row>
    <row r="124" spans="1:42">
      <c r="A124" s="9">
        <f t="shared" si="75"/>
        <v>43123.785011574073</v>
      </c>
      <c r="B124" s="22">
        <f t="shared" si="76"/>
        <v>2458142.2850115742</v>
      </c>
      <c r="C124" s="23">
        <f t="shared" si="78"/>
        <v>9.3287820486003259</v>
      </c>
      <c r="D124" s="24">
        <f t="shared" ca="1" si="79"/>
        <v>5.1641334744416713E-2</v>
      </c>
      <c r="E124" s="24">
        <f t="shared" si="77"/>
        <v>1.7685388611101614E-2</v>
      </c>
      <c r="F124" s="25">
        <f t="shared" si="80"/>
        <v>10.913959890970125</v>
      </c>
      <c r="G124" s="7">
        <v>43123.785011574073</v>
      </c>
      <c r="H124" s="11">
        <v>2458142.2850119998</v>
      </c>
      <c r="I124" s="11">
        <v>-12.986416019799099</v>
      </c>
      <c r="J124" s="11">
        <v>-11.401238177429301</v>
      </c>
      <c r="K124" s="11">
        <v>-13.7633085460022</v>
      </c>
      <c r="L124" s="11">
        <v>-12.6410891037689</v>
      </c>
      <c r="M124" s="11">
        <v>-12.8692577563237</v>
      </c>
      <c r="N124" s="11">
        <v>-12.4221368675029</v>
      </c>
      <c r="O124" s="11"/>
      <c r="P124" s="11"/>
      <c r="Q124" s="11"/>
      <c r="R124" s="11"/>
      <c r="S124" s="11"/>
      <c r="T124" s="12"/>
      <c r="U124" s="12">
        <f t="shared" si="81"/>
        <v>4</v>
      </c>
      <c r="V124" s="28">
        <f t="shared" ca="1" si="82"/>
        <v>5.84</v>
      </c>
      <c r="W124" s="28">
        <f t="shared" si="83"/>
        <v>1.7685388611101614E-2</v>
      </c>
      <c r="X124" s="12">
        <f t="shared" si="84"/>
        <v>9.3028925262031006</v>
      </c>
      <c r="Y124" s="12">
        <f t="shared" si="85"/>
        <v>9.333673083969801</v>
      </c>
      <c r="Z124" s="12">
        <f t="shared" si="86"/>
        <v>9.3358417365245998</v>
      </c>
      <c r="AA124" s="12">
        <f t="shared" si="87"/>
        <v>9.3427208477038004</v>
      </c>
      <c r="AB124" s="12" t="str">
        <f t="shared" si="88"/>
        <v/>
      </c>
      <c r="AC124" s="12" t="str">
        <f t="shared" si="89"/>
        <v/>
      </c>
      <c r="AD124" s="12" t="str">
        <f t="shared" si="90"/>
        <v/>
      </c>
      <c r="AE124" s="12" t="str">
        <f t="shared" si="91"/>
        <v/>
      </c>
      <c r="AF124" s="12" t="str">
        <f t="shared" si="92"/>
        <v/>
      </c>
      <c r="AG124" s="12"/>
      <c r="AH124" s="12">
        <f t="shared" si="93"/>
        <v>10.888070368572899</v>
      </c>
      <c r="AI124" s="12">
        <f t="shared" si="94"/>
        <v>10.9188509263396</v>
      </c>
      <c r="AJ124" s="12">
        <f t="shared" si="95"/>
        <v>10.921019578894398</v>
      </c>
      <c r="AK124" s="12">
        <f t="shared" si="96"/>
        <v>10.927898690073599</v>
      </c>
      <c r="AL124" s="12" t="str">
        <f t="shared" si="97"/>
        <v/>
      </c>
      <c r="AM124" s="12" t="str">
        <f t="shared" si="98"/>
        <v/>
      </c>
      <c r="AN124" s="12" t="str">
        <f t="shared" si="99"/>
        <v/>
      </c>
      <c r="AO124" s="12" t="str">
        <f t="shared" si="100"/>
        <v/>
      </c>
      <c r="AP124" s="12" t="str">
        <f t="shared" si="101"/>
        <v/>
      </c>
    </row>
    <row r="125" spans="1:42">
      <c r="A125" s="9">
        <f t="shared" si="75"/>
        <v>43123.785439814812</v>
      </c>
      <c r="B125" s="22">
        <f t="shared" si="76"/>
        <v>2458142.2854398149</v>
      </c>
      <c r="C125" s="23">
        <f t="shared" si="78"/>
        <v>9.331584319715601</v>
      </c>
      <c r="D125" s="24">
        <f t="shared" ca="1" si="79"/>
        <v>4.9730251059417502E-2</v>
      </c>
      <c r="E125" s="24">
        <f t="shared" si="77"/>
        <v>1.7030907897060788E-2</v>
      </c>
      <c r="F125" s="25">
        <f t="shared" si="80"/>
        <v>10.922754506875599</v>
      </c>
      <c r="G125" s="7">
        <v>43123.785439814812</v>
      </c>
      <c r="H125" s="11">
        <v>2458142.2854399998</v>
      </c>
      <c r="I125" s="11">
        <v>-12.9769343808545</v>
      </c>
      <c r="J125" s="11">
        <v>-11.3857641936945</v>
      </c>
      <c r="K125" s="11">
        <v>-13.75881799265</v>
      </c>
      <c r="L125" s="11">
        <v>-12.6359694293351</v>
      </c>
      <c r="M125" s="11">
        <v>-12.87182610915</v>
      </c>
      <c r="N125" s="11">
        <v>-12.402461271145301</v>
      </c>
      <c r="O125" s="11"/>
      <c r="P125" s="11"/>
      <c r="Q125" s="11"/>
      <c r="R125" s="11"/>
      <c r="S125" s="11"/>
      <c r="T125" s="12"/>
      <c r="U125" s="12">
        <f t="shared" si="81"/>
        <v>4</v>
      </c>
      <c r="V125" s="28">
        <f t="shared" ca="1" si="82"/>
        <v>5.84</v>
      </c>
      <c r="W125" s="28">
        <f t="shared" si="83"/>
        <v>1.7030907897060788E-2</v>
      </c>
      <c r="X125" s="12">
        <f t="shared" si="84"/>
        <v>9.3078836117954999</v>
      </c>
      <c r="Y125" s="12">
        <f t="shared" si="85"/>
        <v>9.3380350484806005</v>
      </c>
      <c r="Z125" s="12">
        <f t="shared" si="86"/>
        <v>9.3478917282954992</v>
      </c>
      <c r="AA125" s="12">
        <f t="shared" si="87"/>
        <v>9.3325268902908007</v>
      </c>
      <c r="AB125" s="12" t="str">
        <f t="shared" si="88"/>
        <v/>
      </c>
      <c r="AC125" s="12" t="str">
        <f t="shared" si="89"/>
        <v/>
      </c>
      <c r="AD125" s="12" t="str">
        <f t="shared" si="90"/>
        <v/>
      </c>
      <c r="AE125" s="12" t="str">
        <f t="shared" si="91"/>
        <v/>
      </c>
      <c r="AF125" s="12" t="str">
        <f t="shared" si="92"/>
        <v/>
      </c>
      <c r="AG125" s="12"/>
      <c r="AH125" s="12">
        <f t="shared" si="93"/>
        <v>10.899053798955499</v>
      </c>
      <c r="AI125" s="12">
        <f t="shared" si="94"/>
        <v>10.9292052356406</v>
      </c>
      <c r="AJ125" s="12">
        <f t="shared" si="95"/>
        <v>10.939061915455499</v>
      </c>
      <c r="AK125" s="12">
        <f t="shared" si="96"/>
        <v>10.9236970774508</v>
      </c>
      <c r="AL125" s="12" t="str">
        <f t="shared" si="97"/>
        <v/>
      </c>
      <c r="AM125" s="12" t="str">
        <f t="shared" si="98"/>
        <v/>
      </c>
      <c r="AN125" s="12" t="str">
        <f t="shared" si="99"/>
        <v/>
      </c>
      <c r="AO125" s="12" t="str">
        <f t="shared" si="100"/>
        <v/>
      </c>
      <c r="AP125" s="12" t="str">
        <f t="shared" si="101"/>
        <v/>
      </c>
    </row>
    <row r="126" spans="1:42">
      <c r="A126" s="9">
        <f t="shared" si="75"/>
        <v>43123.785856481481</v>
      </c>
      <c r="B126" s="22">
        <f t="shared" si="76"/>
        <v>2458142.2858564816</v>
      </c>
      <c r="C126" s="23">
        <f t="shared" si="78"/>
        <v>9.3354298689318505</v>
      </c>
      <c r="D126" s="24">
        <f t="shared" ca="1" si="79"/>
        <v>4.8279126457491058E-2</v>
      </c>
      <c r="E126" s="24">
        <f t="shared" si="77"/>
        <v>1.6533947416948993E-2</v>
      </c>
      <c r="F126" s="25">
        <f t="shared" si="80"/>
        <v>10.909772284546548</v>
      </c>
      <c r="G126" s="7">
        <v>43123.785856481481</v>
      </c>
      <c r="H126" s="11">
        <v>2458142.2858560001</v>
      </c>
      <c r="I126" s="11">
        <v>-12.976687702086799</v>
      </c>
      <c r="J126" s="11">
        <v>-11.4023452864721</v>
      </c>
      <c r="K126" s="11">
        <v>-13.765494095445799</v>
      </c>
      <c r="L126" s="11">
        <v>-12.6414231112932</v>
      </c>
      <c r="M126" s="11">
        <v>-12.8764555087142</v>
      </c>
      <c r="N126" s="11">
        <v>-12.400097568621399</v>
      </c>
      <c r="O126" s="11"/>
      <c r="P126" s="11"/>
      <c r="Q126" s="11"/>
      <c r="R126" s="11"/>
      <c r="S126" s="11"/>
      <c r="T126" s="12"/>
      <c r="U126" s="12">
        <f t="shared" si="81"/>
        <v>4</v>
      </c>
      <c r="V126" s="28">
        <f t="shared" ca="1" si="82"/>
        <v>5.84</v>
      </c>
      <c r="W126" s="28">
        <f t="shared" si="83"/>
        <v>1.6533947416948993E-2</v>
      </c>
      <c r="X126" s="12">
        <f t="shared" si="84"/>
        <v>9.3148063933589995</v>
      </c>
      <c r="Y126" s="12">
        <f t="shared" si="85"/>
        <v>9.3437354092064009</v>
      </c>
      <c r="Z126" s="12">
        <f t="shared" si="86"/>
        <v>9.3527678066273996</v>
      </c>
      <c r="AA126" s="12">
        <f t="shared" si="87"/>
        <v>9.3304098665346</v>
      </c>
      <c r="AB126" s="12" t="str">
        <f t="shared" si="88"/>
        <v/>
      </c>
      <c r="AC126" s="12" t="str">
        <f t="shared" si="89"/>
        <v/>
      </c>
      <c r="AD126" s="12" t="str">
        <f t="shared" si="90"/>
        <v/>
      </c>
      <c r="AE126" s="12" t="str">
        <f t="shared" si="91"/>
        <v/>
      </c>
      <c r="AF126" s="12" t="str">
        <f t="shared" si="92"/>
        <v/>
      </c>
      <c r="AG126" s="12"/>
      <c r="AH126" s="12">
        <f t="shared" si="93"/>
        <v>10.889148808973699</v>
      </c>
      <c r="AI126" s="12">
        <f t="shared" si="94"/>
        <v>10.918077824821101</v>
      </c>
      <c r="AJ126" s="12">
        <f t="shared" si="95"/>
        <v>10.927110222242099</v>
      </c>
      <c r="AK126" s="12">
        <f t="shared" si="96"/>
        <v>10.9047522821493</v>
      </c>
      <c r="AL126" s="12" t="str">
        <f t="shared" si="97"/>
        <v/>
      </c>
      <c r="AM126" s="12" t="str">
        <f t="shared" si="98"/>
        <v/>
      </c>
      <c r="AN126" s="12" t="str">
        <f t="shared" si="99"/>
        <v/>
      </c>
      <c r="AO126" s="12" t="str">
        <f t="shared" si="100"/>
        <v/>
      </c>
      <c r="AP126" s="12" t="str">
        <f t="shared" si="101"/>
        <v/>
      </c>
    </row>
    <row r="127" spans="1:42">
      <c r="A127" s="9">
        <f t="shared" si="75"/>
        <v>43123.78628472222</v>
      </c>
      <c r="B127" s="22">
        <f t="shared" si="76"/>
        <v>2458142.2862847224</v>
      </c>
      <c r="C127" s="23">
        <f t="shared" si="78"/>
        <v>9.3394261450722986</v>
      </c>
      <c r="D127" s="24">
        <f t="shared" ca="1" si="79"/>
        <v>6.2364120169521323E-2</v>
      </c>
      <c r="E127" s="24">
        <f t="shared" si="77"/>
        <v>2.1357575400521002E-2</v>
      </c>
      <c r="F127" s="25">
        <f t="shared" si="80"/>
        <v>10.902117046577299</v>
      </c>
      <c r="G127" s="7">
        <v>43123.78628472222</v>
      </c>
      <c r="H127" s="11">
        <v>2458142.2862849999</v>
      </c>
      <c r="I127" s="11">
        <v>-12.969417903398901</v>
      </c>
      <c r="J127" s="11">
        <v>-11.4067270018939</v>
      </c>
      <c r="K127" s="11">
        <v>-13.7528872275173</v>
      </c>
      <c r="L127" s="11">
        <v>-12.632334554202799</v>
      </c>
      <c r="M127" s="11">
        <v>-12.8761963111789</v>
      </c>
      <c r="N127" s="11">
        <v>-12.408958100985799</v>
      </c>
      <c r="O127" s="11"/>
      <c r="P127" s="11"/>
      <c r="Q127" s="11"/>
      <c r="R127" s="11"/>
      <c r="S127" s="11"/>
      <c r="T127" s="12"/>
      <c r="U127" s="12">
        <f t="shared" ref="U127:U190" si="102">MIN(COUNTA(K$25:S$25),COUNTA(K127:S127))</f>
        <v>4</v>
      </c>
      <c r="V127" s="28">
        <f t="shared" ref="V127:V190" ca="1" si="103">IF(U127&gt;1,INDIRECT(ADDRESS(U127+1,3,1,1,"Student")),"")</f>
        <v>5.84</v>
      </c>
      <c r="W127" s="28">
        <f t="shared" ref="W127:W190" si="104">IF(U127&gt;0,STDEV(X127:AF127),"")</f>
        <v>2.1357575400521002E-2</v>
      </c>
      <c r="X127" s="12">
        <f t="shared" ref="X127:X190" si="105">IF(OR(ISBLANK(K$25),ISBLANK(K127),ISBLANK($I127)),"",$I127-K127+K$25)</f>
        <v>9.3094693241183997</v>
      </c>
      <c r="Y127" s="12">
        <f t="shared" ref="Y127:Y190" si="106">IF(OR(ISBLANK(L$25),ISBLANK(L127),ISBLANK($I127)),"",$I127-L127+L$25)</f>
        <v>9.3419166508038991</v>
      </c>
      <c r="Z127" s="12">
        <f t="shared" ref="Z127:Z190" si="107">IF(OR(ISBLANK(M$25),ISBLANK(M127),ISBLANK($I127)),"",$I127-M127+M$25)</f>
        <v>9.3597784077799986</v>
      </c>
      <c r="AA127" s="12">
        <f t="shared" ref="AA127:AA190" si="108">IF(OR(ISBLANK(N$25),ISBLANK(N127),ISBLANK($I127)),"",$I127-N127+N$25)</f>
        <v>9.3465401975868989</v>
      </c>
      <c r="AB127" s="12" t="str">
        <f t="shared" ref="AB127:AB190" si="109">IF(OR(ISBLANK(O$25),ISBLANK(O127),ISBLANK($I127)),"",$I127-O127+O$25)</f>
        <v/>
      </c>
      <c r="AC127" s="12" t="str">
        <f t="shared" ref="AC127:AC190" si="110">IF(OR(ISBLANK(P$25),ISBLANK(P127),ISBLANK($I127)),"",$I127-P127+P$25)</f>
        <v/>
      </c>
      <c r="AD127" s="12" t="str">
        <f t="shared" ref="AD127:AD190" si="111">IF(OR(ISBLANK(Q$25),ISBLANK(Q127),ISBLANK($I127)),"",$I127-Q127+Q$25)</f>
        <v/>
      </c>
      <c r="AE127" s="12" t="str">
        <f t="shared" ref="AE127:AE190" si="112">IF(OR(ISBLANK(R$25),ISBLANK(R127),ISBLANK($I127)),"",$I127-R127+R$25)</f>
        <v/>
      </c>
      <c r="AF127" s="12" t="str">
        <f t="shared" ref="AF127:AF190" si="113">IF(OR(ISBLANK(S$25),ISBLANK(S127),ISBLANK($I127)),"",$I127-S127+S$25)</f>
        <v/>
      </c>
      <c r="AG127" s="12"/>
      <c r="AH127" s="12">
        <f t="shared" ref="AH127:AH190" si="114">IF(OR(ISBLANK(K$25),ISBLANK(K127),ISBLANK($J127)),"",$J127-K127+K$25)</f>
        <v>10.8721602256234</v>
      </c>
      <c r="AI127" s="12">
        <f t="shared" ref="AI127:AI190" si="115">IF(OR(ISBLANK(L$25),ISBLANK(L127),ISBLANK($J127)),"",$J127-L127+L$25)</f>
        <v>10.904607552308899</v>
      </c>
      <c r="AJ127" s="12">
        <f t="shared" ref="AJ127:AJ190" si="116">IF(OR(ISBLANK(M$25),ISBLANK(M127),ISBLANK($J127)),"",$J127-M127+M$25)</f>
        <v>10.922469309284999</v>
      </c>
      <c r="AK127" s="12">
        <f t="shared" ref="AK127:AK190" si="117">IF(OR(ISBLANK(N$25),ISBLANK(N127),ISBLANK($J127)),"",$J127-N127+N$25)</f>
        <v>10.909231099091899</v>
      </c>
      <c r="AL127" s="12" t="str">
        <f t="shared" ref="AL127:AL190" si="118">IF(OR(ISBLANK(O$25),ISBLANK(O127),ISBLANK($J127)),"",$J127-O127+O$25)</f>
        <v/>
      </c>
      <c r="AM127" s="12" t="str">
        <f t="shared" ref="AM127:AM190" si="119">IF(OR(ISBLANK(P$25),ISBLANK(P127),ISBLANK($J127)),"",$J127-P127+P$25)</f>
        <v/>
      </c>
      <c r="AN127" s="12" t="str">
        <f t="shared" ref="AN127:AN190" si="120">IF(OR(ISBLANK(Q$25),ISBLANK(Q127),ISBLANK($J127)),"",$J127-Q127+Q$25)</f>
        <v/>
      </c>
      <c r="AO127" s="12" t="str">
        <f t="shared" ref="AO127:AO190" si="121">IF(OR(ISBLANK(R$25),ISBLANK(R127),ISBLANK($J127)),"",$J127-R127+R$25)</f>
        <v/>
      </c>
      <c r="AP127" s="12" t="str">
        <f t="shared" ref="AP127:AP190" si="122">IF(OR(ISBLANK(S$25),ISBLANK(S127),ISBLANK($J127)),"",$J127-S127+S$25)</f>
        <v/>
      </c>
    </row>
    <row r="128" spans="1:42">
      <c r="A128" s="9">
        <f t="shared" si="75"/>
        <v>43123.78670138889</v>
      </c>
      <c r="B128" s="22">
        <f t="shared" si="76"/>
        <v>2458142.2867013887</v>
      </c>
      <c r="C128" s="23">
        <f t="shared" si="78"/>
        <v>9.3389705754590011</v>
      </c>
      <c r="D128" s="24">
        <f t="shared" ca="1" si="79"/>
        <v>7.589919289817651E-2</v>
      </c>
      <c r="E128" s="24">
        <f t="shared" si="77"/>
        <v>2.5992874280197437E-2</v>
      </c>
      <c r="F128" s="25">
        <f t="shared" si="80"/>
        <v>10.942871085083301</v>
      </c>
      <c r="G128" s="7">
        <v>43123.78670138889</v>
      </c>
      <c r="H128" s="11">
        <v>2458142.2867009998</v>
      </c>
      <c r="I128" s="11">
        <v>-12.975962259625</v>
      </c>
      <c r="J128" s="11">
        <v>-11.3720617500007</v>
      </c>
      <c r="K128" s="11">
        <v>-13.7501772087336</v>
      </c>
      <c r="L128" s="11">
        <v>-12.6454537725131</v>
      </c>
      <c r="M128" s="11">
        <v>-12.878408700264901</v>
      </c>
      <c r="N128" s="11">
        <v>-12.420691658824399</v>
      </c>
      <c r="O128" s="11"/>
      <c r="P128" s="11"/>
      <c r="Q128" s="11"/>
      <c r="R128" s="11"/>
      <c r="S128" s="11"/>
      <c r="T128" s="12"/>
      <c r="U128" s="12">
        <f t="shared" si="102"/>
        <v>4</v>
      </c>
      <c r="V128" s="28">
        <f t="shared" ca="1" si="103"/>
        <v>5.84</v>
      </c>
      <c r="W128" s="28">
        <f t="shared" si="104"/>
        <v>2.5992874280197437E-2</v>
      </c>
      <c r="X128" s="12">
        <f t="shared" si="105"/>
        <v>9.3002149491086001</v>
      </c>
      <c r="Y128" s="12">
        <f t="shared" si="106"/>
        <v>9.348491512888101</v>
      </c>
      <c r="Z128" s="12">
        <f t="shared" si="107"/>
        <v>9.3554464406399003</v>
      </c>
      <c r="AA128" s="12">
        <f t="shared" si="108"/>
        <v>9.3517293991993995</v>
      </c>
      <c r="AB128" s="12" t="str">
        <f t="shared" si="109"/>
        <v/>
      </c>
      <c r="AC128" s="12" t="str">
        <f t="shared" si="110"/>
        <v/>
      </c>
      <c r="AD128" s="12" t="str">
        <f t="shared" si="111"/>
        <v/>
      </c>
      <c r="AE128" s="12" t="str">
        <f t="shared" si="112"/>
        <v/>
      </c>
      <c r="AF128" s="12" t="str">
        <f t="shared" si="113"/>
        <v/>
      </c>
      <c r="AG128" s="12"/>
      <c r="AH128" s="12">
        <f t="shared" si="114"/>
        <v>10.9041154587329</v>
      </c>
      <c r="AI128" s="12">
        <f t="shared" si="115"/>
        <v>10.952392022512401</v>
      </c>
      <c r="AJ128" s="12">
        <f t="shared" si="116"/>
        <v>10.9593469502642</v>
      </c>
      <c r="AK128" s="12">
        <f t="shared" si="117"/>
        <v>10.955629908823699</v>
      </c>
      <c r="AL128" s="12" t="str">
        <f t="shared" si="118"/>
        <v/>
      </c>
      <c r="AM128" s="12" t="str">
        <f t="shared" si="119"/>
        <v/>
      </c>
      <c r="AN128" s="12" t="str">
        <f t="shared" si="120"/>
        <v/>
      </c>
      <c r="AO128" s="12" t="str">
        <f t="shared" si="121"/>
        <v/>
      </c>
      <c r="AP128" s="12" t="str">
        <f t="shared" si="122"/>
        <v/>
      </c>
    </row>
    <row r="129" spans="1:42">
      <c r="A129" s="9">
        <f t="shared" ref="A129:A192" si="123">IF(ISBLANK(G129),"",G129)</f>
        <v>43123.787118055552</v>
      </c>
      <c r="B129" s="22">
        <f t="shared" ref="B129:B192" si="124">IF(ISBLANK(G129),"",G129+2415018.5)</f>
        <v>2458142.2871180554</v>
      </c>
      <c r="C129" s="23">
        <f t="shared" ref="C129:C192" si="125">IF(U129&gt;0,AVERAGE(X129:AF129),"")</f>
        <v>9.3421262061532744</v>
      </c>
      <c r="D129" s="24">
        <f t="shared" ref="D129:D192" ca="1" si="126">IF(U129&gt;0,STDEV(X129:AF129)/SQRT(U129)*V129,"")</f>
        <v>4.4680435979603958E-2</v>
      </c>
      <c r="E129" s="24">
        <f t="shared" ref="E129:E192" si="127">IF(ISBLANK(W129),"",W129)</f>
        <v>1.5301519171097247E-2</v>
      </c>
      <c r="F129" s="25">
        <f t="shared" ref="F129:F192" si="128">IF(U129&gt;0,AVERAGE(AH129:AP129),"")</f>
        <v>10.917647861852775</v>
      </c>
      <c r="G129" s="7">
        <v>43123.787118055552</v>
      </c>
      <c r="H129" s="11">
        <v>2458142.287118</v>
      </c>
      <c r="I129" s="11">
        <v>-12.962335107557999</v>
      </c>
      <c r="J129" s="11">
        <v>-11.386813451858499</v>
      </c>
      <c r="K129" s="11">
        <v>-13.7576735912802</v>
      </c>
      <c r="L129" s="11">
        <v>-12.626869747619899</v>
      </c>
      <c r="M129" s="11">
        <v>-12.867495954625999</v>
      </c>
      <c r="N129" s="11">
        <v>-12.400805961319</v>
      </c>
      <c r="O129" s="11"/>
      <c r="P129" s="11"/>
      <c r="Q129" s="11"/>
      <c r="R129" s="11"/>
      <c r="S129" s="11"/>
      <c r="T129" s="12"/>
      <c r="U129" s="12">
        <f t="shared" si="102"/>
        <v>4</v>
      </c>
      <c r="V129" s="28">
        <f t="shared" ca="1" si="103"/>
        <v>5.84</v>
      </c>
      <c r="W129" s="28">
        <f t="shared" si="104"/>
        <v>1.5301519171097247E-2</v>
      </c>
      <c r="X129" s="12">
        <f t="shared" si="105"/>
        <v>9.3213384837222009</v>
      </c>
      <c r="Y129" s="12">
        <f t="shared" si="106"/>
        <v>9.3435346400619004</v>
      </c>
      <c r="Z129" s="12">
        <f t="shared" si="107"/>
        <v>9.3581608470679996</v>
      </c>
      <c r="AA129" s="12">
        <f t="shared" si="108"/>
        <v>9.3454708537610003</v>
      </c>
      <c r="AB129" s="12" t="str">
        <f t="shared" si="109"/>
        <v/>
      </c>
      <c r="AC129" s="12" t="str">
        <f t="shared" si="110"/>
        <v/>
      </c>
      <c r="AD129" s="12" t="str">
        <f t="shared" si="111"/>
        <v/>
      </c>
      <c r="AE129" s="12" t="str">
        <f t="shared" si="112"/>
        <v/>
      </c>
      <c r="AF129" s="12" t="str">
        <f t="shared" si="113"/>
        <v/>
      </c>
      <c r="AG129" s="12"/>
      <c r="AH129" s="12">
        <f t="shared" si="114"/>
        <v>10.896860139421701</v>
      </c>
      <c r="AI129" s="12">
        <f t="shared" si="115"/>
        <v>10.919056295761401</v>
      </c>
      <c r="AJ129" s="12">
        <f t="shared" si="116"/>
        <v>10.9336825027675</v>
      </c>
      <c r="AK129" s="12">
        <f t="shared" si="117"/>
        <v>10.9209925094605</v>
      </c>
      <c r="AL129" s="12" t="str">
        <f t="shared" si="118"/>
        <v/>
      </c>
      <c r="AM129" s="12" t="str">
        <f t="shared" si="119"/>
        <v/>
      </c>
      <c r="AN129" s="12" t="str">
        <f t="shared" si="120"/>
        <v/>
      </c>
      <c r="AO129" s="12" t="str">
        <f t="shared" si="121"/>
        <v/>
      </c>
      <c r="AP129" s="12" t="str">
        <f t="shared" si="122"/>
        <v/>
      </c>
    </row>
    <row r="130" spans="1:42">
      <c r="A130" s="9">
        <f t="shared" si="123"/>
        <v>43123.787546296298</v>
      </c>
      <c r="B130" s="22">
        <f t="shared" si="124"/>
        <v>2458142.2875462961</v>
      </c>
      <c r="C130" s="23">
        <f t="shared" si="125"/>
        <v>9.3479303358038006</v>
      </c>
      <c r="D130" s="24">
        <f t="shared" ca="1" si="126"/>
        <v>5.1832813172836743E-2</v>
      </c>
      <c r="E130" s="24">
        <f t="shared" si="127"/>
        <v>1.7750963415355051E-2</v>
      </c>
      <c r="F130" s="25">
        <f t="shared" si="128"/>
        <v>10.9327077350721</v>
      </c>
      <c r="G130" s="7">
        <v>43123.787546296298</v>
      </c>
      <c r="H130" s="11">
        <v>2458142.287546</v>
      </c>
      <c r="I130" s="11">
        <v>-12.9595289556254</v>
      </c>
      <c r="J130" s="11">
        <v>-11.374751556357101</v>
      </c>
      <c r="K130" s="11">
        <v>-13.7570861943551</v>
      </c>
      <c r="L130" s="11">
        <v>-12.626480915199</v>
      </c>
      <c r="M130" s="11">
        <v>-12.867381847933499</v>
      </c>
      <c r="N130" s="11">
        <v>-12.413888208229199</v>
      </c>
      <c r="O130" s="11"/>
      <c r="P130" s="11"/>
      <c r="Q130" s="11"/>
      <c r="R130" s="11"/>
      <c r="S130" s="11"/>
      <c r="T130" s="12"/>
      <c r="U130" s="12">
        <f t="shared" si="102"/>
        <v>4</v>
      </c>
      <c r="V130" s="28">
        <f t="shared" ca="1" si="103"/>
        <v>5.84</v>
      </c>
      <c r="W130" s="28">
        <f t="shared" si="104"/>
        <v>1.7750963415355051E-2</v>
      </c>
      <c r="X130" s="12">
        <f t="shared" si="105"/>
        <v>9.3235572387297001</v>
      </c>
      <c r="Y130" s="12">
        <f t="shared" si="106"/>
        <v>9.3459519595736005</v>
      </c>
      <c r="Z130" s="12">
        <f t="shared" si="107"/>
        <v>9.3608528923080989</v>
      </c>
      <c r="AA130" s="12">
        <f t="shared" si="108"/>
        <v>9.3613592526037994</v>
      </c>
      <c r="AB130" s="12" t="str">
        <f t="shared" si="109"/>
        <v/>
      </c>
      <c r="AC130" s="12" t="str">
        <f t="shared" si="110"/>
        <v/>
      </c>
      <c r="AD130" s="12" t="str">
        <f t="shared" si="111"/>
        <v/>
      </c>
      <c r="AE130" s="12" t="str">
        <f t="shared" si="112"/>
        <v/>
      </c>
      <c r="AF130" s="12" t="str">
        <f t="shared" si="113"/>
        <v/>
      </c>
      <c r="AG130" s="12"/>
      <c r="AH130" s="12">
        <f t="shared" si="114"/>
        <v>10.908334637997999</v>
      </c>
      <c r="AI130" s="12">
        <f t="shared" si="115"/>
        <v>10.9307293588419</v>
      </c>
      <c r="AJ130" s="12">
        <f t="shared" si="116"/>
        <v>10.945630291576398</v>
      </c>
      <c r="AK130" s="12">
        <f t="shared" si="117"/>
        <v>10.946136651872099</v>
      </c>
      <c r="AL130" s="12" t="str">
        <f t="shared" si="118"/>
        <v/>
      </c>
      <c r="AM130" s="12" t="str">
        <f t="shared" si="119"/>
        <v/>
      </c>
      <c r="AN130" s="12" t="str">
        <f t="shared" si="120"/>
        <v/>
      </c>
      <c r="AO130" s="12" t="str">
        <f t="shared" si="121"/>
        <v/>
      </c>
      <c r="AP130" s="12" t="str">
        <f t="shared" si="122"/>
        <v/>
      </c>
    </row>
    <row r="131" spans="1:42">
      <c r="A131" s="9">
        <f t="shared" si="123"/>
        <v>43123.787962962961</v>
      </c>
      <c r="B131" s="22">
        <f t="shared" si="124"/>
        <v>2458142.2879629629</v>
      </c>
      <c r="C131" s="23">
        <f t="shared" si="125"/>
        <v>9.3397614379889475</v>
      </c>
      <c r="D131" s="24">
        <f t="shared" ca="1" si="126"/>
        <v>4.9795750768509214E-2</v>
      </c>
      <c r="E131" s="24">
        <f t="shared" si="127"/>
        <v>1.7053339304283977E-2</v>
      </c>
      <c r="F131" s="25">
        <f t="shared" si="128"/>
        <v>10.94048476345505</v>
      </c>
      <c r="G131" s="7">
        <v>43123.787962962961</v>
      </c>
      <c r="H131" s="11">
        <v>2458142.2879630001</v>
      </c>
      <c r="I131" s="11">
        <v>-12.9650730266109</v>
      </c>
      <c r="J131" s="11">
        <v>-11.3643497011448</v>
      </c>
      <c r="K131" s="11">
        <v>-13.755176587530199</v>
      </c>
      <c r="L131" s="11">
        <v>-12.6257680455558</v>
      </c>
      <c r="M131" s="11">
        <v>-12.867654419644399</v>
      </c>
      <c r="N131" s="11">
        <v>-12.405738805668999</v>
      </c>
      <c r="O131" s="11"/>
      <c r="P131" s="11"/>
      <c r="Q131" s="11"/>
      <c r="R131" s="11"/>
      <c r="S131" s="11"/>
      <c r="T131" s="12"/>
      <c r="U131" s="12">
        <f t="shared" si="102"/>
        <v>4</v>
      </c>
      <c r="V131" s="28">
        <f t="shared" ca="1" si="103"/>
        <v>5.84</v>
      </c>
      <c r="W131" s="28">
        <f t="shared" si="104"/>
        <v>1.7053339304283977E-2</v>
      </c>
      <c r="X131" s="12">
        <f t="shared" si="105"/>
        <v>9.3161035609192986</v>
      </c>
      <c r="Y131" s="12">
        <f t="shared" si="106"/>
        <v>9.3396950189448997</v>
      </c>
      <c r="Z131" s="12">
        <f t="shared" si="107"/>
        <v>9.3555813930334981</v>
      </c>
      <c r="AA131" s="12">
        <f t="shared" si="108"/>
        <v>9.347665779058099</v>
      </c>
      <c r="AB131" s="12" t="str">
        <f t="shared" si="109"/>
        <v/>
      </c>
      <c r="AC131" s="12" t="str">
        <f t="shared" si="110"/>
        <v/>
      </c>
      <c r="AD131" s="12" t="str">
        <f t="shared" si="111"/>
        <v/>
      </c>
      <c r="AE131" s="12" t="str">
        <f t="shared" si="112"/>
        <v/>
      </c>
      <c r="AF131" s="12" t="str">
        <f t="shared" si="113"/>
        <v/>
      </c>
      <c r="AG131" s="12"/>
      <c r="AH131" s="12">
        <f t="shared" si="114"/>
        <v>10.916826886385399</v>
      </c>
      <c r="AI131" s="12">
        <f t="shared" si="115"/>
        <v>10.940418344411</v>
      </c>
      <c r="AJ131" s="12">
        <f t="shared" si="116"/>
        <v>10.956304718499599</v>
      </c>
      <c r="AK131" s="12">
        <f t="shared" si="117"/>
        <v>10.9483891045242</v>
      </c>
      <c r="AL131" s="12" t="str">
        <f t="shared" si="118"/>
        <v/>
      </c>
      <c r="AM131" s="12" t="str">
        <f t="shared" si="119"/>
        <v/>
      </c>
      <c r="AN131" s="12" t="str">
        <f t="shared" si="120"/>
        <v/>
      </c>
      <c r="AO131" s="12" t="str">
        <f t="shared" si="121"/>
        <v/>
      </c>
      <c r="AP131" s="12" t="str">
        <f t="shared" si="122"/>
        <v/>
      </c>
    </row>
    <row r="132" spans="1:42">
      <c r="A132" s="9">
        <f t="shared" si="123"/>
        <v>43123.78837962963</v>
      </c>
      <c r="B132" s="22">
        <f t="shared" si="124"/>
        <v>2458142.2883796296</v>
      </c>
      <c r="C132" s="23">
        <f t="shared" si="125"/>
        <v>9.3439856959305736</v>
      </c>
      <c r="D132" s="24">
        <f t="shared" ca="1" si="126"/>
        <v>6.989405060659154E-2</v>
      </c>
      <c r="E132" s="24">
        <f t="shared" si="127"/>
        <v>2.3936318700887513E-2</v>
      </c>
      <c r="F132" s="25">
        <f t="shared" si="128"/>
        <v>10.929521984521575</v>
      </c>
      <c r="G132" s="7">
        <v>43123.78837962963</v>
      </c>
      <c r="H132" s="11">
        <v>2458142.2883799998</v>
      </c>
      <c r="I132" s="11">
        <v>-12.969279554749701</v>
      </c>
      <c r="J132" s="11">
        <v>-11.383743266158699</v>
      </c>
      <c r="K132" s="11">
        <v>-13.751844447477</v>
      </c>
      <c r="L132" s="11">
        <v>-12.643546281604401</v>
      </c>
      <c r="M132" s="11">
        <v>-12.869067387010601</v>
      </c>
      <c r="N132" s="11">
        <v>-12.4236028866291</v>
      </c>
      <c r="O132" s="11"/>
      <c r="P132" s="11"/>
      <c r="Q132" s="11"/>
      <c r="R132" s="11"/>
      <c r="S132" s="11"/>
      <c r="T132" s="12"/>
      <c r="U132" s="12">
        <f t="shared" si="102"/>
        <v>4</v>
      </c>
      <c r="V132" s="28">
        <f t="shared" ca="1" si="103"/>
        <v>5.84</v>
      </c>
      <c r="W132" s="28">
        <f t="shared" si="104"/>
        <v>2.3936318700887513E-2</v>
      </c>
      <c r="X132" s="12">
        <f t="shared" si="105"/>
        <v>9.3085648927272988</v>
      </c>
      <c r="Y132" s="12">
        <f t="shared" si="106"/>
        <v>9.3532667268547005</v>
      </c>
      <c r="Z132" s="12">
        <f t="shared" si="107"/>
        <v>9.3527878322608995</v>
      </c>
      <c r="AA132" s="12">
        <f t="shared" si="108"/>
        <v>9.3613233318793991</v>
      </c>
      <c r="AB132" s="12" t="str">
        <f t="shared" si="109"/>
        <v/>
      </c>
      <c r="AC132" s="12" t="str">
        <f t="shared" si="110"/>
        <v/>
      </c>
      <c r="AD132" s="12" t="str">
        <f t="shared" si="111"/>
        <v/>
      </c>
      <c r="AE132" s="12" t="str">
        <f t="shared" si="112"/>
        <v/>
      </c>
      <c r="AF132" s="12" t="str">
        <f t="shared" si="113"/>
        <v/>
      </c>
      <c r="AG132" s="12"/>
      <c r="AH132" s="12">
        <f t="shared" si="114"/>
        <v>10.8941011813183</v>
      </c>
      <c r="AI132" s="12">
        <f t="shared" si="115"/>
        <v>10.938803015445702</v>
      </c>
      <c r="AJ132" s="12">
        <f t="shared" si="116"/>
        <v>10.938324120851901</v>
      </c>
      <c r="AK132" s="12">
        <f t="shared" si="117"/>
        <v>10.9468596204704</v>
      </c>
      <c r="AL132" s="12" t="str">
        <f t="shared" si="118"/>
        <v/>
      </c>
      <c r="AM132" s="12" t="str">
        <f t="shared" si="119"/>
        <v/>
      </c>
      <c r="AN132" s="12" t="str">
        <f t="shared" si="120"/>
        <v/>
      </c>
      <c r="AO132" s="12" t="str">
        <f t="shared" si="121"/>
        <v/>
      </c>
      <c r="AP132" s="12" t="str">
        <f t="shared" si="122"/>
        <v/>
      </c>
    </row>
    <row r="133" spans="1:42">
      <c r="A133" s="9">
        <f t="shared" si="123"/>
        <v>43123.788807870369</v>
      </c>
      <c r="B133" s="22">
        <f t="shared" si="124"/>
        <v>2458142.2888078704</v>
      </c>
      <c r="C133" s="23">
        <f t="shared" si="125"/>
        <v>9.3620853622997</v>
      </c>
      <c r="D133" s="24">
        <f t="shared" ca="1" si="126"/>
        <v>5.4947112580791914E-2</v>
      </c>
      <c r="E133" s="24">
        <f t="shared" si="127"/>
        <v>1.8817504308490381E-2</v>
      </c>
      <c r="F133" s="25">
        <f t="shared" si="128"/>
        <v>10.949599582483799</v>
      </c>
      <c r="G133" s="7">
        <v>43123.788807870369</v>
      </c>
      <c r="H133" s="11">
        <v>2458142.2888079998</v>
      </c>
      <c r="I133" s="11">
        <v>-12.948688456300101</v>
      </c>
      <c r="J133" s="11">
        <v>-11.361174236116</v>
      </c>
      <c r="K133" s="11">
        <v>-13.7567382563604</v>
      </c>
      <c r="L133" s="11">
        <v>-12.638091358308101</v>
      </c>
      <c r="M133" s="11">
        <v>-12.869159658027201</v>
      </c>
      <c r="N133" s="11">
        <v>-12.4141060017035</v>
      </c>
      <c r="O133" s="11"/>
      <c r="P133" s="11"/>
      <c r="Q133" s="11"/>
      <c r="R133" s="11"/>
      <c r="S133" s="11"/>
      <c r="T133" s="12"/>
      <c r="U133" s="12">
        <f t="shared" si="102"/>
        <v>4</v>
      </c>
      <c r="V133" s="28">
        <f t="shared" ca="1" si="103"/>
        <v>5.84</v>
      </c>
      <c r="W133" s="28">
        <f t="shared" si="104"/>
        <v>1.8817504308490381E-2</v>
      </c>
      <c r="X133" s="12">
        <f t="shared" si="105"/>
        <v>9.3340498000602992</v>
      </c>
      <c r="Y133" s="12">
        <f t="shared" si="106"/>
        <v>9.3684029020080004</v>
      </c>
      <c r="Z133" s="12">
        <f t="shared" si="107"/>
        <v>9.3734712017270994</v>
      </c>
      <c r="AA133" s="12">
        <f t="shared" si="108"/>
        <v>9.3724175454033993</v>
      </c>
      <c r="AB133" s="12" t="str">
        <f t="shared" si="109"/>
        <v/>
      </c>
      <c r="AC133" s="12" t="str">
        <f t="shared" si="110"/>
        <v/>
      </c>
      <c r="AD133" s="12" t="str">
        <f t="shared" si="111"/>
        <v/>
      </c>
      <c r="AE133" s="12" t="str">
        <f t="shared" si="112"/>
        <v/>
      </c>
      <c r="AF133" s="12" t="str">
        <f t="shared" si="113"/>
        <v/>
      </c>
      <c r="AG133" s="12"/>
      <c r="AH133" s="12">
        <f t="shared" si="114"/>
        <v>10.9215640202444</v>
      </c>
      <c r="AI133" s="12">
        <f t="shared" si="115"/>
        <v>10.955917122192101</v>
      </c>
      <c r="AJ133" s="12">
        <f t="shared" si="116"/>
        <v>10.9609854219112</v>
      </c>
      <c r="AK133" s="12">
        <f t="shared" si="117"/>
        <v>10.9599317655875</v>
      </c>
      <c r="AL133" s="12" t="str">
        <f t="shared" si="118"/>
        <v/>
      </c>
      <c r="AM133" s="12" t="str">
        <f t="shared" si="119"/>
        <v/>
      </c>
      <c r="AN133" s="12" t="str">
        <f t="shared" si="120"/>
        <v/>
      </c>
      <c r="AO133" s="12" t="str">
        <f t="shared" si="121"/>
        <v/>
      </c>
      <c r="AP133" s="12" t="str">
        <f t="shared" si="122"/>
        <v/>
      </c>
    </row>
    <row r="134" spans="1:42">
      <c r="A134" s="9">
        <f t="shared" si="123"/>
        <v>43123.789224537039</v>
      </c>
      <c r="B134" s="22">
        <f t="shared" si="124"/>
        <v>2458142.2892245371</v>
      </c>
      <c r="C134" s="23">
        <f t="shared" si="125"/>
        <v>9.3497129100870264</v>
      </c>
      <c r="D134" s="24">
        <f t="shared" ca="1" si="126"/>
        <v>6.1827538848057834E-2</v>
      </c>
      <c r="E134" s="24">
        <f t="shared" si="127"/>
        <v>2.117381467399241E-2</v>
      </c>
      <c r="F134" s="25">
        <f t="shared" si="128"/>
        <v>10.919599002069724</v>
      </c>
      <c r="G134" s="7">
        <v>43123.789224537039</v>
      </c>
      <c r="H134" s="11">
        <v>2458142.289225</v>
      </c>
      <c r="I134" s="11">
        <v>-12.9598075521494</v>
      </c>
      <c r="J134" s="11">
        <v>-11.3899214601667</v>
      </c>
      <c r="K134" s="11">
        <v>-13.752575340677099</v>
      </c>
      <c r="L134" s="11">
        <v>-12.6342122496323</v>
      </c>
      <c r="M134" s="11">
        <v>-12.871240136531201</v>
      </c>
      <c r="N134" s="11">
        <v>-12.415054122105101</v>
      </c>
      <c r="O134" s="11"/>
      <c r="P134" s="11"/>
      <c r="Q134" s="11"/>
      <c r="R134" s="11"/>
      <c r="S134" s="11"/>
      <c r="T134" s="12"/>
      <c r="U134" s="12">
        <f t="shared" si="102"/>
        <v>4</v>
      </c>
      <c r="V134" s="28">
        <f t="shared" ca="1" si="103"/>
        <v>5.84</v>
      </c>
      <c r="W134" s="28">
        <f t="shared" si="104"/>
        <v>2.117381467399241E-2</v>
      </c>
      <c r="X134" s="12">
        <f t="shared" si="105"/>
        <v>9.3187677885276994</v>
      </c>
      <c r="Y134" s="12">
        <f t="shared" si="106"/>
        <v>9.353404697482901</v>
      </c>
      <c r="Z134" s="12">
        <f t="shared" si="107"/>
        <v>9.3644325843818006</v>
      </c>
      <c r="AA134" s="12">
        <f t="shared" si="108"/>
        <v>9.3622465699557011</v>
      </c>
      <c r="AB134" s="12" t="str">
        <f t="shared" si="109"/>
        <v/>
      </c>
      <c r="AC134" s="12" t="str">
        <f t="shared" si="110"/>
        <v/>
      </c>
      <c r="AD134" s="12" t="str">
        <f t="shared" si="111"/>
        <v/>
      </c>
      <c r="AE134" s="12" t="str">
        <f t="shared" si="112"/>
        <v/>
      </c>
      <c r="AF134" s="12" t="str">
        <f t="shared" si="113"/>
        <v/>
      </c>
      <c r="AG134" s="12"/>
      <c r="AH134" s="12">
        <f t="shared" si="114"/>
        <v>10.888653880510399</v>
      </c>
      <c r="AI134" s="12">
        <f t="shared" si="115"/>
        <v>10.9232907894656</v>
      </c>
      <c r="AJ134" s="12">
        <f t="shared" si="116"/>
        <v>10.9343186763645</v>
      </c>
      <c r="AK134" s="12">
        <f t="shared" si="117"/>
        <v>10.9321326619384</v>
      </c>
      <c r="AL134" s="12" t="str">
        <f t="shared" si="118"/>
        <v/>
      </c>
      <c r="AM134" s="12" t="str">
        <f t="shared" si="119"/>
        <v/>
      </c>
      <c r="AN134" s="12" t="str">
        <f t="shared" si="120"/>
        <v/>
      </c>
      <c r="AO134" s="12" t="str">
        <f t="shared" si="121"/>
        <v/>
      </c>
      <c r="AP134" s="12" t="str">
        <f t="shared" si="122"/>
        <v/>
      </c>
    </row>
    <row r="135" spans="1:42">
      <c r="A135" s="9">
        <f t="shared" si="123"/>
        <v>43123.789652777778</v>
      </c>
      <c r="B135" s="22">
        <f t="shared" si="124"/>
        <v>2458142.2896527778</v>
      </c>
      <c r="C135" s="23">
        <f t="shared" si="125"/>
        <v>9.3617418081137505</v>
      </c>
      <c r="D135" s="24">
        <f t="shared" ca="1" si="126"/>
        <v>5.50596411098098E-2</v>
      </c>
      <c r="E135" s="24">
        <f t="shared" si="127"/>
        <v>1.885604147596226E-2</v>
      </c>
      <c r="F135" s="25">
        <f t="shared" si="128"/>
        <v>10.939372665605852</v>
      </c>
      <c r="G135" s="7">
        <v>43123.789652777778</v>
      </c>
      <c r="H135" s="11">
        <v>2458142.289653</v>
      </c>
      <c r="I135" s="11">
        <v>-12.945751143863699</v>
      </c>
      <c r="J135" s="11">
        <v>-11.3681202863716</v>
      </c>
      <c r="K135" s="11">
        <v>-13.7551365841086</v>
      </c>
      <c r="L135" s="11">
        <v>-12.6290895079535</v>
      </c>
      <c r="M135" s="11">
        <v>-12.8718367653928</v>
      </c>
      <c r="N135" s="11">
        <v>-12.408908950454901</v>
      </c>
      <c r="O135" s="11"/>
      <c r="P135" s="11"/>
      <c r="Q135" s="11"/>
      <c r="R135" s="11"/>
      <c r="S135" s="11"/>
      <c r="T135" s="12"/>
      <c r="U135" s="12">
        <f t="shared" si="102"/>
        <v>4</v>
      </c>
      <c r="V135" s="28">
        <f t="shared" ca="1" si="103"/>
        <v>5.84</v>
      </c>
      <c r="W135" s="28">
        <f t="shared" si="104"/>
        <v>1.885604147596226E-2</v>
      </c>
      <c r="X135" s="12">
        <f t="shared" si="105"/>
        <v>9.3353854402449006</v>
      </c>
      <c r="Y135" s="12">
        <f t="shared" si="106"/>
        <v>9.3623383640898012</v>
      </c>
      <c r="Z135" s="12">
        <f t="shared" si="107"/>
        <v>9.3790856215291001</v>
      </c>
      <c r="AA135" s="12">
        <f t="shared" si="108"/>
        <v>9.3701578065912017</v>
      </c>
      <c r="AB135" s="12" t="str">
        <f t="shared" si="109"/>
        <v/>
      </c>
      <c r="AC135" s="12" t="str">
        <f t="shared" si="110"/>
        <v/>
      </c>
      <c r="AD135" s="12" t="str">
        <f t="shared" si="111"/>
        <v/>
      </c>
      <c r="AE135" s="12" t="str">
        <f t="shared" si="112"/>
        <v/>
      </c>
      <c r="AF135" s="12" t="str">
        <f t="shared" si="113"/>
        <v/>
      </c>
      <c r="AG135" s="12"/>
      <c r="AH135" s="12">
        <f t="shared" si="114"/>
        <v>10.913016297737</v>
      </c>
      <c r="AI135" s="12">
        <f t="shared" si="115"/>
        <v>10.939969221581901</v>
      </c>
      <c r="AJ135" s="12">
        <f t="shared" si="116"/>
        <v>10.9567164790212</v>
      </c>
      <c r="AK135" s="12">
        <f t="shared" si="117"/>
        <v>10.947788664083301</v>
      </c>
      <c r="AL135" s="12" t="str">
        <f t="shared" si="118"/>
        <v/>
      </c>
      <c r="AM135" s="12" t="str">
        <f t="shared" si="119"/>
        <v/>
      </c>
      <c r="AN135" s="12" t="str">
        <f t="shared" si="120"/>
        <v/>
      </c>
      <c r="AO135" s="12" t="str">
        <f t="shared" si="121"/>
        <v/>
      </c>
      <c r="AP135" s="12" t="str">
        <f t="shared" si="122"/>
        <v/>
      </c>
    </row>
    <row r="136" spans="1:42">
      <c r="A136" s="9">
        <f t="shared" si="123"/>
        <v>43123.790069444447</v>
      </c>
      <c r="B136" s="22">
        <f t="shared" si="124"/>
        <v>2458142.2900694446</v>
      </c>
      <c r="C136" s="23">
        <f t="shared" si="125"/>
        <v>9.3652999150187259</v>
      </c>
      <c r="D136" s="24">
        <f t="shared" ca="1" si="126"/>
        <v>3.4346794789646078E-2</v>
      </c>
      <c r="E136" s="24">
        <f t="shared" si="127"/>
        <v>1.1762600955358247E-2</v>
      </c>
      <c r="F136" s="25">
        <f t="shared" si="128"/>
        <v>10.903471280728125</v>
      </c>
      <c r="G136" s="7">
        <v>43123.790069444447</v>
      </c>
      <c r="H136" s="11">
        <v>2458142.2900689999</v>
      </c>
      <c r="I136" s="11">
        <v>-12.944323639631699</v>
      </c>
      <c r="J136" s="11">
        <v>-11.4061522739223</v>
      </c>
      <c r="K136" s="11">
        <v>-13.7675017385796</v>
      </c>
      <c r="L136" s="11">
        <v>-12.6299143812906</v>
      </c>
      <c r="M136" s="11">
        <v>-12.867590456901</v>
      </c>
      <c r="N136" s="11">
        <v>-12.408487641830501</v>
      </c>
      <c r="O136" s="11"/>
      <c r="P136" s="11"/>
      <c r="Q136" s="11"/>
      <c r="R136" s="11"/>
      <c r="S136" s="11"/>
      <c r="T136" s="12"/>
      <c r="U136" s="12">
        <f t="shared" si="102"/>
        <v>4</v>
      </c>
      <c r="V136" s="28">
        <f t="shared" ca="1" si="103"/>
        <v>5.84</v>
      </c>
      <c r="W136" s="28">
        <f t="shared" si="104"/>
        <v>1.1762600955358247E-2</v>
      </c>
      <c r="X136" s="12">
        <f t="shared" si="105"/>
        <v>9.3491780989479008</v>
      </c>
      <c r="Y136" s="12">
        <f t="shared" si="106"/>
        <v>9.3645907416589012</v>
      </c>
      <c r="Z136" s="12">
        <f t="shared" si="107"/>
        <v>9.3762668172693004</v>
      </c>
      <c r="AA136" s="12">
        <f t="shared" si="108"/>
        <v>9.3711640021988014</v>
      </c>
      <c r="AB136" s="12" t="str">
        <f t="shared" si="109"/>
        <v/>
      </c>
      <c r="AC136" s="12" t="str">
        <f t="shared" si="110"/>
        <v/>
      </c>
      <c r="AD136" s="12" t="str">
        <f t="shared" si="111"/>
        <v/>
      </c>
      <c r="AE136" s="12" t="str">
        <f t="shared" si="112"/>
        <v/>
      </c>
      <c r="AF136" s="12" t="str">
        <f t="shared" si="113"/>
        <v/>
      </c>
      <c r="AG136" s="12"/>
      <c r="AH136" s="12">
        <f t="shared" si="114"/>
        <v>10.8873494646573</v>
      </c>
      <c r="AI136" s="12">
        <f t="shared" si="115"/>
        <v>10.9027621073683</v>
      </c>
      <c r="AJ136" s="12">
        <f t="shared" si="116"/>
        <v>10.914438182978699</v>
      </c>
      <c r="AK136" s="12">
        <f t="shared" si="117"/>
        <v>10.9093353679082</v>
      </c>
      <c r="AL136" s="12" t="str">
        <f t="shared" si="118"/>
        <v/>
      </c>
      <c r="AM136" s="12" t="str">
        <f t="shared" si="119"/>
        <v/>
      </c>
      <c r="AN136" s="12" t="str">
        <f t="shared" si="120"/>
        <v/>
      </c>
      <c r="AO136" s="12" t="str">
        <f t="shared" si="121"/>
        <v/>
      </c>
      <c r="AP136" s="12" t="str">
        <f t="shared" si="122"/>
        <v/>
      </c>
    </row>
    <row r="137" spans="1:42">
      <c r="A137" s="9">
        <f t="shared" si="123"/>
        <v>43123.790497685186</v>
      </c>
      <c r="B137" s="22">
        <f t="shared" si="124"/>
        <v>2458142.2904976853</v>
      </c>
      <c r="C137" s="23">
        <f t="shared" si="125"/>
        <v>9.3615298286713511</v>
      </c>
      <c r="D137" s="24">
        <f t="shared" ca="1" si="126"/>
        <v>4.4161455568427876E-2</v>
      </c>
      <c r="E137" s="24">
        <f t="shared" si="127"/>
        <v>1.5123786153571191E-2</v>
      </c>
      <c r="F137" s="25">
        <f t="shared" si="128"/>
        <v>10.917952323685149</v>
      </c>
      <c r="G137" s="7">
        <v>43123.790497685186</v>
      </c>
      <c r="H137" s="11">
        <v>2458142.2904980001</v>
      </c>
      <c r="I137" s="11">
        <v>-12.944596589644</v>
      </c>
      <c r="J137" s="11">
        <v>-11.3881740946302</v>
      </c>
      <c r="K137" s="11">
        <v>-13.7594229892294</v>
      </c>
      <c r="L137" s="11">
        <v>-12.6253784076934</v>
      </c>
      <c r="M137" s="11">
        <v>-12.8632418153949</v>
      </c>
      <c r="N137" s="11">
        <v>-12.411462460943699</v>
      </c>
      <c r="O137" s="11"/>
      <c r="P137" s="11"/>
      <c r="Q137" s="11"/>
      <c r="R137" s="11"/>
      <c r="S137" s="11"/>
      <c r="T137" s="12"/>
      <c r="U137" s="12">
        <f t="shared" si="102"/>
        <v>4</v>
      </c>
      <c r="V137" s="28">
        <f t="shared" ca="1" si="103"/>
        <v>5.84</v>
      </c>
      <c r="W137" s="28">
        <f t="shared" si="104"/>
        <v>1.5123786153571191E-2</v>
      </c>
      <c r="X137" s="12">
        <f t="shared" si="105"/>
        <v>9.3408263995853993</v>
      </c>
      <c r="Y137" s="12">
        <f t="shared" si="106"/>
        <v>9.3597818180494006</v>
      </c>
      <c r="Z137" s="12">
        <f t="shared" si="107"/>
        <v>9.3716452257508998</v>
      </c>
      <c r="AA137" s="12">
        <f t="shared" si="108"/>
        <v>9.3738658712996994</v>
      </c>
      <c r="AB137" s="12" t="str">
        <f t="shared" si="109"/>
        <v/>
      </c>
      <c r="AC137" s="12" t="str">
        <f t="shared" si="110"/>
        <v/>
      </c>
      <c r="AD137" s="12" t="str">
        <f t="shared" si="111"/>
        <v/>
      </c>
      <c r="AE137" s="12" t="str">
        <f t="shared" si="112"/>
        <v/>
      </c>
      <c r="AF137" s="12" t="str">
        <f t="shared" si="113"/>
        <v/>
      </c>
      <c r="AG137" s="12"/>
      <c r="AH137" s="12">
        <f t="shared" si="114"/>
        <v>10.897248894599199</v>
      </c>
      <c r="AI137" s="12">
        <f t="shared" si="115"/>
        <v>10.916204313063201</v>
      </c>
      <c r="AJ137" s="12">
        <f t="shared" si="116"/>
        <v>10.9280677207647</v>
      </c>
      <c r="AK137" s="12">
        <f t="shared" si="117"/>
        <v>10.9302883663135</v>
      </c>
      <c r="AL137" s="12" t="str">
        <f t="shared" si="118"/>
        <v/>
      </c>
      <c r="AM137" s="12" t="str">
        <f t="shared" si="119"/>
        <v/>
      </c>
      <c r="AN137" s="12" t="str">
        <f t="shared" si="120"/>
        <v/>
      </c>
      <c r="AO137" s="12" t="str">
        <f t="shared" si="121"/>
        <v/>
      </c>
      <c r="AP137" s="12" t="str">
        <f t="shared" si="122"/>
        <v/>
      </c>
    </row>
    <row r="138" spans="1:42">
      <c r="A138" s="9">
        <f t="shared" si="123"/>
        <v>43123.790914351855</v>
      </c>
      <c r="B138" s="22">
        <f t="shared" si="124"/>
        <v>2458142.2909143521</v>
      </c>
      <c r="C138" s="23">
        <f t="shared" si="125"/>
        <v>9.3786377635193752</v>
      </c>
      <c r="D138" s="24">
        <f t="shared" ca="1" si="126"/>
        <v>5.3317930414076897E-2</v>
      </c>
      <c r="E138" s="24">
        <f t="shared" si="127"/>
        <v>1.8259565210300307E-2</v>
      </c>
      <c r="F138" s="25">
        <f t="shared" si="128"/>
        <v>10.927693545360874</v>
      </c>
      <c r="G138" s="7">
        <v>43123.790914351855</v>
      </c>
      <c r="H138" s="11">
        <v>2458142.290914</v>
      </c>
      <c r="I138" s="11">
        <v>-12.9244296121774</v>
      </c>
      <c r="J138" s="11">
        <v>-11.375373830335899</v>
      </c>
      <c r="K138" s="11">
        <v>-13.752991604078099</v>
      </c>
      <c r="L138" s="11">
        <v>-12.622930937883799</v>
      </c>
      <c r="M138" s="11">
        <v>-12.8555505195515</v>
      </c>
      <c r="N138" s="11">
        <v>-12.415796441273701</v>
      </c>
      <c r="O138" s="11"/>
      <c r="P138" s="11"/>
      <c r="Q138" s="11"/>
      <c r="R138" s="11"/>
      <c r="S138" s="11"/>
      <c r="T138" s="12"/>
      <c r="U138" s="12">
        <f t="shared" si="102"/>
        <v>4</v>
      </c>
      <c r="V138" s="28">
        <f t="shared" ca="1" si="103"/>
        <v>5.84</v>
      </c>
      <c r="W138" s="28">
        <f t="shared" si="104"/>
        <v>1.8259565210300307E-2</v>
      </c>
      <c r="X138" s="12">
        <f t="shared" si="105"/>
        <v>9.3545619919006988</v>
      </c>
      <c r="Y138" s="12">
        <f t="shared" si="106"/>
        <v>9.3775013257063993</v>
      </c>
      <c r="Z138" s="12">
        <f t="shared" si="107"/>
        <v>9.3841209073740988</v>
      </c>
      <c r="AA138" s="12">
        <f t="shared" si="108"/>
        <v>9.3983668290963003</v>
      </c>
      <c r="AB138" s="12" t="str">
        <f t="shared" si="109"/>
        <v/>
      </c>
      <c r="AC138" s="12" t="str">
        <f t="shared" si="110"/>
        <v/>
      </c>
      <c r="AD138" s="12" t="str">
        <f t="shared" si="111"/>
        <v/>
      </c>
      <c r="AE138" s="12" t="str">
        <f t="shared" si="112"/>
        <v/>
      </c>
      <c r="AF138" s="12" t="str">
        <f t="shared" si="113"/>
        <v/>
      </c>
      <c r="AG138" s="12"/>
      <c r="AH138" s="12">
        <f t="shared" si="114"/>
        <v>10.9036177737422</v>
      </c>
      <c r="AI138" s="12">
        <f t="shared" si="115"/>
        <v>10.9265571075479</v>
      </c>
      <c r="AJ138" s="12">
        <f t="shared" si="116"/>
        <v>10.9331766892156</v>
      </c>
      <c r="AK138" s="12">
        <f t="shared" si="117"/>
        <v>10.947422610937801</v>
      </c>
      <c r="AL138" s="12" t="str">
        <f t="shared" si="118"/>
        <v/>
      </c>
      <c r="AM138" s="12" t="str">
        <f t="shared" si="119"/>
        <v/>
      </c>
      <c r="AN138" s="12" t="str">
        <f t="shared" si="120"/>
        <v/>
      </c>
      <c r="AO138" s="12" t="str">
        <f t="shared" si="121"/>
        <v/>
      </c>
      <c r="AP138" s="12" t="str">
        <f t="shared" si="122"/>
        <v/>
      </c>
    </row>
    <row r="139" spans="1:42">
      <c r="A139" s="9">
        <f t="shared" si="123"/>
        <v>43123.791331018518</v>
      </c>
      <c r="B139" s="22">
        <f t="shared" si="124"/>
        <v>2458142.2913310183</v>
      </c>
      <c r="C139" s="23">
        <f t="shared" si="125"/>
        <v>9.3713593778251756</v>
      </c>
      <c r="D139" s="24">
        <f t="shared" ca="1" si="126"/>
        <v>5.4232018101603864E-2</v>
      </c>
      <c r="E139" s="24">
        <f t="shared" si="127"/>
        <v>1.8572608938905433E-2</v>
      </c>
      <c r="F139" s="25">
        <f t="shared" si="128"/>
        <v>10.910898358592174</v>
      </c>
      <c r="G139" s="7">
        <v>43123.791331018518</v>
      </c>
      <c r="H139" s="11">
        <v>2458142.2913310002</v>
      </c>
      <c r="I139" s="11">
        <v>-12.9323943741124</v>
      </c>
      <c r="J139" s="11">
        <v>-11.3928553933454</v>
      </c>
      <c r="K139" s="11">
        <v>-13.751358165293199</v>
      </c>
      <c r="L139" s="11">
        <v>-12.634269451267199</v>
      </c>
      <c r="M139" s="11">
        <v>-12.8664423017534</v>
      </c>
      <c r="N139" s="11">
        <v>-12.397945089436501</v>
      </c>
      <c r="O139" s="11"/>
      <c r="P139" s="11"/>
      <c r="Q139" s="11"/>
      <c r="R139" s="11"/>
      <c r="S139" s="11"/>
      <c r="T139" s="12"/>
      <c r="U139" s="12">
        <f t="shared" si="102"/>
        <v>4</v>
      </c>
      <c r="V139" s="28">
        <f t="shared" ca="1" si="103"/>
        <v>5.84</v>
      </c>
      <c r="W139" s="28">
        <f t="shared" si="104"/>
        <v>1.8572608938905433E-2</v>
      </c>
      <c r="X139" s="12">
        <f t="shared" si="105"/>
        <v>9.344963791180799</v>
      </c>
      <c r="Y139" s="12">
        <f t="shared" si="106"/>
        <v>9.3808750771547995</v>
      </c>
      <c r="Z139" s="12">
        <f t="shared" si="107"/>
        <v>9.3870479276409995</v>
      </c>
      <c r="AA139" s="12">
        <f t="shared" si="108"/>
        <v>9.3725507153241008</v>
      </c>
      <c r="AB139" s="12" t="str">
        <f t="shared" si="109"/>
        <v/>
      </c>
      <c r="AC139" s="12" t="str">
        <f t="shared" si="110"/>
        <v/>
      </c>
      <c r="AD139" s="12" t="str">
        <f t="shared" si="111"/>
        <v/>
      </c>
      <c r="AE139" s="12" t="str">
        <f t="shared" si="112"/>
        <v/>
      </c>
      <c r="AF139" s="12" t="str">
        <f t="shared" si="113"/>
        <v/>
      </c>
      <c r="AG139" s="12"/>
      <c r="AH139" s="12">
        <f t="shared" si="114"/>
        <v>10.884502771947799</v>
      </c>
      <c r="AI139" s="12">
        <f t="shared" si="115"/>
        <v>10.9204140579218</v>
      </c>
      <c r="AJ139" s="12">
        <f t="shared" si="116"/>
        <v>10.926586908408</v>
      </c>
      <c r="AK139" s="12">
        <f t="shared" si="117"/>
        <v>10.912089696091101</v>
      </c>
      <c r="AL139" s="12" t="str">
        <f t="shared" si="118"/>
        <v/>
      </c>
      <c r="AM139" s="12" t="str">
        <f t="shared" si="119"/>
        <v/>
      </c>
      <c r="AN139" s="12" t="str">
        <f t="shared" si="120"/>
        <v/>
      </c>
      <c r="AO139" s="12" t="str">
        <f t="shared" si="121"/>
        <v/>
      </c>
      <c r="AP139" s="12" t="str">
        <f t="shared" si="122"/>
        <v/>
      </c>
    </row>
    <row r="140" spans="1:42">
      <c r="A140" s="9">
        <f t="shared" si="123"/>
        <v>43123.791747685187</v>
      </c>
      <c r="B140" s="22">
        <f t="shared" si="124"/>
        <v>2458142.2917476851</v>
      </c>
      <c r="C140" s="23">
        <f t="shared" si="125"/>
        <v>9.3858902120251262</v>
      </c>
      <c r="D140" s="24">
        <f t="shared" ca="1" si="126"/>
        <v>5.0975384013205616E-2</v>
      </c>
      <c r="E140" s="24">
        <f t="shared" si="127"/>
        <v>1.7457323292193704E-2</v>
      </c>
      <c r="F140" s="25">
        <f t="shared" si="128"/>
        <v>10.917671279105326</v>
      </c>
      <c r="G140" s="7">
        <v>43123.791747685187</v>
      </c>
      <c r="H140" s="11">
        <v>2458142.2917479998</v>
      </c>
      <c r="I140" s="11">
        <v>-12.923575289918199</v>
      </c>
      <c r="J140" s="11">
        <v>-11.391794222838</v>
      </c>
      <c r="K140" s="11">
        <v>-13.758633922023</v>
      </c>
      <c r="L140" s="11">
        <v>-12.6355401670943</v>
      </c>
      <c r="M140" s="11">
        <v>-12.872538593346601</v>
      </c>
      <c r="N140" s="11">
        <v>-12.4061493253094</v>
      </c>
      <c r="O140" s="11"/>
      <c r="P140" s="11"/>
      <c r="Q140" s="11"/>
      <c r="R140" s="11"/>
      <c r="S140" s="11"/>
      <c r="T140" s="12"/>
      <c r="U140" s="12">
        <f t="shared" si="102"/>
        <v>4</v>
      </c>
      <c r="V140" s="28">
        <f t="shared" ca="1" si="103"/>
        <v>5.84</v>
      </c>
      <c r="W140" s="28">
        <f t="shared" si="104"/>
        <v>1.7457323292193704E-2</v>
      </c>
      <c r="X140" s="12">
        <f t="shared" si="105"/>
        <v>9.3610586321048004</v>
      </c>
      <c r="Y140" s="12">
        <f t="shared" si="106"/>
        <v>9.390964877176101</v>
      </c>
      <c r="Z140" s="12">
        <f t="shared" si="107"/>
        <v>9.4019633034284009</v>
      </c>
      <c r="AA140" s="12">
        <f t="shared" si="108"/>
        <v>9.3895740353912007</v>
      </c>
      <c r="AB140" s="12" t="str">
        <f t="shared" si="109"/>
        <v/>
      </c>
      <c r="AC140" s="12" t="str">
        <f t="shared" si="110"/>
        <v/>
      </c>
      <c r="AD140" s="12" t="str">
        <f t="shared" si="111"/>
        <v/>
      </c>
      <c r="AE140" s="12" t="str">
        <f t="shared" si="112"/>
        <v/>
      </c>
      <c r="AF140" s="12" t="str">
        <f t="shared" si="113"/>
        <v/>
      </c>
      <c r="AG140" s="12"/>
      <c r="AH140" s="12">
        <f t="shared" si="114"/>
        <v>10.892839699185</v>
      </c>
      <c r="AI140" s="12">
        <f t="shared" si="115"/>
        <v>10.922745944256301</v>
      </c>
      <c r="AJ140" s="12">
        <f t="shared" si="116"/>
        <v>10.933744370508601</v>
      </c>
      <c r="AK140" s="12">
        <f t="shared" si="117"/>
        <v>10.9213551024714</v>
      </c>
      <c r="AL140" s="12" t="str">
        <f t="shared" si="118"/>
        <v/>
      </c>
      <c r="AM140" s="12" t="str">
        <f t="shared" si="119"/>
        <v/>
      </c>
      <c r="AN140" s="12" t="str">
        <f t="shared" si="120"/>
        <v/>
      </c>
      <c r="AO140" s="12" t="str">
        <f t="shared" si="121"/>
        <v/>
      </c>
      <c r="AP140" s="12" t="str">
        <f t="shared" si="122"/>
        <v/>
      </c>
    </row>
    <row r="141" spans="1:42">
      <c r="A141" s="9">
        <f t="shared" si="123"/>
        <v>43123.792175925926</v>
      </c>
      <c r="B141" s="22">
        <f t="shared" si="124"/>
        <v>2458142.2921759258</v>
      </c>
      <c r="C141" s="23">
        <f t="shared" si="125"/>
        <v>9.37608253785125</v>
      </c>
      <c r="D141" s="24">
        <f t="shared" ca="1" si="126"/>
        <v>6.7244938557334877E-2</v>
      </c>
      <c r="E141" s="24">
        <f t="shared" si="127"/>
        <v>2.3029088547032492E-2</v>
      </c>
      <c r="F141" s="25">
        <f t="shared" si="128"/>
        <v>10.911538472219849</v>
      </c>
      <c r="G141" s="7">
        <v>43123.792175925926</v>
      </c>
      <c r="H141" s="11">
        <v>2458142.2921759998</v>
      </c>
      <c r="I141" s="11">
        <v>-12.925754220491999</v>
      </c>
      <c r="J141" s="11">
        <v>-11.3902982861234</v>
      </c>
      <c r="K141" s="11">
        <v>-13.746999108798001</v>
      </c>
      <c r="L141" s="11">
        <v>-12.615239280307</v>
      </c>
      <c r="M141" s="11">
        <v>-12.862699681323599</v>
      </c>
      <c r="N141" s="11">
        <v>-12.4174089629444</v>
      </c>
      <c r="O141" s="11"/>
      <c r="P141" s="11"/>
      <c r="Q141" s="11"/>
      <c r="R141" s="11"/>
      <c r="S141" s="11"/>
      <c r="T141" s="12"/>
      <c r="U141" s="12">
        <f t="shared" si="102"/>
        <v>4</v>
      </c>
      <c r="V141" s="28">
        <f t="shared" ca="1" si="103"/>
        <v>5.84</v>
      </c>
      <c r="W141" s="28">
        <f t="shared" si="104"/>
        <v>2.3029088547032492E-2</v>
      </c>
      <c r="X141" s="12">
        <f t="shared" si="105"/>
        <v>9.3472448883060011</v>
      </c>
      <c r="Y141" s="12">
        <f t="shared" si="106"/>
        <v>9.3684850598150007</v>
      </c>
      <c r="Z141" s="12">
        <f t="shared" si="107"/>
        <v>9.3899454608315995</v>
      </c>
      <c r="AA141" s="12">
        <f t="shared" si="108"/>
        <v>9.3986547424524005</v>
      </c>
      <c r="AB141" s="12" t="str">
        <f t="shared" si="109"/>
        <v/>
      </c>
      <c r="AC141" s="12" t="str">
        <f t="shared" si="110"/>
        <v/>
      </c>
      <c r="AD141" s="12" t="str">
        <f t="shared" si="111"/>
        <v/>
      </c>
      <c r="AE141" s="12" t="str">
        <f t="shared" si="112"/>
        <v/>
      </c>
      <c r="AF141" s="12" t="str">
        <f t="shared" si="113"/>
        <v/>
      </c>
      <c r="AG141" s="12"/>
      <c r="AH141" s="12">
        <f t="shared" si="114"/>
        <v>10.8827008226746</v>
      </c>
      <c r="AI141" s="12">
        <f t="shared" si="115"/>
        <v>10.9039409941836</v>
      </c>
      <c r="AJ141" s="12">
        <f t="shared" si="116"/>
        <v>10.925401395200199</v>
      </c>
      <c r="AK141" s="12">
        <f t="shared" si="117"/>
        <v>10.934110676821</v>
      </c>
      <c r="AL141" s="12" t="str">
        <f t="shared" si="118"/>
        <v/>
      </c>
      <c r="AM141" s="12" t="str">
        <f t="shared" si="119"/>
        <v/>
      </c>
      <c r="AN141" s="12" t="str">
        <f t="shared" si="120"/>
        <v/>
      </c>
      <c r="AO141" s="12" t="str">
        <f t="shared" si="121"/>
        <v/>
      </c>
      <c r="AP141" s="12" t="str">
        <f t="shared" si="122"/>
        <v/>
      </c>
    </row>
    <row r="142" spans="1:42">
      <c r="A142" s="9">
        <f t="shared" si="123"/>
        <v>43123.792592592596</v>
      </c>
      <c r="B142" s="22">
        <f t="shared" si="124"/>
        <v>2458142.2925925925</v>
      </c>
      <c r="C142" s="23">
        <f t="shared" si="125"/>
        <v>9.3891426827397506</v>
      </c>
      <c r="D142" s="24">
        <f t="shared" ca="1" si="126"/>
        <v>5.0857621014139869E-2</v>
      </c>
      <c r="E142" s="24">
        <f t="shared" si="127"/>
        <v>1.7416993497993107E-2</v>
      </c>
      <c r="F142" s="25">
        <f t="shared" si="128"/>
        <v>10.92244013368245</v>
      </c>
      <c r="G142" s="7">
        <v>43123.792592592596</v>
      </c>
      <c r="H142" s="11">
        <v>2458142.292593</v>
      </c>
      <c r="I142" s="11">
        <v>-12.9154671918962</v>
      </c>
      <c r="J142" s="11">
        <v>-11.382169740953501</v>
      </c>
      <c r="K142" s="11">
        <v>-13.755600857106399</v>
      </c>
      <c r="L142" s="11">
        <v>-12.6218178416147</v>
      </c>
      <c r="M142" s="11">
        <v>-12.863124606960801</v>
      </c>
      <c r="N142" s="11">
        <v>-12.412896192861901</v>
      </c>
      <c r="O142" s="11"/>
      <c r="P142" s="11"/>
      <c r="Q142" s="11"/>
      <c r="R142" s="11"/>
      <c r="S142" s="11"/>
      <c r="T142" s="12"/>
      <c r="U142" s="12">
        <f t="shared" si="102"/>
        <v>4</v>
      </c>
      <c r="V142" s="28">
        <f t="shared" ca="1" si="103"/>
        <v>5.84</v>
      </c>
      <c r="W142" s="28">
        <f t="shared" si="104"/>
        <v>1.7416993497993107E-2</v>
      </c>
      <c r="X142" s="12">
        <f t="shared" si="105"/>
        <v>9.3661336652101994</v>
      </c>
      <c r="Y142" s="12">
        <f t="shared" si="106"/>
        <v>9.3853506497185002</v>
      </c>
      <c r="Z142" s="12">
        <f t="shared" si="107"/>
        <v>9.4006574150646003</v>
      </c>
      <c r="AA142" s="12">
        <f t="shared" si="108"/>
        <v>9.4044290009657008</v>
      </c>
      <c r="AB142" s="12" t="str">
        <f t="shared" si="109"/>
        <v/>
      </c>
      <c r="AC142" s="12" t="str">
        <f t="shared" si="110"/>
        <v/>
      </c>
      <c r="AD142" s="12" t="str">
        <f t="shared" si="111"/>
        <v/>
      </c>
      <c r="AE142" s="12" t="str">
        <f t="shared" si="112"/>
        <v/>
      </c>
      <c r="AF142" s="12" t="str">
        <f t="shared" si="113"/>
        <v/>
      </c>
      <c r="AG142" s="12"/>
      <c r="AH142" s="12">
        <f t="shared" si="114"/>
        <v>10.899431116152899</v>
      </c>
      <c r="AI142" s="12">
        <f t="shared" si="115"/>
        <v>10.9186481006612</v>
      </c>
      <c r="AJ142" s="12">
        <f t="shared" si="116"/>
        <v>10.9339548660073</v>
      </c>
      <c r="AK142" s="12">
        <f t="shared" si="117"/>
        <v>10.9377264519084</v>
      </c>
      <c r="AL142" s="12" t="str">
        <f t="shared" si="118"/>
        <v/>
      </c>
      <c r="AM142" s="12" t="str">
        <f t="shared" si="119"/>
        <v/>
      </c>
      <c r="AN142" s="12" t="str">
        <f t="shared" si="120"/>
        <v/>
      </c>
      <c r="AO142" s="12" t="str">
        <f t="shared" si="121"/>
        <v/>
      </c>
      <c r="AP142" s="12" t="str">
        <f t="shared" si="122"/>
        <v/>
      </c>
    </row>
    <row r="143" spans="1:42">
      <c r="A143" s="9">
        <f t="shared" si="123"/>
        <v>43123.793020833335</v>
      </c>
      <c r="B143" s="22">
        <f t="shared" si="124"/>
        <v>2458142.2930208333</v>
      </c>
      <c r="C143" s="23">
        <f t="shared" si="125"/>
        <v>9.3788051316113012</v>
      </c>
      <c r="D143" s="24">
        <f t="shared" ca="1" si="126"/>
        <v>6.6906438213349961E-2</v>
      </c>
      <c r="E143" s="24">
        <f t="shared" si="127"/>
        <v>2.2913163771695191E-2</v>
      </c>
      <c r="F143" s="25">
        <f t="shared" si="128"/>
        <v>10.917128088793302</v>
      </c>
      <c r="G143" s="7">
        <v>43123.793020833335</v>
      </c>
      <c r="H143" s="11">
        <v>2458142.293021</v>
      </c>
      <c r="I143" s="11">
        <v>-12.9293692181268</v>
      </c>
      <c r="J143" s="11">
        <v>-11.391046260944799</v>
      </c>
      <c r="K143" s="11">
        <v>-13.7599616691087</v>
      </c>
      <c r="L143" s="11">
        <v>-12.6119007109909</v>
      </c>
      <c r="M143" s="11">
        <v>-12.8762726361396</v>
      </c>
      <c r="N143" s="11">
        <v>-12.419562382713201</v>
      </c>
      <c r="O143" s="11"/>
      <c r="P143" s="11"/>
      <c r="Q143" s="11"/>
      <c r="R143" s="11"/>
      <c r="S143" s="11"/>
      <c r="T143" s="12"/>
      <c r="U143" s="12">
        <f t="shared" si="102"/>
        <v>4</v>
      </c>
      <c r="V143" s="28">
        <f t="shared" ca="1" si="103"/>
        <v>5.84</v>
      </c>
      <c r="W143" s="28">
        <f t="shared" si="104"/>
        <v>2.2913163771695191E-2</v>
      </c>
      <c r="X143" s="12">
        <f t="shared" si="105"/>
        <v>9.3565924509818998</v>
      </c>
      <c r="Y143" s="12">
        <f t="shared" si="106"/>
        <v>9.3615314928641009</v>
      </c>
      <c r="Z143" s="12">
        <f t="shared" si="107"/>
        <v>9.3999034180127996</v>
      </c>
      <c r="AA143" s="12">
        <f t="shared" si="108"/>
        <v>9.3971931645864011</v>
      </c>
      <c r="AB143" s="12" t="str">
        <f t="shared" si="109"/>
        <v/>
      </c>
      <c r="AC143" s="12" t="str">
        <f t="shared" si="110"/>
        <v/>
      </c>
      <c r="AD143" s="12" t="str">
        <f t="shared" si="111"/>
        <v/>
      </c>
      <c r="AE143" s="12" t="str">
        <f t="shared" si="112"/>
        <v/>
      </c>
      <c r="AF143" s="12" t="str">
        <f t="shared" si="113"/>
        <v/>
      </c>
      <c r="AG143" s="12"/>
      <c r="AH143" s="12">
        <f t="shared" si="114"/>
        <v>10.8949154081639</v>
      </c>
      <c r="AI143" s="12">
        <f t="shared" si="115"/>
        <v>10.899854450046101</v>
      </c>
      <c r="AJ143" s="12">
        <f t="shared" si="116"/>
        <v>10.9382263751948</v>
      </c>
      <c r="AK143" s="12">
        <f t="shared" si="117"/>
        <v>10.935516121768401</v>
      </c>
      <c r="AL143" s="12" t="str">
        <f t="shared" si="118"/>
        <v/>
      </c>
      <c r="AM143" s="12" t="str">
        <f t="shared" si="119"/>
        <v/>
      </c>
      <c r="AN143" s="12" t="str">
        <f t="shared" si="120"/>
        <v/>
      </c>
      <c r="AO143" s="12" t="str">
        <f t="shared" si="121"/>
        <v/>
      </c>
      <c r="AP143" s="12" t="str">
        <f t="shared" si="122"/>
        <v/>
      </c>
    </row>
    <row r="144" spans="1:42">
      <c r="A144" s="9">
        <f t="shared" si="123"/>
        <v>43123.793437499997</v>
      </c>
      <c r="B144" s="22">
        <f t="shared" si="124"/>
        <v>2458142.2934375</v>
      </c>
      <c r="C144" s="23">
        <f t="shared" si="125"/>
        <v>9.3889673869009247</v>
      </c>
      <c r="D144" s="24">
        <f t="shared" ca="1" si="126"/>
        <v>5.8539043179208126E-2</v>
      </c>
      <c r="E144" s="24">
        <f t="shared" si="127"/>
        <v>2.0047617527126072E-2</v>
      </c>
      <c r="F144" s="25">
        <f t="shared" si="128"/>
        <v>10.888180468753525</v>
      </c>
      <c r="G144" s="7">
        <v>43123.793437499997</v>
      </c>
      <c r="H144" s="11">
        <v>2458142.2934380001</v>
      </c>
      <c r="I144" s="11">
        <v>-12.9133772154578</v>
      </c>
      <c r="J144" s="11">
        <v>-11.414164133605199</v>
      </c>
      <c r="K144" s="11">
        <v>-13.7540018521823</v>
      </c>
      <c r="L144" s="11">
        <v>-12.6123997133892</v>
      </c>
      <c r="M144" s="11">
        <v>-12.861945009660801</v>
      </c>
      <c r="N144" s="11">
        <v>-12.416031834202601</v>
      </c>
      <c r="O144" s="11"/>
      <c r="P144" s="11"/>
      <c r="Q144" s="11"/>
      <c r="R144" s="11"/>
      <c r="S144" s="11"/>
      <c r="T144" s="12"/>
      <c r="U144" s="12">
        <f t="shared" si="102"/>
        <v>4</v>
      </c>
      <c r="V144" s="28">
        <f t="shared" ca="1" si="103"/>
        <v>5.84</v>
      </c>
      <c r="W144" s="28">
        <f t="shared" si="104"/>
        <v>2.0047617527126072E-2</v>
      </c>
      <c r="X144" s="12">
        <f t="shared" si="105"/>
        <v>9.3666246367245005</v>
      </c>
      <c r="Y144" s="12">
        <f t="shared" si="106"/>
        <v>9.3780224979314006</v>
      </c>
      <c r="Z144" s="12">
        <f t="shared" si="107"/>
        <v>9.4015677942030003</v>
      </c>
      <c r="AA144" s="12">
        <f t="shared" si="108"/>
        <v>9.4096546187448009</v>
      </c>
      <c r="AB144" s="12" t="str">
        <f t="shared" si="109"/>
        <v/>
      </c>
      <c r="AC144" s="12" t="str">
        <f t="shared" si="110"/>
        <v/>
      </c>
      <c r="AD144" s="12" t="str">
        <f t="shared" si="111"/>
        <v/>
      </c>
      <c r="AE144" s="12" t="str">
        <f t="shared" si="112"/>
        <v/>
      </c>
      <c r="AF144" s="12" t="str">
        <f t="shared" si="113"/>
        <v/>
      </c>
      <c r="AG144" s="12"/>
      <c r="AH144" s="12">
        <f t="shared" si="114"/>
        <v>10.865837718577101</v>
      </c>
      <c r="AI144" s="12">
        <f t="shared" si="115"/>
        <v>10.877235579784001</v>
      </c>
      <c r="AJ144" s="12">
        <f t="shared" si="116"/>
        <v>10.900780876055601</v>
      </c>
      <c r="AK144" s="12">
        <f t="shared" si="117"/>
        <v>10.908867700597401</v>
      </c>
      <c r="AL144" s="12" t="str">
        <f t="shared" si="118"/>
        <v/>
      </c>
      <c r="AM144" s="12" t="str">
        <f t="shared" si="119"/>
        <v/>
      </c>
      <c r="AN144" s="12" t="str">
        <f t="shared" si="120"/>
        <v/>
      </c>
      <c r="AO144" s="12" t="str">
        <f t="shared" si="121"/>
        <v/>
      </c>
      <c r="AP144" s="12" t="str">
        <f t="shared" si="122"/>
        <v/>
      </c>
    </row>
    <row r="145" spans="1:42">
      <c r="A145" s="9">
        <f t="shared" si="123"/>
        <v>43123.793854166666</v>
      </c>
      <c r="B145" s="22">
        <f t="shared" si="124"/>
        <v>2458142.2938541668</v>
      </c>
      <c r="C145" s="23">
        <f t="shared" si="125"/>
        <v>9.4006820374816993</v>
      </c>
      <c r="D145" s="24">
        <f t="shared" ca="1" si="126"/>
        <v>4.0780963132866596E-2</v>
      </c>
      <c r="E145" s="24">
        <f t="shared" si="127"/>
        <v>1.3966083264680341E-2</v>
      </c>
      <c r="F145" s="25">
        <f t="shared" si="128"/>
        <v>10.8968149871974</v>
      </c>
      <c r="G145" s="7">
        <v>43123.793854166666</v>
      </c>
      <c r="H145" s="11">
        <v>2458142.293854</v>
      </c>
      <c r="I145" s="11">
        <v>-12.9099420341211</v>
      </c>
      <c r="J145" s="11">
        <v>-11.413809084405401</v>
      </c>
      <c r="K145" s="11">
        <v>-13.7642697186823</v>
      </c>
      <c r="L145" s="11">
        <v>-12.634074773425301</v>
      </c>
      <c r="M145" s="11">
        <v>-12.868088917593401</v>
      </c>
      <c r="N145" s="11">
        <v>-12.411062876710201</v>
      </c>
      <c r="O145" s="11"/>
      <c r="P145" s="11"/>
      <c r="Q145" s="11"/>
      <c r="R145" s="11"/>
      <c r="S145" s="11"/>
      <c r="T145" s="12"/>
      <c r="U145" s="12">
        <f t="shared" si="102"/>
        <v>4</v>
      </c>
      <c r="V145" s="28">
        <f t="shared" ca="1" si="103"/>
        <v>5.84</v>
      </c>
      <c r="W145" s="28">
        <f t="shared" si="104"/>
        <v>1.3966083264680341E-2</v>
      </c>
      <c r="X145" s="12">
        <f t="shared" si="105"/>
        <v>9.3803276845612</v>
      </c>
      <c r="Y145" s="12">
        <f t="shared" si="106"/>
        <v>9.4031327393042012</v>
      </c>
      <c r="Z145" s="12">
        <f t="shared" si="107"/>
        <v>9.4111468834723002</v>
      </c>
      <c r="AA145" s="12">
        <f t="shared" si="108"/>
        <v>9.408120842589101</v>
      </c>
      <c r="AB145" s="12" t="str">
        <f t="shared" si="109"/>
        <v/>
      </c>
      <c r="AC145" s="12" t="str">
        <f t="shared" si="110"/>
        <v/>
      </c>
      <c r="AD145" s="12" t="str">
        <f t="shared" si="111"/>
        <v/>
      </c>
      <c r="AE145" s="12" t="str">
        <f t="shared" si="112"/>
        <v/>
      </c>
      <c r="AF145" s="12" t="str">
        <f t="shared" si="113"/>
        <v/>
      </c>
      <c r="AG145" s="12"/>
      <c r="AH145" s="12">
        <f t="shared" si="114"/>
        <v>10.876460634276899</v>
      </c>
      <c r="AI145" s="12">
        <f t="shared" si="115"/>
        <v>10.8992656890199</v>
      </c>
      <c r="AJ145" s="12">
        <f t="shared" si="116"/>
        <v>10.907279833187999</v>
      </c>
      <c r="AK145" s="12">
        <f t="shared" si="117"/>
        <v>10.9042537923048</v>
      </c>
      <c r="AL145" s="12" t="str">
        <f t="shared" si="118"/>
        <v/>
      </c>
      <c r="AM145" s="12" t="str">
        <f t="shared" si="119"/>
        <v/>
      </c>
      <c r="AN145" s="12" t="str">
        <f t="shared" si="120"/>
        <v/>
      </c>
      <c r="AO145" s="12" t="str">
        <f t="shared" si="121"/>
        <v/>
      </c>
      <c r="AP145" s="12" t="str">
        <f t="shared" si="122"/>
        <v/>
      </c>
    </row>
    <row r="146" spans="1:42">
      <c r="A146" s="9">
        <f t="shared" si="123"/>
        <v>43123.794282407405</v>
      </c>
      <c r="B146" s="22">
        <f t="shared" si="124"/>
        <v>2458142.2942824075</v>
      </c>
      <c r="C146" s="23">
        <f t="shared" si="125"/>
        <v>9.4012520644894497</v>
      </c>
      <c r="D146" s="24">
        <f t="shared" ca="1" si="126"/>
        <v>5.524727603037248E-2</v>
      </c>
      <c r="E146" s="24">
        <f t="shared" si="127"/>
        <v>1.8920300010401535E-2</v>
      </c>
      <c r="F146" s="25">
        <f t="shared" si="128"/>
        <v>10.92114585689365</v>
      </c>
      <c r="G146" s="7">
        <v>43123.794282407405</v>
      </c>
      <c r="H146" s="11">
        <v>2458142.294282</v>
      </c>
      <c r="I146" s="11">
        <v>-12.9011687985695</v>
      </c>
      <c r="J146" s="11">
        <v>-11.3812750061653</v>
      </c>
      <c r="K146" s="11">
        <v>-13.7480587003182</v>
      </c>
      <c r="L146" s="11">
        <v>-12.6338319692629</v>
      </c>
      <c r="M146" s="11">
        <v>-12.858465797142699</v>
      </c>
      <c r="N146" s="11">
        <v>-12.404326985512</v>
      </c>
      <c r="O146" s="11"/>
      <c r="P146" s="11"/>
      <c r="Q146" s="11"/>
      <c r="R146" s="11"/>
      <c r="S146" s="11"/>
      <c r="T146" s="12"/>
      <c r="U146" s="12">
        <f t="shared" si="102"/>
        <v>4</v>
      </c>
      <c r="V146" s="28">
        <f t="shared" ca="1" si="103"/>
        <v>5.84</v>
      </c>
      <c r="W146" s="28">
        <f t="shared" si="104"/>
        <v>1.8920300010401535E-2</v>
      </c>
      <c r="X146" s="12">
        <f t="shared" si="105"/>
        <v>9.3728899017486995</v>
      </c>
      <c r="Y146" s="12">
        <f t="shared" si="106"/>
        <v>9.4116631706933997</v>
      </c>
      <c r="Z146" s="12">
        <f t="shared" si="107"/>
        <v>9.4102969985731981</v>
      </c>
      <c r="AA146" s="12">
        <f t="shared" si="108"/>
        <v>9.4101581869424997</v>
      </c>
      <c r="AB146" s="12" t="str">
        <f t="shared" si="109"/>
        <v/>
      </c>
      <c r="AC146" s="12" t="str">
        <f t="shared" si="110"/>
        <v/>
      </c>
      <c r="AD146" s="12" t="str">
        <f t="shared" si="111"/>
        <v/>
      </c>
      <c r="AE146" s="12" t="str">
        <f t="shared" si="112"/>
        <v/>
      </c>
      <c r="AF146" s="12" t="str">
        <f t="shared" si="113"/>
        <v/>
      </c>
      <c r="AG146" s="12"/>
      <c r="AH146" s="12">
        <f t="shared" si="114"/>
        <v>10.8927836941529</v>
      </c>
      <c r="AI146" s="12">
        <f t="shared" si="115"/>
        <v>10.9315569630976</v>
      </c>
      <c r="AJ146" s="12">
        <f t="shared" si="116"/>
        <v>10.930190790977399</v>
      </c>
      <c r="AK146" s="12">
        <f t="shared" si="117"/>
        <v>10.9300519793467</v>
      </c>
      <c r="AL146" s="12" t="str">
        <f t="shared" si="118"/>
        <v/>
      </c>
      <c r="AM146" s="12" t="str">
        <f t="shared" si="119"/>
        <v/>
      </c>
      <c r="AN146" s="12" t="str">
        <f t="shared" si="120"/>
        <v/>
      </c>
      <c r="AO146" s="12" t="str">
        <f t="shared" si="121"/>
        <v/>
      </c>
      <c r="AP146" s="12" t="str">
        <f t="shared" si="122"/>
        <v/>
      </c>
    </row>
    <row r="147" spans="1:42">
      <c r="A147" s="9">
        <f t="shared" si="123"/>
        <v>43123.794699074075</v>
      </c>
      <c r="B147" s="22">
        <f t="shared" si="124"/>
        <v>2458142.2946990742</v>
      </c>
      <c r="C147" s="23">
        <f t="shared" si="125"/>
        <v>9.4141452986570737</v>
      </c>
      <c r="D147" s="24">
        <f t="shared" ca="1" si="126"/>
        <v>5.6958993359359229E-2</v>
      </c>
      <c r="E147" s="24">
        <f t="shared" si="127"/>
        <v>1.9506504575123023E-2</v>
      </c>
      <c r="F147" s="25">
        <f t="shared" si="128"/>
        <v>10.915117489784077</v>
      </c>
      <c r="G147" s="7">
        <v>43123.794699074075</v>
      </c>
      <c r="H147" s="11">
        <v>2458142.2946990002</v>
      </c>
      <c r="I147" s="11">
        <v>-12.8990982311214</v>
      </c>
      <c r="J147" s="11">
        <v>-11.3981260399944</v>
      </c>
      <c r="K147" s="11">
        <v>-13.7668009755028</v>
      </c>
      <c r="L147" s="11">
        <v>-12.6213392804428</v>
      </c>
      <c r="M147" s="11">
        <v>-12.8761790866005</v>
      </c>
      <c r="N147" s="11">
        <v>-12.423654776567799</v>
      </c>
      <c r="O147" s="11"/>
      <c r="P147" s="11"/>
      <c r="Q147" s="11"/>
      <c r="R147" s="11"/>
      <c r="S147" s="11"/>
      <c r="T147" s="12"/>
      <c r="U147" s="12">
        <f t="shared" si="102"/>
        <v>4</v>
      </c>
      <c r="V147" s="28">
        <f t="shared" ca="1" si="103"/>
        <v>5.84</v>
      </c>
      <c r="W147" s="28">
        <f t="shared" si="104"/>
        <v>1.9506504575123023E-2</v>
      </c>
      <c r="X147" s="12">
        <f t="shared" si="105"/>
        <v>9.3937027443814003</v>
      </c>
      <c r="Y147" s="12">
        <f t="shared" si="106"/>
        <v>9.4012410493214009</v>
      </c>
      <c r="Z147" s="12">
        <f t="shared" si="107"/>
        <v>9.4300808554790994</v>
      </c>
      <c r="AA147" s="12">
        <f t="shared" si="108"/>
        <v>9.4315565454463997</v>
      </c>
      <c r="AB147" s="12" t="str">
        <f t="shared" si="109"/>
        <v/>
      </c>
      <c r="AC147" s="12" t="str">
        <f t="shared" si="110"/>
        <v/>
      </c>
      <c r="AD147" s="12" t="str">
        <f t="shared" si="111"/>
        <v/>
      </c>
      <c r="AE147" s="12" t="str">
        <f t="shared" si="112"/>
        <v/>
      </c>
      <c r="AF147" s="12" t="str">
        <f t="shared" si="113"/>
        <v/>
      </c>
      <c r="AG147" s="12"/>
      <c r="AH147" s="12">
        <f t="shared" si="114"/>
        <v>10.8946749355084</v>
      </c>
      <c r="AI147" s="12">
        <f t="shared" si="115"/>
        <v>10.9022132404484</v>
      </c>
      <c r="AJ147" s="12">
        <f t="shared" si="116"/>
        <v>10.931053046606099</v>
      </c>
      <c r="AK147" s="12">
        <f t="shared" si="117"/>
        <v>10.932528736573399</v>
      </c>
      <c r="AL147" s="12" t="str">
        <f t="shared" si="118"/>
        <v/>
      </c>
      <c r="AM147" s="12" t="str">
        <f t="shared" si="119"/>
        <v/>
      </c>
      <c r="AN147" s="12" t="str">
        <f t="shared" si="120"/>
        <v/>
      </c>
      <c r="AO147" s="12" t="str">
        <f t="shared" si="121"/>
        <v/>
      </c>
      <c r="AP147" s="12" t="str">
        <f t="shared" si="122"/>
        <v/>
      </c>
    </row>
    <row r="148" spans="1:42">
      <c r="A148" s="9">
        <f t="shared" si="123"/>
        <v>43123.795115740744</v>
      </c>
      <c r="B148" s="22">
        <f t="shared" si="124"/>
        <v>2458142.295115741</v>
      </c>
      <c r="C148" s="23">
        <f t="shared" si="125"/>
        <v>9.3952517073563264</v>
      </c>
      <c r="D148" s="24">
        <f t="shared" ca="1" si="126"/>
        <v>6.6174671412252917E-2</v>
      </c>
      <c r="E148" s="24">
        <f t="shared" si="127"/>
        <v>2.2662558702826342E-2</v>
      </c>
      <c r="F148" s="25">
        <f t="shared" si="128"/>
        <v>10.940818439720726</v>
      </c>
      <c r="G148" s="7">
        <v>43123.795115740744</v>
      </c>
      <c r="H148" s="11">
        <v>2458142.2951159999</v>
      </c>
      <c r="I148" s="11">
        <v>-12.9095746804839</v>
      </c>
      <c r="J148" s="11">
        <v>-11.3640079481195</v>
      </c>
      <c r="K148" s="11">
        <v>-13.746859071147099</v>
      </c>
      <c r="L148" s="11">
        <v>-12.6259808266317</v>
      </c>
      <c r="M148" s="11">
        <v>-12.870263825880899</v>
      </c>
      <c r="N148" s="11">
        <v>-12.4112018277012</v>
      </c>
      <c r="O148" s="11"/>
      <c r="P148" s="11"/>
      <c r="Q148" s="11"/>
      <c r="R148" s="11"/>
      <c r="S148" s="11"/>
      <c r="T148" s="12"/>
      <c r="U148" s="12">
        <f t="shared" si="102"/>
        <v>4</v>
      </c>
      <c r="V148" s="28">
        <f t="shared" ca="1" si="103"/>
        <v>5.84</v>
      </c>
      <c r="W148" s="28">
        <f t="shared" si="104"/>
        <v>2.2662558702826342E-2</v>
      </c>
      <c r="X148" s="12">
        <f t="shared" si="105"/>
        <v>9.3632843906631997</v>
      </c>
      <c r="Y148" s="12">
        <f t="shared" si="106"/>
        <v>9.3954061461478009</v>
      </c>
      <c r="Z148" s="12">
        <f t="shared" si="107"/>
        <v>9.4136891453969991</v>
      </c>
      <c r="AA148" s="12">
        <f t="shared" si="108"/>
        <v>9.4086271472173006</v>
      </c>
      <c r="AB148" s="12" t="str">
        <f t="shared" si="109"/>
        <v/>
      </c>
      <c r="AC148" s="12" t="str">
        <f t="shared" si="110"/>
        <v/>
      </c>
      <c r="AD148" s="12" t="str">
        <f t="shared" si="111"/>
        <v/>
      </c>
      <c r="AE148" s="12" t="str">
        <f t="shared" si="112"/>
        <v/>
      </c>
      <c r="AF148" s="12" t="str">
        <f t="shared" si="113"/>
        <v/>
      </c>
      <c r="AG148" s="12"/>
      <c r="AH148" s="12">
        <f t="shared" si="114"/>
        <v>10.908851123027599</v>
      </c>
      <c r="AI148" s="12">
        <f t="shared" si="115"/>
        <v>10.9409728785122</v>
      </c>
      <c r="AJ148" s="12">
        <f t="shared" si="116"/>
        <v>10.959255877761398</v>
      </c>
      <c r="AK148" s="12">
        <f t="shared" si="117"/>
        <v>10.9541938795817</v>
      </c>
      <c r="AL148" s="12" t="str">
        <f t="shared" si="118"/>
        <v/>
      </c>
      <c r="AM148" s="12" t="str">
        <f t="shared" si="119"/>
        <v/>
      </c>
      <c r="AN148" s="12" t="str">
        <f t="shared" si="120"/>
        <v/>
      </c>
      <c r="AO148" s="12" t="str">
        <f t="shared" si="121"/>
        <v/>
      </c>
      <c r="AP148" s="12" t="str">
        <f t="shared" si="122"/>
        <v/>
      </c>
    </row>
    <row r="149" spans="1:42">
      <c r="A149" s="9">
        <f t="shared" si="123"/>
        <v>43123.795543981483</v>
      </c>
      <c r="B149" s="22">
        <f t="shared" si="124"/>
        <v>2458142.2955439817</v>
      </c>
      <c r="C149" s="23">
        <f t="shared" si="125"/>
        <v>9.4026137929973252</v>
      </c>
      <c r="D149" s="24">
        <f t="shared" ca="1" si="126"/>
        <v>6.077033546698437E-2</v>
      </c>
      <c r="E149" s="24">
        <f t="shared" si="127"/>
        <v>2.0811758721569991E-2</v>
      </c>
      <c r="F149" s="25">
        <f t="shared" si="128"/>
        <v>10.913251402287724</v>
      </c>
      <c r="G149" s="7">
        <v>43123.795543981483</v>
      </c>
      <c r="H149" s="11">
        <v>2458142.2955439999</v>
      </c>
      <c r="I149" s="11">
        <v>-12.891848138718601</v>
      </c>
      <c r="J149" s="11">
        <v>-11.3812105294282</v>
      </c>
      <c r="K149" s="11">
        <v>-13.7427947882308</v>
      </c>
      <c r="L149" s="11">
        <v>-12.6083064120527</v>
      </c>
      <c r="M149" s="11">
        <v>-12.8629091633508</v>
      </c>
      <c r="N149" s="11">
        <v>-12.398837363229401</v>
      </c>
      <c r="O149" s="11"/>
      <c r="P149" s="11"/>
      <c r="Q149" s="11"/>
      <c r="R149" s="11"/>
      <c r="S149" s="11"/>
      <c r="T149" s="12"/>
      <c r="U149" s="12">
        <f t="shared" si="102"/>
        <v>4</v>
      </c>
      <c r="V149" s="28">
        <f t="shared" ca="1" si="103"/>
        <v>5.84</v>
      </c>
      <c r="W149" s="28">
        <f t="shared" si="104"/>
        <v>2.0811758721569991E-2</v>
      </c>
      <c r="X149" s="12">
        <f t="shared" si="105"/>
        <v>9.3769466495121989</v>
      </c>
      <c r="Y149" s="12">
        <f t="shared" si="106"/>
        <v>9.3954582733340999</v>
      </c>
      <c r="Z149" s="12">
        <f t="shared" si="107"/>
        <v>9.4240610246321985</v>
      </c>
      <c r="AA149" s="12">
        <f t="shared" si="108"/>
        <v>9.4139892245108001</v>
      </c>
      <c r="AB149" s="12" t="str">
        <f t="shared" si="109"/>
        <v/>
      </c>
      <c r="AC149" s="12" t="str">
        <f t="shared" si="110"/>
        <v/>
      </c>
      <c r="AD149" s="12" t="str">
        <f t="shared" si="111"/>
        <v/>
      </c>
      <c r="AE149" s="12" t="str">
        <f t="shared" si="112"/>
        <v/>
      </c>
      <c r="AF149" s="12" t="str">
        <f t="shared" si="113"/>
        <v/>
      </c>
      <c r="AG149" s="12"/>
      <c r="AH149" s="12">
        <f t="shared" si="114"/>
        <v>10.887584258802599</v>
      </c>
      <c r="AI149" s="12">
        <f t="shared" si="115"/>
        <v>10.9060958826245</v>
      </c>
      <c r="AJ149" s="12">
        <f t="shared" si="116"/>
        <v>10.934698633922599</v>
      </c>
      <c r="AK149" s="12">
        <f t="shared" si="117"/>
        <v>10.9246268338012</v>
      </c>
      <c r="AL149" s="12" t="str">
        <f t="shared" si="118"/>
        <v/>
      </c>
      <c r="AM149" s="12" t="str">
        <f t="shared" si="119"/>
        <v/>
      </c>
      <c r="AN149" s="12" t="str">
        <f t="shared" si="120"/>
        <v/>
      </c>
      <c r="AO149" s="12" t="str">
        <f t="shared" si="121"/>
        <v/>
      </c>
      <c r="AP149" s="12" t="str">
        <f t="shared" si="122"/>
        <v/>
      </c>
    </row>
    <row r="150" spans="1:42">
      <c r="A150" s="9">
        <f t="shared" si="123"/>
        <v>43123.795960648145</v>
      </c>
      <c r="B150" s="22">
        <f t="shared" si="124"/>
        <v>2458142.295960648</v>
      </c>
      <c r="C150" s="23">
        <f t="shared" si="125"/>
        <v>9.4029107564334495</v>
      </c>
      <c r="D150" s="24">
        <f t="shared" ca="1" si="126"/>
        <v>6.9961029373669409E-2</v>
      </c>
      <c r="E150" s="24">
        <f t="shared" si="127"/>
        <v>2.395925663481829E-2</v>
      </c>
      <c r="F150" s="25">
        <f t="shared" si="128"/>
        <v>10.91970972121225</v>
      </c>
      <c r="G150" s="7">
        <v>43123.795960648145</v>
      </c>
      <c r="H150" s="11">
        <v>2458142.295961</v>
      </c>
      <c r="I150" s="11">
        <v>-12.900460483301799</v>
      </c>
      <c r="J150" s="11">
        <v>-11.383661518523001</v>
      </c>
      <c r="K150" s="11">
        <v>-13.7426717877842</v>
      </c>
      <c r="L150" s="11">
        <v>-12.635067835320999</v>
      </c>
      <c r="M150" s="11">
        <v>-12.8699753074531</v>
      </c>
      <c r="N150" s="11">
        <v>-12.4007700283827</v>
      </c>
      <c r="O150" s="11"/>
      <c r="P150" s="11"/>
      <c r="Q150" s="11"/>
      <c r="R150" s="11"/>
      <c r="S150" s="11"/>
      <c r="T150" s="12"/>
      <c r="U150" s="12">
        <f t="shared" si="102"/>
        <v>4</v>
      </c>
      <c r="V150" s="28">
        <f t="shared" ca="1" si="103"/>
        <v>5.84</v>
      </c>
      <c r="W150" s="28">
        <f t="shared" si="104"/>
        <v>2.395925663481829E-2</v>
      </c>
      <c r="X150" s="12">
        <f t="shared" si="105"/>
        <v>9.3682113044824007</v>
      </c>
      <c r="Y150" s="12">
        <f t="shared" si="106"/>
        <v>9.4136073520192003</v>
      </c>
      <c r="Z150" s="12">
        <f t="shared" si="107"/>
        <v>9.4225148241512997</v>
      </c>
      <c r="AA150" s="12">
        <f t="shared" si="108"/>
        <v>9.407309545080901</v>
      </c>
      <c r="AB150" s="12" t="str">
        <f t="shared" si="109"/>
        <v/>
      </c>
      <c r="AC150" s="12" t="str">
        <f t="shared" si="110"/>
        <v/>
      </c>
      <c r="AD150" s="12" t="str">
        <f t="shared" si="111"/>
        <v/>
      </c>
      <c r="AE150" s="12" t="str">
        <f t="shared" si="112"/>
        <v/>
      </c>
      <c r="AF150" s="12" t="str">
        <f t="shared" si="113"/>
        <v/>
      </c>
      <c r="AG150" s="12"/>
      <c r="AH150" s="12">
        <f t="shared" si="114"/>
        <v>10.885010269261199</v>
      </c>
      <c r="AI150" s="12">
        <f t="shared" si="115"/>
        <v>10.930406316797999</v>
      </c>
      <c r="AJ150" s="12">
        <f t="shared" si="116"/>
        <v>10.939313788930098</v>
      </c>
      <c r="AK150" s="12">
        <f t="shared" si="117"/>
        <v>10.9241085098597</v>
      </c>
      <c r="AL150" s="12" t="str">
        <f t="shared" si="118"/>
        <v/>
      </c>
      <c r="AM150" s="12" t="str">
        <f t="shared" si="119"/>
        <v/>
      </c>
      <c r="AN150" s="12" t="str">
        <f t="shared" si="120"/>
        <v/>
      </c>
      <c r="AO150" s="12" t="str">
        <f t="shared" si="121"/>
        <v/>
      </c>
      <c r="AP150" s="12" t="str">
        <f t="shared" si="122"/>
        <v/>
      </c>
    </row>
    <row r="151" spans="1:42">
      <c r="A151" s="9">
        <f t="shared" si="123"/>
        <v>43123.796377314815</v>
      </c>
      <c r="B151" s="22">
        <f t="shared" si="124"/>
        <v>2458142.2963773147</v>
      </c>
      <c r="C151" s="23">
        <f t="shared" si="125"/>
        <v>9.417308688606651</v>
      </c>
      <c r="D151" s="24">
        <f t="shared" ca="1" si="126"/>
        <v>7.5385218159725251E-2</v>
      </c>
      <c r="E151" s="24">
        <f t="shared" si="127"/>
        <v>2.5816855534152482E-2</v>
      </c>
      <c r="F151" s="25">
        <f t="shared" si="128"/>
        <v>10.899786657644249</v>
      </c>
      <c r="G151" s="7">
        <v>43123.796377314815</v>
      </c>
      <c r="H151" s="11">
        <v>2458142.2963769999</v>
      </c>
      <c r="I151" s="11">
        <v>-12.886006242032</v>
      </c>
      <c r="J151" s="11">
        <v>-11.4035282729944</v>
      </c>
      <c r="K151" s="11">
        <v>-13.7397732620434</v>
      </c>
      <c r="L151" s="11">
        <v>-12.6295750672768</v>
      </c>
      <c r="M151" s="11">
        <v>-12.8619040201185</v>
      </c>
      <c r="N151" s="11">
        <v>-12.417007373115901</v>
      </c>
      <c r="O151" s="11"/>
      <c r="P151" s="11"/>
      <c r="Q151" s="11"/>
      <c r="R151" s="11"/>
      <c r="S151" s="11"/>
      <c r="T151" s="12"/>
      <c r="U151" s="12">
        <f t="shared" si="102"/>
        <v>4</v>
      </c>
      <c r="V151" s="28">
        <f t="shared" ca="1" si="103"/>
        <v>5.84</v>
      </c>
      <c r="W151" s="28">
        <f t="shared" si="104"/>
        <v>2.5816855534152482E-2</v>
      </c>
      <c r="X151" s="12">
        <f t="shared" si="105"/>
        <v>9.3797670200113998</v>
      </c>
      <c r="Y151" s="12">
        <f t="shared" si="106"/>
        <v>9.4225688252448005</v>
      </c>
      <c r="Z151" s="12">
        <f t="shared" si="107"/>
        <v>9.4288977780864993</v>
      </c>
      <c r="AA151" s="12">
        <f t="shared" si="108"/>
        <v>9.4380011310839009</v>
      </c>
      <c r="AB151" s="12" t="str">
        <f t="shared" si="109"/>
        <v/>
      </c>
      <c r="AC151" s="12" t="str">
        <f t="shared" si="110"/>
        <v/>
      </c>
      <c r="AD151" s="12" t="str">
        <f t="shared" si="111"/>
        <v/>
      </c>
      <c r="AE151" s="12" t="str">
        <f t="shared" si="112"/>
        <v/>
      </c>
      <c r="AF151" s="12" t="str">
        <f t="shared" si="113"/>
        <v/>
      </c>
      <c r="AG151" s="12"/>
      <c r="AH151" s="12">
        <f t="shared" si="114"/>
        <v>10.862244989049</v>
      </c>
      <c r="AI151" s="12">
        <f t="shared" si="115"/>
        <v>10.9050467942824</v>
      </c>
      <c r="AJ151" s="12">
        <f t="shared" si="116"/>
        <v>10.911375747124099</v>
      </c>
      <c r="AK151" s="12">
        <f t="shared" si="117"/>
        <v>10.920479100121501</v>
      </c>
      <c r="AL151" s="12" t="str">
        <f t="shared" si="118"/>
        <v/>
      </c>
      <c r="AM151" s="12" t="str">
        <f t="shared" si="119"/>
        <v/>
      </c>
      <c r="AN151" s="12" t="str">
        <f t="shared" si="120"/>
        <v/>
      </c>
      <c r="AO151" s="12" t="str">
        <f t="shared" si="121"/>
        <v/>
      </c>
      <c r="AP151" s="12" t="str">
        <f t="shared" si="122"/>
        <v/>
      </c>
    </row>
    <row r="152" spans="1:42">
      <c r="A152" s="9">
        <f t="shared" si="123"/>
        <v>43123.796805555554</v>
      </c>
      <c r="B152" s="22">
        <f t="shared" si="124"/>
        <v>2458142.2968055555</v>
      </c>
      <c r="C152" s="23">
        <f t="shared" si="125"/>
        <v>9.4054533327562755</v>
      </c>
      <c r="D152" s="24">
        <f t="shared" ca="1" si="126"/>
        <v>7.041738056413481E-2</v>
      </c>
      <c r="E152" s="24">
        <f t="shared" si="127"/>
        <v>2.4115541289087265E-2</v>
      </c>
      <c r="F152" s="25">
        <f t="shared" si="128"/>
        <v>10.902136119892775</v>
      </c>
      <c r="G152" s="7">
        <v>43123.796805555554</v>
      </c>
      <c r="H152" s="11">
        <v>2458142.2968060002</v>
      </c>
      <c r="I152" s="11">
        <v>-12.9006947578217</v>
      </c>
      <c r="J152" s="11">
        <v>-11.4040119706852</v>
      </c>
      <c r="K152" s="11">
        <v>-13.7445700392791</v>
      </c>
      <c r="L152" s="11">
        <v>-12.6329835613688</v>
      </c>
      <c r="M152" s="11">
        <v>-12.8668975533537</v>
      </c>
      <c r="N152" s="11">
        <v>-12.415141208310301</v>
      </c>
      <c r="O152" s="11"/>
      <c r="P152" s="11"/>
      <c r="Q152" s="11"/>
      <c r="R152" s="11"/>
      <c r="S152" s="11"/>
      <c r="T152" s="12"/>
      <c r="U152" s="12">
        <f t="shared" si="102"/>
        <v>4</v>
      </c>
      <c r="V152" s="28">
        <f t="shared" ca="1" si="103"/>
        <v>5.84</v>
      </c>
      <c r="W152" s="28">
        <f t="shared" si="104"/>
        <v>2.4115541289087265E-2</v>
      </c>
      <c r="X152" s="12">
        <f t="shared" si="105"/>
        <v>9.3698752814574</v>
      </c>
      <c r="Y152" s="12">
        <f t="shared" si="106"/>
        <v>9.4112888035470998</v>
      </c>
      <c r="Z152" s="12">
        <f t="shared" si="107"/>
        <v>9.4192027955319997</v>
      </c>
      <c r="AA152" s="12">
        <f t="shared" si="108"/>
        <v>9.4214464504886006</v>
      </c>
      <c r="AB152" s="12" t="str">
        <f t="shared" si="109"/>
        <v/>
      </c>
      <c r="AC152" s="12" t="str">
        <f t="shared" si="110"/>
        <v/>
      </c>
      <c r="AD152" s="12" t="str">
        <f t="shared" si="111"/>
        <v/>
      </c>
      <c r="AE152" s="12" t="str">
        <f t="shared" si="112"/>
        <v/>
      </c>
      <c r="AF152" s="12" t="str">
        <f t="shared" si="113"/>
        <v/>
      </c>
      <c r="AG152" s="12"/>
      <c r="AH152" s="12">
        <f t="shared" si="114"/>
        <v>10.8665580685939</v>
      </c>
      <c r="AI152" s="12">
        <f t="shared" si="115"/>
        <v>10.9079715906836</v>
      </c>
      <c r="AJ152" s="12">
        <f t="shared" si="116"/>
        <v>10.9158855826685</v>
      </c>
      <c r="AK152" s="12">
        <f t="shared" si="117"/>
        <v>10.9181292376251</v>
      </c>
      <c r="AL152" s="12" t="str">
        <f t="shared" si="118"/>
        <v/>
      </c>
      <c r="AM152" s="12" t="str">
        <f t="shared" si="119"/>
        <v/>
      </c>
      <c r="AN152" s="12" t="str">
        <f t="shared" si="120"/>
        <v/>
      </c>
      <c r="AO152" s="12" t="str">
        <f t="shared" si="121"/>
        <v/>
      </c>
      <c r="AP152" s="12" t="str">
        <f t="shared" si="122"/>
        <v/>
      </c>
    </row>
    <row r="153" spans="1:42">
      <c r="A153" s="9">
        <f t="shared" si="123"/>
        <v>43123.797222222223</v>
      </c>
      <c r="B153" s="22">
        <f t="shared" si="124"/>
        <v>2458142.2972222222</v>
      </c>
      <c r="C153" s="23">
        <f t="shared" si="125"/>
        <v>9.4178202691191011</v>
      </c>
      <c r="D153" s="24">
        <f t="shared" ca="1" si="126"/>
        <v>6.4206117416215985E-2</v>
      </c>
      <c r="E153" s="24">
        <f t="shared" si="127"/>
        <v>2.1988396375416434E-2</v>
      </c>
      <c r="F153" s="25">
        <f t="shared" si="128"/>
        <v>10.9023650256041</v>
      </c>
      <c r="G153" s="7">
        <v>43123.797222222223</v>
      </c>
      <c r="H153" s="11">
        <v>2458142.2972220001</v>
      </c>
      <c r="I153" s="11">
        <v>-12.883183823145499</v>
      </c>
      <c r="J153" s="11">
        <v>-11.3986390666605</v>
      </c>
      <c r="K153" s="11">
        <v>-13.745758135507799</v>
      </c>
      <c r="L153" s="11">
        <v>-12.630658840117301</v>
      </c>
      <c r="M153" s="11">
        <v>-12.870714186968099</v>
      </c>
      <c r="N153" s="11">
        <v>-12.391885206465201</v>
      </c>
      <c r="O153" s="11"/>
      <c r="P153" s="11"/>
      <c r="Q153" s="11"/>
      <c r="R153" s="11"/>
      <c r="S153" s="11"/>
      <c r="T153" s="12"/>
      <c r="U153" s="12">
        <f t="shared" si="102"/>
        <v>4</v>
      </c>
      <c r="V153" s="28">
        <f t="shared" ca="1" si="103"/>
        <v>5.84</v>
      </c>
      <c r="W153" s="28">
        <f t="shared" si="104"/>
        <v>2.1988396375416434E-2</v>
      </c>
      <c r="X153" s="12">
        <f t="shared" si="105"/>
        <v>9.3885743123622998</v>
      </c>
      <c r="Y153" s="12">
        <f t="shared" si="106"/>
        <v>9.4264750169718017</v>
      </c>
      <c r="Z153" s="12">
        <f t="shared" si="107"/>
        <v>9.4405303638225995</v>
      </c>
      <c r="AA153" s="12">
        <f t="shared" si="108"/>
        <v>9.4157013833197016</v>
      </c>
      <c r="AB153" s="12" t="str">
        <f t="shared" si="109"/>
        <v/>
      </c>
      <c r="AC153" s="12" t="str">
        <f t="shared" si="110"/>
        <v/>
      </c>
      <c r="AD153" s="12" t="str">
        <f t="shared" si="111"/>
        <v/>
      </c>
      <c r="AE153" s="12" t="str">
        <f t="shared" si="112"/>
        <v/>
      </c>
      <c r="AF153" s="12" t="str">
        <f t="shared" si="113"/>
        <v/>
      </c>
      <c r="AG153" s="12"/>
      <c r="AH153" s="12">
        <f t="shared" si="114"/>
        <v>10.873119068847299</v>
      </c>
      <c r="AI153" s="12">
        <f t="shared" si="115"/>
        <v>10.9110197734568</v>
      </c>
      <c r="AJ153" s="12">
        <f t="shared" si="116"/>
        <v>10.925075120307598</v>
      </c>
      <c r="AK153" s="12">
        <f t="shared" si="117"/>
        <v>10.9002461398047</v>
      </c>
      <c r="AL153" s="12" t="str">
        <f t="shared" si="118"/>
        <v/>
      </c>
      <c r="AM153" s="12" t="str">
        <f t="shared" si="119"/>
        <v/>
      </c>
      <c r="AN153" s="12" t="str">
        <f t="shared" si="120"/>
        <v/>
      </c>
      <c r="AO153" s="12" t="str">
        <f t="shared" si="121"/>
        <v/>
      </c>
      <c r="AP153" s="12" t="str">
        <f t="shared" si="122"/>
        <v/>
      </c>
    </row>
    <row r="154" spans="1:42">
      <c r="A154" s="9">
        <f t="shared" si="123"/>
        <v>43123.797638888886</v>
      </c>
      <c r="B154" s="22">
        <f t="shared" si="124"/>
        <v>2458142.2976388889</v>
      </c>
      <c r="C154" s="23">
        <f t="shared" si="125"/>
        <v>9.4244968127148248</v>
      </c>
      <c r="D154" s="24">
        <f t="shared" ca="1" si="126"/>
        <v>5.5943324825632253E-2</v>
      </c>
      <c r="E154" s="24">
        <f t="shared" si="127"/>
        <v>1.9158672885490498E-2</v>
      </c>
      <c r="F154" s="25">
        <f t="shared" si="128"/>
        <v>10.950715079237424</v>
      </c>
      <c r="G154" s="7">
        <v>43123.797638888886</v>
      </c>
      <c r="H154" s="11">
        <v>2458142.2976390002</v>
      </c>
      <c r="I154" s="11">
        <v>-12.8875409814615</v>
      </c>
      <c r="J154" s="11">
        <v>-11.3613227149389</v>
      </c>
      <c r="K154" s="11">
        <v>-13.759888356414701</v>
      </c>
      <c r="L154" s="11">
        <v>-12.6306709157046</v>
      </c>
      <c r="M154" s="11">
        <v>-12.871686777739001</v>
      </c>
      <c r="N154" s="11">
        <v>-12.420905126847</v>
      </c>
      <c r="O154" s="11"/>
      <c r="P154" s="11"/>
      <c r="Q154" s="11"/>
      <c r="R154" s="11"/>
      <c r="S154" s="11"/>
      <c r="T154" s="12"/>
      <c r="U154" s="12">
        <f t="shared" si="102"/>
        <v>4</v>
      </c>
      <c r="V154" s="28">
        <f t="shared" ca="1" si="103"/>
        <v>5.84</v>
      </c>
      <c r="W154" s="28">
        <f t="shared" si="104"/>
        <v>1.9158672885490498E-2</v>
      </c>
      <c r="X154" s="12">
        <f t="shared" si="105"/>
        <v>9.3983473749532003</v>
      </c>
      <c r="Y154" s="12">
        <f t="shared" si="106"/>
        <v>9.4221299342431006</v>
      </c>
      <c r="Z154" s="12">
        <f t="shared" si="107"/>
        <v>9.4371457962775001</v>
      </c>
      <c r="AA154" s="12">
        <f t="shared" si="108"/>
        <v>9.4403641453854998</v>
      </c>
      <c r="AB154" s="12" t="str">
        <f t="shared" si="109"/>
        <v/>
      </c>
      <c r="AC154" s="12" t="str">
        <f t="shared" si="110"/>
        <v/>
      </c>
      <c r="AD154" s="12" t="str">
        <f t="shared" si="111"/>
        <v/>
      </c>
      <c r="AE154" s="12" t="str">
        <f t="shared" si="112"/>
        <v/>
      </c>
      <c r="AF154" s="12" t="str">
        <f t="shared" si="113"/>
        <v/>
      </c>
      <c r="AG154" s="12"/>
      <c r="AH154" s="12">
        <f t="shared" si="114"/>
        <v>10.9245656414758</v>
      </c>
      <c r="AI154" s="12">
        <f t="shared" si="115"/>
        <v>10.9483482007657</v>
      </c>
      <c r="AJ154" s="12">
        <f t="shared" si="116"/>
        <v>10.9633640628001</v>
      </c>
      <c r="AK154" s="12">
        <f t="shared" si="117"/>
        <v>10.966582411908099</v>
      </c>
      <c r="AL154" s="12" t="str">
        <f t="shared" si="118"/>
        <v/>
      </c>
      <c r="AM154" s="12" t="str">
        <f t="shared" si="119"/>
        <v/>
      </c>
      <c r="AN154" s="12" t="str">
        <f t="shared" si="120"/>
        <v/>
      </c>
      <c r="AO154" s="12" t="str">
        <f t="shared" si="121"/>
        <v/>
      </c>
      <c r="AP154" s="12" t="str">
        <f t="shared" si="122"/>
        <v/>
      </c>
    </row>
    <row r="155" spans="1:42">
      <c r="A155" s="9">
        <f t="shared" si="123"/>
        <v>43123.798067129632</v>
      </c>
      <c r="B155" s="22">
        <f t="shared" si="124"/>
        <v>2458142.2980671297</v>
      </c>
      <c r="C155" s="23">
        <f t="shared" si="125"/>
        <v>9.4371138563592005</v>
      </c>
      <c r="D155" s="24">
        <f t="shared" ca="1" si="126"/>
        <v>6.4505130701275878E-2</v>
      </c>
      <c r="E155" s="24">
        <f t="shared" si="127"/>
        <v>2.2090798185368452E-2</v>
      </c>
      <c r="F155" s="25">
        <f t="shared" si="128"/>
        <v>10.924236970764099</v>
      </c>
      <c r="G155" s="7">
        <v>43123.798067129632</v>
      </c>
      <c r="H155" s="11">
        <v>2458142.2980670002</v>
      </c>
      <c r="I155" s="11">
        <v>-12.8679252254265</v>
      </c>
      <c r="J155" s="11">
        <v>-11.3808021110216</v>
      </c>
      <c r="K155" s="11">
        <v>-13.7472379542313</v>
      </c>
      <c r="L155" s="11">
        <v>-12.628899272854399</v>
      </c>
      <c r="M155" s="11">
        <v>-12.862922853471501</v>
      </c>
      <c r="N155" s="11">
        <v>-12.4160962465856</v>
      </c>
      <c r="O155" s="11"/>
      <c r="P155" s="11"/>
      <c r="Q155" s="11"/>
      <c r="R155" s="11"/>
      <c r="S155" s="11"/>
      <c r="T155" s="12"/>
      <c r="U155" s="12">
        <f t="shared" si="102"/>
        <v>4</v>
      </c>
      <c r="V155" s="28">
        <f t="shared" ca="1" si="103"/>
        <v>5.84</v>
      </c>
      <c r="W155" s="28">
        <f t="shared" si="104"/>
        <v>2.2090798185368452E-2</v>
      </c>
      <c r="X155" s="12">
        <f t="shared" si="105"/>
        <v>9.4053127288048</v>
      </c>
      <c r="Y155" s="12">
        <f t="shared" si="106"/>
        <v>9.4399740474278993</v>
      </c>
      <c r="Z155" s="12">
        <f t="shared" si="107"/>
        <v>9.447997628045</v>
      </c>
      <c r="AA155" s="12">
        <f t="shared" si="108"/>
        <v>9.4551710211590994</v>
      </c>
      <c r="AB155" s="12" t="str">
        <f t="shared" si="109"/>
        <v/>
      </c>
      <c r="AC155" s="12" t="str">
        <f t="shared" si="110"/>
        <v/>
      </c>
      <c r="AD155" s="12" t="str">
        <f t="shared" si="111"/>
        <v/>
      </c>
      <c r="AE155" s="12" t="str">
        <f t="shared" si="112"/>
        <v/>
      </c>
      <c r="AF155" s="12" t="str">
        <f t="shared" si="113"/>
        <v/>
      </c>
      <c r="AG155" s="12"/>
      <c r="AH155" s="12">
        <f t="shared" si="114"/>
        <v>10.8924358432097</v>
      </c>
      <c r="AI155" s="12">
        <f t="shared" si="115"/>
        <v>10.927097161832799</v>
      </c>
      <c r="AJ155" s="12">
        <f t="shared" si="116"/>
        <v>10.9351207424499</v>
      </c>
      <c r="AK155" s="12">
        <f t="shared" si="117"/>
        <v>10.942294135564</v>
      </c>
      <c r="AL155" s="12" t="str">
        <f t="shared" si="118"/>
        <v/>
      </c>
      <c r="AM155" s="12" t="str">
        <f t="shared" si="119"/>
        <v/>
      </c>
      <c r="AN155" s="12" t="str">
        <f t="shared" si="120"/>
        <v/>
      </c>
      <c r="AO155" s="12" t="str">
        <f t="shared" si="121"/>
        <v/>
      </c>
      <c r="AP155" s="12" t="str">
        <f t="shared" si="122"/>
        <v/>
      </c>
    </row>
    <row r="156" spans="1:42">
      <c r="A156" s="9">
        <f t="shared" si="123"/>
        <v>43123.798483796294</v>
      </c>
      <c r="B156" s="22">
        <f t="shared" si="124"/>
        <v>2458142.2984837964</v>
      </c>
      <c r="C156" s="23">
        <f t="shared" si="125"/>
        <v>9.4378578605636001</v>
      </c>
      <c r="D156" s="24">
        <f t="shared" ca="1" si="126"/>
        <v>5.42031535232044E-2</v>
      </c>
      <c r="E156" s="24">
        <f t="shared" si="127"/>
        <v>1.8562723809316575E-2</v>
      </c>
      <c r="F156" s="25">
        <f t="shared" si="128"/>
        <v>10.918415231671702</v>
      </c>
      <c r="G156" s="7">
        <v>43123.798483796294</v>
      </c>
      <c r="H156" s="11">
        <v>2458142.2984839999</v>
      </c>
      <c r="I156" s="11">
        <v>-12.862264141253799</v>
      </c>
      <c r="J156" s="11">
        <v>-11.3817067701457</v>
      </c>
      <c r="K156" s="11">
        <v>-13.7486243250536</v>
      </c>
      <c r="L156" s="11">
        <v>-12.6217692731861</v>
      </c>
      <c r="M156" s="11">
        <v>-12.85344792829</v>
      </c>
      <c r="N156" s="11">
        <v>-12.411646480739901</v>
      </c>
      <c r="O156" s="11"/>
      <c r="P156" s="11"/>
      <c r="Q156" s="11"/>
      <c r="R156" s="11"/>
      <c r="S156" s="11"/>
      <c r="T156" s="12"/>
      <c r="U156" s="12">
        <f t="shared" si="102"/>
        <v>4</v>
      </c>
      <c r="V156" s="28">
        <f t="shared" ca="1" si="103"/>
        <v>5.84</v>
      </c>
      <c r="W156" s="28">
        <f t="shared" si="104"/>
        <v>1.8562723809316575E-2</v>
      </c>
      <c r="X156" s="12">
        <f t="shared" si="105"/>
        <v>9.4123601837997999</v>
      </c>
      <c r="Y156" s="12">
        <f t="shared" si="106"/>
        <v>9.4385051319323008</v>
      </c>
      <c r="Z156" s="12">
        <f t="shared" si="107"/>
        <v>9.4441837870362004</v>
      </c>
      <c r="AA156" s="12">
        <f t="shared" si="108"/>
        <v>9.4563823394861011</v>
      </c>
      <c r="AB156" s="12" t="str">
        <f t="shared" si="109"/>
        <v/>
      </c>
      <c r="AC156" s="12" t="str">
        <f t="shared" si="110"/>
        <v/>
      </c>
      <c r="AD156" s="12" t="str">
        <f t="shared" si="111"/>
        <v/>
      </c>
      <c r="AE156" s="12" t="str">
        <f t="shared" si="112"/>
        <v/>
      </c>
      <c r="AF156" s="12" t="str">
        <f t="shared" si="113"/>
        <v/>
      </c>
      <c r="AG156" s="12"/>
      <c r="AH156" s="12">
        <f t="shared" si="114"/>
        <v>10.8929175549079</v>
      </c>
      <c r="AI156" s="12">
        <f t="shared" si="115"/>
        <v>10.919062503040401</v>
      </c>
      <c r="AJ156" s="12">
        <f t="shared" si="116"/>
        <v>10.9247411581443</v>
      </c>
      <c r="AK156" s="12">
        <f t="shared" si="117"/>
        <v>10.936939710594201</v>
      </c>
      <c r="AL156" s="12" t="str">
        <f t="shared" si="118"/>
        <v/>
      </c>
      <c r="AM156" s="12" t="str">
        <f t="shared" si="119"/>
        <v/>
      </c>
      <c r="AN156" s="12" t="str">
        <f t="shared" si="120"/>
        <v/>
      </c>
      <c r="AO156" s="12" t="str">
        <f t="shared" si="121"/>
        <v/>
      </c>
      <c r="AP156" s="12" t="str">
        <f t="shared" si="122"/>
        <v/>
      </c>
    </row>
    <row r="157" spans="1:42">
      <c r="A157" s="9">
        <f t="shared" si="123"/>
        <v>43123.79891203704</v>
      </c>
      <c r="B157" s="22">
        <f t="shared" si="124"/>
        <v>2458142.2989120372</v>
      </c>
      <c r="C157" s="23">
        <f t="shared" si="125"/>
        <v>9.4450324407988244</v>
      </c>
      <c r="D157" s="24">
        <f t="shared" ca="1" si="126"/>
        <v>5.8915444941781338E-2</v>
      </c>
      <c r="E157" s="24">
        <f t="shared" si="127"/>
        <v>2.0176522240336076E-2</v>
      </c>
      <c r="F157" s="25">
        <f t="shared" si="128"/>
        <v>10.919309658531525</v>
      </c>
      <c r="G157" s="7">
        <v>43123.79891203704</v>
      </c>
      <c r="H157" s="11">
        <v>2458142.2989119999</v>
      </c>
      <c r="I157" s="11">
        <v>-12.855786706116801</v>
      </c>
      <c r="J157" s="11">
        <v>-11.381509488384101</v>
      </c>
      <c r="K157" s="11">
        <v>-13.7446472566269</v>
      </c>
      <c r="L157" s="11">
        <v>-12.629926648088</v>
      </c>
      <c r="M157" s="11">
        <v>-12.8597955280948</v>
      </c>
      <c r="N157" s="11">
        <v>-12.403907154852799</v>
      </c>
      <c r="O157" s="11"/>
      <c r="P157" s="11"/>
      <c r="Q157" s="11"/>
      <c r="R157" s="11"/>
      <c r="S157" s="11"/>
      <c r="T157" s="12"/>
      <c r="U157" s="12">
        <f t="shared" si="102"/>
        <v>4</v>
      </c>
      <c r="V157" s="28">
        <f t="shared" ca="1" si="103"/>
        <v>5.84</v>
      </c>
      <c r="W157" s="28">
        <f t="shared" si="104"/>
        <v>2.0176522240336076E-2</v>
      </c>
      <c r="X157" s="12">
        <f t="shared" si="105"/>
        <v>9.4148605505100988</v>
      </c>
      <c r="Y157" s="12">
        <f t="shared" si="106"/>
        <v>9.4531399419711999</v>
      </c>
      <c r="Z157" s="12">
        <f t="shared" si="107"/>
        <v>9.4570088219779986</v>
      </c>
      <c r="AA157" s="12">
        <f t="shared" si="108"/>
        <v>9.4551204487359986</v>
      </c>
      <c r="AB157" s="12" t="str">
        <f t="shared" si="109"/>
        <v/>
      </c>
      <c r="AC157" s="12" t="str">
        <f t="shared" si="110"/>
        <v/>
      </c>
      <c r="AD157" s="12" t="str">
        <f t="shared" si="111"/>
        <v/>
      </c>
      <c r="AE157" s="12" t="str">
        <f t="shared" si="112"/>
        <v/>
      </c>
      <c r="AF157" s="12" t="str">
        <f t="shared" si="113"/>
        <v/>
      </c>
      <c r="AG157" s="12"/>
      <c r="AH157" s="12">
        <f t="shared" si="114"/>
        <v>10.889137768242799</v>
      </c>
      <c r="AI157" s="12">
        <f t="shared" si="115"/>
        <v>10.9274171597039</v>
      </c>
      <c r="AJ157" s="12">
        <f t="shared" si="116"/>
        <v>10.931286039710699</v>
      </c>
      <c r="AK157" s="12">
        <f t="shared" si="117"/>
        <v>10.929397666468699</v>
      </c>
      <c r="AL157" s="12" t="str">
        <f t="shared" si="118"/>
        <v/>
      </c>
      <c r="AM157" s="12" t="str">
        <f t="shared" si="119"/>
        <v/>
      </c>
      <c r="AN157" s="12" t="str">
        <f t="shared" si="120"/>
        <v/>
      </c>
      <c r="AO157" s="12" t="str">
        <f t="shared" si="121"/>
        <v/>
      </c>
      <c r="AP157" s="12" t="str">
        <f t="shared" si="122"/>
        <v/>
      </c>
    </row>
    <row r="158" spans="1:42">
      <c r="A158" s="9">
        <f t="shared" si="123"/>
        <v>43123.799328703702</v>
      </c>
      <c r="B158" s="22">
        <f t="shared" si="124"/>
        <v>2458142.2993287039</v>
      </c>
      <c r="C158" s="23">
        <f t="shared" si="125"/>
        <v>9.4488337327621252</v>
      </c>
      <c r="D158" s="24">
        <f t="shared" ca="1" si="126"/>
        <v>4.8681855199368677E-2</v>
      </c>
      <c r="E158" s="24">
        <f t="shared" si="127"/>
        <v>1.6671868218961876E-2</v>
      </c>
      <c r="F158" s="25">
        <f t="shared" si="128"/>
        <v>10.910216660353825</v>
      </c>
      <c r="G158" s="7">
        <v>43123.799328703702</v>
      </c>
      <c r="H158" s="11">
        <v>2458142.2993290001</v>
      </c>
      <c r="I158" s="11">
        <v>-12.8614458315232</v>
      </c>
      <c r="J158" s="11">
        <v>-11.4000629039315</v>
      </c>
      <c r="K158" s="11">
        <v>-13.7594778464707</v>
      </c>
      <c r="L158" s="11">
        <v>-12.642315919332701</v>
      </c>
      <c r="M158" s="11">
        <v>-12.863117108265</v>
      </c>
      <c r="N158" s="11">
        <v>-12.411207383072901</v>
      </c>
      <c r="O158" s="11"/>
      <c r="P158" s="11"/>
      <c r="Q158" s="11"/>
      <c r="R158" s="11"/>
      <c r="S158" s="11"/>
      <c r="T158" s="12"/>
      <c r="U158" s="12">
        <f t="shared" si="102"/>
        <v>4</v>
      </c>
      <c r="V158" s="28">
        <f t="shared" ca="1" si="103"/>
        <v>5.84</v>
      </c>
      <c r="W158" s="28">
        <f t="shared" si="104"/>
        <v>1.6671868218961876E-2</v>
      </c>
      <c r="X158" s="12">
        <f t="shared" si="105"/>
        <v>9.4240320149474996</v>
      </c>
      <c r="Y158" s="12">
        <f t="shared" si="106"/>
        <v>9.4598700878095006</v>
      </c>
      <c r="Z158" s="12">
        <f t="shared" si="107"/>
        <v>9.4546712767417986</v>
      </c>
      <c r="AA158" s="12">
        <f t="shared" si="108"/>
        <v>9.4567615515497003</v>
      </c>
      <c r="AB158" s="12" t="str">
        <f t="shared" si="109"/>
        <v/>
      </c>
      <c r="AC158" s="12" t="str">
        <f t="shared" si="110"/>
        <v/>
      </c>
      <c r="AD158" s="12" t="str">
        <f t="shared" si="111"/>
        <v/>
      </c>
      <c r="AE158" s="12" t="str">
        <f t="shared" si="112"/>
        <v/>
      </c>
      <c r="AF158" s="12" t="str">
        <f t="shared" si="113"/>
        <v/>
      </c>
      <c r="AG158" s="12"/>
      <c r="AH158" s="12">
        <f t="shared" si="114"/>
        <v>10.8854149425392</v>
      </c>
      <c r="AI158" s="12">
        <f t="shared" si="115"/>
        <v>10.9212530154012</v>
      </c>
      <c r="AJ158" s="12">
        <f t="shared" si="116"/>
        <v>10.916054204333498</v>
      </c>
      <c r="AK158" s="12">
        <f t="shared" si="117"/>
        <v>10.9181444791414</v>
      </c>
      <c r="AL158" s="12" t="str">
        <f t="shared" si="118"/>
        <v/>
      </c>
      <c r="AM158" s="12" t="str">
        <f t="shared" si="119"/>
        <v/>
      </c>
      <c r="AN158" s="12" t="str">
        <f t="shared" si="120"/>
        <v/>
      </c>
      <c r="AO158" s="12" t="str">
        <f t="shared" si="121"/>
        <v/>
      </c>
      <c r="AP158" s="12" t="str">
        <f t="shared" si="122"/>
        <v/>
      </c>
    </row>
    <row r="159" spans="1:42">
      <c r="A159" s="9">
        <f t="shared" si="123"/>
        <v>43123.799745370372</v>
      </c>
      <c r="B159" s="22">
        <f t="shared" si="124"/>
        <v>2458142.2997453702</v>
      </c>
      <c r="C159" s="23">
        <f t="shared" si="125"/>
        <v>9.4382235369481258</v>
      </c>
      <c r="D159" s="24">
        <f t="shared" ca="1" si="126"/>
        <v>3.4901717308827226E-2</v>
      </c>
      <c r="E159" s="24">
        <f t="shared" si="127"/>
        <v>1.1952642913981926E-2</v>
      </c>
      <c r="F159" s="25">
        <f t="shared" si="128"/>
        <v>10.908686670990825</v>
      </c>
      <c r="G159" s="7">
        <v>43123.799745370372</v>
      </c>
      <c r="H159" s="11">
        <v>2458142.299745</v>
      </c>
      <c r="I159" s="11">
        <v>-12.8705032636512</v>
      </c>
      <c r="J159" s="11">
        <v>-11.400040129608501</v>
      </c>
      <c r="K159" s="11">
        <v>-13.7649177678695</v>
      </c>
      <c r="L159" s="11">
        <v>-12.633785085828</v>
      </c>
      <c r="M159" s="11">
        <v>-12.863062697801</v>
      </c>
      <c r="N159" s="11">
        <v>-12.4081416508988</v>
      </c>
      <c r="O159" s="11"/>
      <c r="P159" s="11"/>
      <c r="Q159" s="11"/>
      <c r="R159" s="11"/>
      <c r="S159" s="11"/>
      <c r="T159" s="12"/>
      <c r="U159" s="12">
        <f t="shared" si="102"/>
        <v>4</v>
      </c>
      <c r="V159" s="28">
        <f t="shared" ca="1" si="103"/>
        <v>5.84</v>
      </c>
      <c r="W159" s="28">
        <f t="shared" si="104"/>
        <v>1.1952642913981926E-2</v>
      </c>
      <c r="X159" s="12">
        <f t="shared" si="105"/>
        <v>9.4204145042183001</v>
      </c>
      <c r="Y159" s="12">
        <f t="shared" si="106"/>
        <v>9.4422818221768008</v>
      </c>
      <c r="Z159" s="12">
        <f t="shared" si="107"/>
        <v>9.4455594341497999</v>
      </c>
      <c r="AA159" s="12">
        <f t="shared" si="108"/>
        <v>9.4446383872476005</v>
      </c>
      <c r="AB159" s="12" t="str">
        <f t="shared" si="109"/>
        <v/>
      </c>
      <c r="AC159" s="12" t="str">
        <f t="shared" si="110"/>
        <v/>
      </c>
      <c r="AD159" s="12" t="str">
        <f t="shared" si="111"/>
        <v/>
      </c>
      <c r="AE159" s="12" t="str">
        <f t="shared" si="112"/>
        <v/>
      </c>
      <c r="AF159" s="12" t="str">
        <f t="shared" si="113"/>
        <v/>
      </c>
      <c r="AG159" s="12"/>
      <c r="AH159" s="12">
        <f t="shared" si="114"/>
        <v>10.890877638260999</v>
      </c>
      <c r="AI159" s="12">
        <f t="shared" si="115"/>
        <v>10.9127449562195</v>
      </c>
      <c r="AJ159" s="12">
        <f t="shared" si="116"/>
        <v>10.916022568192499</v>
      </c>
      <c r="AK159" s="12">
        <f t="shared" si="117"/>
        <v>10.9151015212903</v>
      </c>
      <c r="AL159" s="12" t="str">
        <f t="shared" si="118"/>
        <v/>
      </c>
      <c r="AM159" s="12" t="str">
        <f t="shared" si="119"/>
        <v/>
      </c>
      <c r="AN159" s="12" t="str">
        <f t="shared" si="120"/>
        <v/>
      </c>
      <c r="AO159" s="12" t="str">
        <f t="shared" si="121"/>
        <v/>
      </c>
      <c r="AP159" s="12" t="str">
        <f t="shared" si="122"/>
        <v/>
      </c>
    </row>
    <row r="160" spans="1:42">
      <c r="A160" s="9">
        <f t="shared" si="123"/>
        <v>43123.800162037034</v>
      </c>
      <c r="B160" s="22">
        <f t="shared" si="124"/>
        <v>2458142.3001620369</v>
      </c>
      <c r="C160" s="23">
        <f t="shared" si="125"/>
        <v>9.4443847782657251</v>
      </c>
      <c r="D160" s="24">
        <f t="shared" ca="1" si="126"/>
        <v>3.2859705131806145E-2</v>
      </c>
      <c r="E160" s="24">
        <f t="shared" si="127"/>
        <v>1.1253323675276077E-2</v>
      </c>
      <c r="F160" s="25">
        <f t="shared" si="128"/>
        <v>10.914556053619325</v>
      </c>
      <c r="G160" s="7">
        <v>43123.800162037034</v>
      </c>
      <c r="H160" s="11">
        <v>2458142.3001620001</v>
      </c>
      <c r="I160" s="11">
        <v>-12.8573136433497</v>
      </c>
      <c r="J160" s="11">
        <v>-11.3871423679961</v>
      </c>
      <c r="K160" s="11">
        <v>-13.759173424227299</v>
      </c>
      <c r="L160" s="11">
        <v>-12.629266992653299</v>
      </c>
      <c r="M160" s="11">
        <v>-12.8510190979394</v>
      </c>
      <c r="N160" s="11">
        <v>-12.4023341716417</v>
      </c>
      <c r="O160" s="11"/>
      <c r="P160" s="11"/>
      <c r="Q160" s="11"/>
      <c r="R160" s="11"/>
      <c r="S160" s="11"/>
      <c r="T160" s="12"/>
      <c r="U160" s="12">
        <f t="shared" si="102"/>
        <v>4</v>
      </c>
      <c r="V160" s="28">
        <f t="shared" ca="1" si="103"/>
        <v>5.84</v>
      </c>
      <c r="W160" s="28">
        <f t="shared" si="104"/>
        <v>1.1253323675276077E-2</v>
      </c>
      <c r="X160" s="12">
        <f t="shared" si="105"/>
        <v>9.4278597808775988</v>
      </c>
      <c r="Y160" s="12">
        <f t="shared" si="106"/>
        <v>9.4509533493035995</v>
      </c>
      <c r="Z160" s="12">
        <f t="shared" si="107"/>
        <v>9.4467054545896989</v>
      </c>
      <c r="AA160" s="12">
        <f t="shared" si="108"/>
        <v>9.4520205282919996</v>
      </c>
      <c r="AB160" s="12" t="str">
        <f t="shared" si="109"/>
        <v/>
      </c>
      <c r="AC160" s="12" t="str">
        <f t="shared" si="110"/>
        <v/>
      </c>
      <c r="AD160" s="12" t="str">
        <f t="shared" si="111"/>
        <v/>
      </c>
      <c r="AE160" s="12" t="str">
        <f t="shared" si="112"/>
        <v/>
      </c>
      <c r="AF160" s="12" t="str">
        <f t="shared" si="113"/>
        <v/>
      </c>
      <c r="AG160" s="12"/>
      <c r="AH160" s="12">
        <f t="shared" si="114"/>
        <v>10.898031056231199</v>
      </c>
      <c r="AI160" s="12">
        <f t="shared" si="115"/>
        <v>10.9211246246572</v>
      </c>
      <c r="AJ160" s="12">
        <f t="shared" si="116"/>
        <v>10.916876729943299</v>
      </c>
      <c r="AK160" s="12">
        <f t="shared" si="117"/>
        <v>10.9221918036456</v>
      </c>
      <c r="AL160" s="12" t="str">
        <f t="shared" si="118"/>
        <v/>
      </c>
      <c r="AM160" s="12" t="str">
        <f t="shared" si="119"/>
        <v/>
      </c>
      <c r="AN160" s="12" t="str">
        <f t="shared" si="120"/>
        <v/>
      </c>
      <c r="AO160" s="12" t="str">
        <f t="shared" si="121"/>
        <v/>
      </c>
      <c r="AP160" s="12" t="str">
        <f t="shared" si="122"/>
        <v/>
      </c>
    </row>
    <row r="161" spans="1:42">
      <c r="A161" s="9">
        <f t="shared" si="123"/>
        <v>43123.80059027778</v>
      </c>
      <c r="B161" s="22">
        <f t="shared" si="124"/>
        <v>2458142.3005902776</v>
      </c>
      <c r="C161" s="23">
        <f t="shared" si="125"/>
        <v>9.4440722408543003</v>
      </c>
      <c r="D161" s="24">
        <f t="shared" ca="1" si="126"/>
        <v>6.3118515277747866E-2</v>
      </c>
      <c r="E161" s="24">
        <f t="shared" si="127"/>
        <v>2.161592988963968E-2</v>
      </c>
      <c r="F161" s="25">
        <f t="shared" si="128"/>
        <v>10.928080040569998</v>
      </c>
      <c r="G161" s="7">
        <v>43123.80059027778</v>
      </c>
      <c r="H161" s="11">
        <v>2458142.3005900001</v>
      </c>
      <c r="I161" s="11">
        <v>-12.8602318707169</v>
      </c>
      <c r="J161" s="11">
        <v>-11.3762240710012</v>
      </c>
      <c r="K161" s="11">
        <v>-13.7499356037798</v>
      </c>
      <c r="L161" s="11">
        <v>-12.619960000762299</v>
      </c>
      <c r="M161" s="11">
        <v>-12.8684279969244</v>
      </c>
      <c r="N161" s="11">
        <v>-12.413892844818299</v>
      </c>
      <c r="O161" s="11"/>
      <c r="P161" s="11"/>
      <c r="Q161" s="11"/>
      <c r="R161" s="11"/>
      <c r="S161" s="11"/>
      <c r="T161" s="12"/>
      <c r="U161" s="12">
        <f t="shared" si="102"/>
        <v>4</v>
      </c>
      <c r="V161" s="28">
        <f t="shared" ca="1" si="103"/>
        <v>5.84</v>
      </c>
      <c r="W161" s="28">
        <f t="shared" si="104"/>
        <v>2.161592988963968E-2</v>
      </c>
      <c r="X161" s="12">
        <f t="shared" si="105"/>
        <v>9.4157037330628999</v>
      </c>
      <c r="Y161" s="12">
        <f t="shared" si="106"/>
        <v>9.4387281300453996</v>
      </c>
      <c r="Z161" s="12">
        <f t="shared" si="107"/>
        <v>9.4611961262074988</v>
      </c>
      <c r="AA161" s="12">
        <f t="shared" si="108"/>
        <v>9.4606609741013994</v>
      </c>
      <c r="AB161" s="12" t="str">
        <f t="shared" si="109"/>
        <v/>
      </c>
      <c r="AC161" s="12" t="str">
        <f t="shared" si="110"/>
        <v/>
      </c>
      <c r="AD161" s="12" t="str">
        <f t="shared" si="111"/>
        <v/>
      </c>
      <c r="AE161" s="12" t="str">
        <f t="shared" si="112"/>
        <v/>
      </c>
      <c r="AF161" s="12" t="str">
        <f t="shared" si="113"/>
        <v/>
      </c>
      <c r="AG161" s="12"/>
      <c r="AH161" s="12">
        <f t="shared" si="114"/>
        <v>10.8997115327786</v>
      </c>
      <c r="AI161" s="12">
        <f t="shared" si="115"/>
        <v>10.9227359297611</v>
      </c>
      <c r="AJ161" s="12">
        <f t="shared" si="116"/>
        <v>10.945203925923199</v>
      </c>
      <c r="AK161" s="12">
        <f t="shared" si="117"/>
        <v>10.944668773817099</v>
      </c>
      <c r="AL161" s="12" t="str">
        <f t="shared" si="118"/>
        <v/>
      </c>
      <c r="AM161" s="12" t="str">
        <f t="shared" si="119"/>
        <v/>
      </c>
      <c r="AN161" s="12" t="str">
        <f t="shared" si="120"/>
        <v/>
      </c>
      <c r="AO161" s="12" t="str">
        <f t="shared" si="121"/>
        <v/>
      </c>
      <c r="AP161" s="12" t="str">
        <f t="shared" si="122"/>
        <v/>
      </c>
    </row>
    <row r="162" spans="1:42">
      <c r="A162" s="9">
        <f t="shared" si="123"/>
        <v>43123.801006944443</v>
      </c>
      <c r="B162" s="22">
        <f t="shared" si="124"/>
        <v>2458142.3010069444</v>
      </c>
      <c r="C162" s="23">
        <f t="shared" si="125"/>
        <v>9.4457233387123747</v>
      </c>
      <c r="D162" s="24">
        <f t="shared" ca="1" si="126"/>
        <v>5.003142597184905E-2</v>
      </c>
      <c r="E162" s="24">
        <f t="shared" si="127"/>
        <v>1.7134049990359265E-2</v>
      </c>
      <c r="F162" s="25">
        <f t="shared" si="128"/>
        <v>10.923079098750074</v>
      </c>
      <c r="G162" s="7">
        <v>43123.801006944443</v>
      </c>
      <c r="H162" s="11">
        <v>2458142.3010069998</v>
      </c>
      <c r="I162" s="11">
        <v>-12.8600369685446</v>
      </c>
      <c r="J162" s="11">
        <v>-11.3826812085069</v>
      </c>
      <c r="K162" s="11">
        <v>-13.755924823965699</v>
      </c>
      <c r="L162" s="11">
        <v>-12.631968445378099</v>
      </c>
      <c r="M162" s="11">
        <v>-12.8545912314581</v>
      </c>
      <c r="N162" s="11">
        <v>-12.415556728226001</v>
      </c>
      <c r="O162" s="11"/>
      <c r="P162" s="11"/>
      <c r="Q162" s="11"/>
      <c r="R162" s="11"/>
      <c r="S162" s="11"/>
      <c r="T162" s="12"/>
      <c r="U162" s="12">
        <f t="shared" si="102"/>
        <v>4</v>
      </c>
      <c r="V162" s="28">
        <f t="shared" ca="1" si="103"/>
        <v>5.84</v>
      </c>
      <c r="W162" s="28">
        <f t="shared" si="104"/>
        <v>1.7134049990359265E-2</v>
      </c>
      <c r="X162" s="12">
        <f t="shared" si="105"/>
        <v>9.4218878554210992</v>
      </c>
      <c r="Y162" s="12">
        <f t="shared" si="106"/>
        <v>9.4509314768334995</v>
      </c>
      <c r="Z162" s="12">
        <f t="shared" si="107"/>
        <v>9.4475542629134992</v>
      </c>
      <c r="AA162" s="12">
        <f t="shared" si="108"/>
        <v>9.4625197596814008</v>
      </c>
      <c r="AB162" s="12" t="str">
        <f t="shared" si="109"/>
        <v/>
      </c>
      <c r="AC162" s="12" t="str">
        <f t="shared" si="110"/>
        <v/>
      </c>
      <c r="AD162" s="12" t="str">
        <f t="shared" si="111"/>
        <v/>
      </c>
      <c r="AE162" s="12" t="str">
        <f t="shared" si="112"/>
        <v/>
      </c>
      <c r="AF162" s="12" t="str">
        <f t="shared" si="113"/>
        <v/>
      </c>
      <c r="AG162" s="12"/>
      <c r="AH162" s="12">
        <f t="shared" si="114"/>
        <v>10.899243615458799</v>
      </c>
      <c r="AI162" s="12">
        <f t="shared" si="115"/>
        <v>10.928287236871199</v>
      </c>
      <c r="AJ162" s="12">
        <f t="shared" si="116"/>
        <v>10.924910022951199</v>
      </c>
      <c r="AK162" s="12">
        <f t="shared" si="117"/>
        <v>10.9398755197191</v>
      </c>
      <c r="AL162" s="12" t="str">
        <f t="shared" si="118"/>
        <v/>
      </c>
      <c r="AM162" s="12" t="str">
        <f t="shared" si="119"/>
        <v/>
      </c>
      <c r="AN162" s="12" t="str">
        <f t="shared" si="120"/>
        <v/>
      </c>
      <c r="AO162" s="12" t="str">
        <f t="shared" si="121"/>
        <v/>
      </c>
      <c r="AP162" s="12" t="str">
        <f t="shared" si="122"/>
        <v/>
      </c>
    </row>
    <row r="163" spans="1:42">
      <c r="A163" s="9">
        <f t="shared" si="123"/>
        <v>43123.801435185182</v>
      </c>
      <c r="B163" s="22">
        <f t="shared" si="124"/>
        <v>2458142.3014351851</v>
      </c>
      <c r="C163" s="23">
        <f t="shared" si="125"/>
        <v>9.4431718517185743</v>
      </c>
      <c r="D163" s="24">
        <f t="shared" ca="1" si="126"/>
        <v>5.0885583623620348E-2</v>
      </c>
      <c r="E163" s="24">
        <f t="shared" si="127"/>
        <v>1.7426569734116559E-2</v>
      </c>
      <c r="F163" s="25">
        <f t="shared" si="128"/>
        <v>10.903363752593977</v>
      </c>
      <c r="G163" s="7">
        <v>43123.801435185182</v>
      </c>
      <c r="H163" s="11">
        <v>2458142.3014349998</v>
      </c>
      <c r="I163" s="11">
        <v>-12.8503879389293</v>
      </c>
      <c r="J163" s="11">
        <v>-11.390196038053899</v>
      </c>
      <c r="K163" s="11">
        <v>-13.744076567376601</v>
      </c>
      <c r="L163" s="11">
        <v>-12.6212047303462</v>
      </c>
      <c r="M163" s="11">
        <v>-12.8396602656185</v>
      </c>
      <c r="N163" s="11">
        <v>-12.404297599250199</v>
      </c>
      <c r="O163" s="11"/>
      <c r="P163" s="11"/>
      <c r="Q163" s="11"/>
      <c r="R163" s="11"/>
      <c r="S163" s="11"/>
      <c r="T163" s="12"/>
      <c r="U163" s="12">
        <f t="shared" si="102"/>
        <v>4</v>
      </c>
      <c r="V163" s="28">
        <f t="shared" ca="1" si="103"/>
        <v>5.84</v>
      </c>
      <c r="W163" s="28">
        <f t="shared" si="104"/>
        <v>1.7426569734116559E-2</v>
      </c>
      <c r="X163" s="12">
        <f t="shared" si="105"/>
        <v>9.4196886284473003</v>
      </c>
      <c r="Y163" s="12">
        <f t="shared" si="106"/>
        <v>9.4498167914169002</v>
      </c>
      <c r="Z163" s="12">
        <f t="shared" si="107"/>
        <v>9.4422723266891992</v>
      </c>
      <c r="AA163" s="12">
        <f t="shared" si="108"/>
        <v>9.4609096603208993</v>
      </c>
      <c r="AB163" s="12" t="str">
        <f t="shared" si="109"/>
        <v/>
      </c>
      <c r="AC163" s="12" t="str">
        <f t="shared" si="110"/>
        <v/>
      </c>
      <c r="AD163" s="12" t="str">
        <f t="shared" si="111"/>
        <v/>
      </c>
      <c r="AE163" s="12" t="str">
        <f t="shared" si="112"/>
        <v/>
      </c>
      <c r="AF163" s="12" t="str">
        <f t="shared" si="113"/>
        <v/>
      </c>
      <c r="AG163" s="12"/>
      <c r="AH163" s="12">
        <f t="shared" si="114"/>
        <v>10.879880529322701</v>
      </c>
      <c r="AI163" s="12">
        <f t="shared" si="115"/>
        <v>10.910008692292301</v>
      </c>
      <c r="AJ163" s="12">
        <f t="shared" si="116"/>
        <v>10.9024642275646</v>
      </c>
      <c r="AK163" s="12">
        <f t="shared" si="117"/>
        <v>10.9211015611963</v>
      </c>
      <c r="AL163" s="12" t="str">
        <f t="shared" si="118"/>
        <v/>
      </c>
      <c r="AM163" s="12" t="str">
        <f t="shared" si="119"/>
        <v/>
      </c>
      <c r="AN163" s="12" t="str">
        <f t="shared" si="120"/>
        <v/>
      </c>
      <c r="AO163" s="12" t="str">
        <f t="shared" si="121"/>
        <v/>
      </c>
      <c r="AP163" s="12" t="str">
        <f t="shared" si="122"/>
        <v/>
      </c>
    </row>
    <row r="164" spans="1:42">
      <c r="A164" s="9">
        <f t="shared" si="123"/>
        <v>43123.801851851851</v>
      </c>
      <c r="B164" s="22">
        <f t="shared" si="124"/>
        <v>2458142.3018518519</v>
      </c>
      <c r="C164" s="23">
        <f t="shared" si="125"/>
        <v>9.4453205795460242</v>
      </c>
      <c r="D164" s="24">
        <f t="shared" ca="1" si="126"/>
        <v>5.6886725780181412E-2</v>
      </c>
      <c r="E164" s="24">
        <f t="shared" si="127"/>
        <v>1.9481755404171717E-2</v>
      </c>
      <c r="F164" s="25">
        <f t="shared" si="128"/>
        <v>10.902245192933625</v>
      </c>
      <c r="G164" s="7">
        <v>43123.801851851851</v>
      </c>
      <c r="H164" s="11">
        <v>2458142.3018519999</v>
      </c>
      <c r="I164" s="11">
        <v>-12.842101605337101</v>
      </c>
      <c r="J164" s="11">
        <v>-11.3851769919495</v>
      </c>
      <c r="K164" s="11">
        <v>-13.7326004185031</v>
      </c>
      <c r="L164" s="11">
        <v>-12.613495998469901</v>
      </c>
      <c r="M164" s="11">
        <v>-12.8466091695629</v>
      </c>
      <c r="N164" s="11">
        <v>-12.3919831529966</v>
      </c>
      <c r="O164" s="11"/>
      <c r="P164" s="11"/>
      <c r="Q164" s="11"/>
      <c r="R164" s="11"/>
      <c r="S164" s="11"/>
      <c r="T164" s="12"/>
      <c r="U164" s="12">
        <f t="shared" si="102"/>
        <v>4</v>
      </c>
      <c r="V164" s="28">
        <f t="shared" ca="1" si="103"/>
        <v>5.84</v>
      </c>
      <c r="W164" s="28">
        <f t="shared" si="104"/>
        <v>1.9481755404171717E-2</v>
      </c>
      <c r="X164" s="12">
        <f t="shared" si="105"/>
        <v>9.4164988131659992</v>
      </c>
      <c r="Y164" s="12">
        <f t="shared" si="106"/>
        <v>9.4503943931328003</v>
      </c>
      <c r="Z164" s="12">
        <f t="shared" si="107"/>
        <v>9.4575075642257982</v>
      </c>
      <c r="AA164" s="12">
        <f t="shared" si="108"/>
        <v>9.4568815476594992</v>
      </c>
      <c r="AB164" s="12" t="str">
        <f t="shared" si="109"/>
        <v/>
      </c>
      <c r="AC164" s="12" t="str">
        <f t="shared" si="110"/>
        <v/>
      </c>
      <c r="AD164" s="12" t="str">
        <f t="shared" si="111"/>
        <v/>
      </c>
      <c r="AE164" s="12" t="str">
        <f t="shared" si="112"/>
        <v/>
      </c>
      <c r="AF164" s="12" t="str">
        <f t="shared" si="113"/>
        <v/>
      </c>
      <c r="AG164" s="12"/>
      <c r="AH164" s="12">
        <f t="shared" si="114"/>
        <v>10.8734234265536</v>
      </c>
      <c r="AI164" s="12">
        <f t="shared" si="115"/>
        <v>10.907319006520401</v>
      </c>
      <c r="AJ164" s="12">
        <f t="shared" si="116"/>
        <v>10.914432177613399</v>
      </c>
      <c r="AK164" s="12">
        <f t="shared" si="117"/>
        <v>10.9138061610471</v>
      </c>
      <c r="AL164" s="12" t="str">
        <f t="shared" si="118"/>
        <v/>
      </c>
      <c r="AM164" s="12" t="str">
        <f t="shared" si="119"/>
        <v/>
      </c>
      <c r="AN164" s="12" t="str">
        <f t="shared" si="120"/>
        <v/>
      </c>
      <c r="AO164" s="12" t="str">
        <f t="shared" si="121"/>
        <v/>
      </c>
      <c r="AP164" s="12" t="str">
        <f t="shared" si="122"/>
        <v/>
      </c>
    </row>
    <row r="165" spans="1:42">
      <c r="A165" s="9">
        <f t="shared" si="123"/>
        <v>43123.802268518521</v>
      </c>
      <c r="B165" s="22">
        <f t="shared" si="124"/>
        <v>2458142.3022685186</v>
      </c>
      <c r="C165" s="23">
        <f t="shared" si="125"/>
        <v>9.4528709230618997</v>
      </c>
      <c r="D165" s="24">
        <f t="shared" ca="1" si="126"/>
        <v>5.0393231893415553E-2</v>
      </c>
      <c r="E165" s="24">
        <f t="shared" si="127"/>
        <v>1.725795612788204E-2</v>
      </c>
      <c r="F165" s="25">
        <f t="shared" si="128"/>
        <v>10.925103438411801</v>
      </c>
      <c r="G165" s="7">
        <v>43123.802268518521</v>
      </c>
      <c r="H165" s="11">
        <v>2458142.3022690001</v>
      </c>
      <c r="I165" s="11">
        <v>-12.857884367399601</v>
      </c>
      <c r="J165" s="11">
        <v>-11.385651852049699</v>
      </c>
      <c r="K165" s="11">
        <v>-13.7605603755313</v>
      </c>
      <c r="L165" s="11">
        <v>-12.639379456709401</v>
      </c>
      <c r="M165" s="11">
        <v>-12.858534185143901</v>
      </c>
      <c r="N165" s="11">
        <v>-12.419547144461401</v>
      </c>
      <c r="O165" s="11"/>
      <c r="P165" s="11"/>
      <c r="Q165" s="11"/>
      <c r="R165" s="11"/>
      <c r="S165" s="11"/>
      <c r="T165" s="12"/>
      <c r="U165" s="12">
        <f t="shared" si="102"/>
        <v>4</v>
      </c>
      <c r="V165" s="28">
        <f t="shared" ca="1" si="103"/>
        <v>5.84</v>
      </c>
      <c r="W165" s="28">
        <f t="shared" si="104"/>
        <v>1.725795612788204E-2</v>
      </c>
      <c r="X165" s="12">
        <f t="shared" si="105"/>
        <v>9.4286760081316991</v>
      </c>
      <c r="Y165" s="12">
        <f t="shared" si="106"/>
        <v>9.4604950893098003</v>
      </c>
      <c r="Z165" s="12">
        <f t="shared" si="107"/>
        <v>9.4536498177442994</v>
      </c>
      <c r="AA165" s="12">
        <f t="shared" si="108"/>
        <v>9.4686627770617999</v>
      </c>
      <c r="AB165" s="12" t="str">
        <f t="shared" si="109"/>
        <v/>
      </c>
      <c r="AC165" s="12" t="str">
        <f t="shared" si="110"/>
        <v/>
      </c>
      <c r="AD165" s="12" t="str">
        <f t="shared" si="111"/>
        <v/>
      </c>
      <c r="AE165" s="12" t="str">
        <f t="shared" si="112"/>
        <v/>
      </c>
      <c r="AF165" s="12" t="str">
        <f t="shared" si="113"/>
        <v/>
      </c>
      <c r="AG165" s="12"/>
      <c r="AH165" s="12">
        <f t="shared" si="114"/>
        <v>10.900908523481601</v>
      </c>
      <c r="AI165" s="12">
        <f t="shared" si="115"/>
        <v>10.932727604659702</v>
      </c>
      <c r="AJ165" s="12">
        <f t="shared" si="116"/>
        <v>10.925882333094201</v>
      </c>
      <c r="AK165" s="12">
        <f t="shared" si="117"/>
        <v>10.940895292411701</v>
      </c>
      <c r="AL165" s="12" t="str">
        <f t="shared" si="118"/>
        <v/>
      </c>
      <c r="AM165" s="12" t="str">
        <f t="shared" si="119"/>
        <v/>
      </c>
      <c r="AN165" s="12" t="str">
        <f t="shared" si="120"/>
        <v/>
      </c>
      <c r="AO165" s="12" t="str">
        <f t="shared" si="121"/>
        <v/>
      </c>
      <c r="AP165" s="12" t="str">
        <f t="shared" si="122"/>
        <v/>
      </c>
    </row>
    <row r="166" spans="1:42">
      <c r="A166" s="9">
        <f t="shared" si="123"/>
        <v>43123.80269675926</v>
      </c>
      <c r="B166" s="22">
        <f t="shared" si="124"/>
        <v>2458142.3026967593</v>
      </c>
      <c r="C166" s="23">
        <f t="shared" si="125"/>
        <v>9.4519947208731772</v>
      </c>
      <c r="D166" s="24">
        <f t="shared" ca="1" si="126"/>
        <v>7.195764913577575E-2</v>
      </c>
      <c r="E166" s="24">
        <f t="shared" si="127"/>
        <v>2.4643030525950599E-2</v>
      </c>
      <c r="F166" s="25">
        <f t="shared" si="128"/>
        <v>10.907440260899575</v>
      </c>
      <c r="G166" s="7">
        <v>43123.80269675926</v>
      </c>
      <c r="H166" s="11">
        <v>2458142.3026970001</v>
      </c>
      <c r="I166" s="11">
        <v>-12.8592935041536</v>
      </c>
      <c r="J166" s="11">
        <v>-11.4038479641272</v>
      </c>
      <c r="K166" s="11">
        <v>-13.754260567168901</v>
      </c>
      <c r="L166" s="11">
        <v>-12.6332264388419</v>
      </c>
      <c r="M166" s="11">
        <v>-12.8590929726486</v>
      </c>
      <c r="N166" s="11">
        <v>-12.4335729214477</v>
      </c>
      <c r="O166" s="11"/>
      <c r="P166" s="11"/>
      <c r="Q166" s="11"/>
      <c r="R166" s="11"/>
      <c r="S166" s="11"/>
      <c r="T166" s="12"/>
      <c r="U166" s="12">
        <f t="shared" si="102"/>
        <v>4</v>
      </c>
      <c r="V166" s="28">
        <f t="shared" ca="1" si="103"/>
        <v>5.84</v>
      </c>
      <c r="W166" s="28">
        <f t="shared" si="104"/>
        <v>2.4643030525950599E-2</v>
      </c>
      <c r="X166" s="12">
        <f t="shared" si="105"/>
        <v>9.4209670630153006</v>
      </c>
      <c r="Y166" s="12">
        <f t="shared" si="106"/>
        <v>9.4529329346883006</v>
      </c>
      <c r="Z166" s="12">
        <f t="shared" si="107"/>
        <v>9.4527994684949999</v>
      </c>
      <c r="AA166" s="12">
        <f t="shared" si="108"/>
        <v>9.4812794172941004</v>
      </c>
      <c r="AB166" s="12" t="str">
        <f t="shared" si="109"/>
        <v/>
      </c>
      <c r="AC166" s="12" t="str">
        <f t="shared" si="110"/>
        <v/>
      </c>
      <c r="AD166" s="12" t="str">
        <f t="shared" si="111"/>
        <v/>
      </c>
      <c r="AE166" s="12" t="str">
        <f t="shared" si="112"/>
        <v/>
      </c>
      <c r="AF166" s="12" t="str">
        <f t="shared" si="113"/>
        <v/>
      </c>
      <c r="AG166" s="12"/>
      <c r="AH166" s="12">
        <f t="shared" si="114"/>
        <v>10.8764126030417</v>
      </c>
      <c r="AI166" s="12">
        <f t="shared" si="115"/>
        <v>10.9083784747147</v>
      </c>
      <c r="AJ166" s="12">
        <f t="shared" si="116"/>
        <v>10.9082450085214</v>
      </c>
      <c r="AK166" s="12">
        <f t="shared" si="117"/>
        <v>10.9367249573205</v>
      </c>
      <c r="AL166" s="12" t="str">
        <f t="shared" si="118"/>
        <v/>
      </c>
      <c r="AM166" s="12" t="str">
        <f t="shared" si="119"/>
        <v/>
      </c>
      <c r="AN166" s="12" t="str">
        <f t="shared" si="120"/>
        <v/>
      </c>
      <c r="AO166" s="12" t="str">
        <f t="shared" si="121"/>
        <v/>
      </c>
      <c r="AP166" s="12" t="str">
        <f t="shared" si="122"/>
        <v/>
      </c>
    </row>
    <row r="167" spans="1:42">
      <c r="A167" s="9">
        <f t="shared" si="123"/>
        <v>43123.803113425929</v>
      </c>
      <c r="B167" s="22">
        <f t="shared" si="124"/>
        <v>2458142.3031134261</v>
      </c>
      <c r="C167" s="23">
        <f t="shared" si="125"/>
        <v>9.4505123829957007</v>
      </c>
      <c r="D167" s="24">
        <f t="shared" ca="1" si="126"/>
        <v>5.6456486331747352E-2</v>
      </c>
      <c r="E167" s="24">
        <f t="shared" si="127"/>
        <v>1.9334413127310737E-2</v>
      </c>
      <c r="F167" s="25">
        <f t="shared" si="128"/>
        <v>10.884638079560601</v>
      </c>
      <c r="G167" s="7">
        <v>43123.803113425929</v>
      </c>
      <c r="H167" s="11">
        <v>2458142.303113</v>
      </c>
      <c r="I167" s="11">
        <v>-12.847303302860899</v>
      </c>
      <c r="J167" s="11">
        <v>-11.413177606295999</v>
      </c>
      <c r="K167" s="11">
        <v>-13.747651951644601</v>
      </c>
      <c r="L167" s="11">
        <v>-12.6117639362223</v>
      </c>
      <c r="M167" s="11">
        <v>-12.8609900639418</v>
      </c>
      <c r="N167" s="11">
        <v>-12.405856791617699</v>
      </c>
      <c r="O167" s="11"/>
      <c r="P167" s="11"/>
      <c r="Q167" s="11"/>
      <c r="R167" s="11"/>
      <c r="S167" s="11"/>
      <c r="T167" s="12"/>
      <c r="U167" s="12">
        <f t="shared" si="102"/>
        <v>4</v>
      </c>
      <c r="V167" s="28">
        <f t="shared" ca="1" si="103"/>
        <v>5.84</v>
      </c>
      <c r="W167" s="28">
        <f t="shared" si="104"/>
        <v>1.9334413127310737E-2</v>
      </c>
      <c r="X167" s="12">
        <f t="shared" si="105"/>
        <v>9.4263486487837014</v>
      </c>
      <c r="Y167" s="12">
        <f t="shared" si="106"/>
        <v>9.4434606333614006</v>
      </c>
      <c r="Z167" s="12">
        <f t="shared" si="107"/>
        <v>9.4666867610809007</v>
      </c>
      <c r="AA167" s="12">
        <f t="shared" si="108"/>
        <v>9.4655534887568002</v>
      </c>
      <c r="AB167" s="12" t="str">
        <f t="shared" si="109"/>
        <v/>
      </c>
      <c r="AC167" s="12" t="str">
        <f t="shared" si="110"/>
        <v/>
      </c>
      <c r="AD167" s="12" t="str">
        <f t="shared" si="111"/>
        <v/>
      </c>
      <c r="AE167" s="12" t="str">
        <f t="shared" si="112"/>
        <v/>
      </c>
      <c r="AF167" s="12" t="str">
        <f t="shared" si="113"/>
        <v/>
      </c>
      <c r="AG167" s="12"/>
      <c r="AH167" s="12">
        <f t="shared" si="114"/>
        <v>10.860474345348601</v>
      </c>
      <c r="AI167" s="12">
        <f t="shared" si="115"/>
        <v>10.8775863299263</v>
      </c>
      <c r="AJ167" s="12">
        <f t="shared" si="116"/>
        <v>10.900812457645801</v>
      </c>
      <c r="AK167" s="12">
        <f t="shared" si="117"/>
        <v>10.8996791853217</v>
      </c>
      <c r="AL167" s="12" t="str">
        <f t="shared" si="118"/>
        <v/>
      </c>
      <c r="AM167" s="12" t="str">
        <f t="shared" si="119"/>
        <v/>
      </c>
      <c r="AN167" s="12" t="str">
        <f t="shared" si="120"/>
        <v/>
      </c>
      <c r="AO167" s="12" t="str">
        <f t="shared" si="121"/>
        <v/>
      </c>
      <c r="AP167" s="12" t="str">
        <f t="shared" si="122"/>
        <v/>
      </c>
    </row>
    <row r="168" spans="1:42">
      <c r="A168" s="9">
        <f t="shared" si="123"/>
        <v>43123.803530092591</v>
      </c>
      <c r="B168" s="22">
        <f t="shared" si="124"/>
        <v>2458142.3035300928</v>
      </c>
      <c r="C168" s="23">
        <f t="shared" si="125"/>
        <v>9.4602299605664246</v>
      </c>
      <c r="D168" s="24">
        <f t="shared" ca="1" si="126"/>
        <v>6.2044980823976012E-2</v>
      </c>
      <c r="E168" s="24">
        <f t="shared" si="127"/>
        <v>2.1248281104101374E-2</v>
      </c>
      <c r="F168" s="25">
        <f t="shared" si="128"/>
        <v>10.931952684479326</v>
      </c>
      <c r="G168" s="7">
        <v>43123.803530092591</v>
      </c>
      <c r="H168" s="11">
        <v>2458142.3035300002</v>
      </c>
      <c r="I168" s="11">
        <v>-12.8395739705732</v>
      </c>
      <c r="J168" s="11">
        <v>-11.367851246660299</v>
      </c>
      <c r="K168" s="11">
        <v>-13.746360097151801</v>
      </c>
      <c r="L168" s="11">
        <v>-12.615005339971299</v>
      </c>
      <c r="M168" s="11">
        <v>-12.8661775291392</v>
      </c>
      <c r="N168" s="11">
        <v>-12.4066727582962</v>
      </c>
      <c r="O168" s="11"/>
      <c r="P168" s="11"/>
      <c r="Q168" s="11"/>
      <c r="R168" s="11"/>
      <c r="S168" s="11"/>
      <c r="T168" s="12"/>
      <c r="U168" s="12">
        <f t="shared" si="102"/>
        <v>4</v>
      </c>
      <c r="V168" s="28">
        <f t="shared" ca="1" si="103"/>
        <v>5.84</v>
      </c>
      <c r="W168" s="28">
        <f t="shared" si="104"/>
        <v>2.1248281104101374E-2</v>
      </c>
      <c r="X168" s="12">
        <f t="shared" si="105"/>
        <v>9.4327861265786002</v>
      </c>
      <c r="Y168" s="12">
        <f t="shared" si="106"/>
        <v>9.4544313693980992</v>
      </c>
      <c r="Z168" s="12">
        <f t="shared" si="107"/>
        <v>9.4796035585659997</v>
      </c>
      <c r="AA168" s="12">
        <f t="shared" si="108"/>
        <v>9.4740987877229994</v>
      </c>
      <c r="AB168" s="12" t="str">
        <f t="shared" si="109"/>
        <v/>
      </c>
      <c r="AC168" s="12" t="str">
        <f t="shared" si="110"/>
        <v/>
      </c>
      <c r="AD168" s="12" t="str">
        <f t="shared" si="111"/>
        <v/>
      </c>
      <c r="AE168" s="12" t="str">
        <f t="shared" si="112"/>
        <v/>
      </c>
      <c r="AF168" s="12" t="str">
        <f t="shared" si="113"/>
        <v/>
      </c>
      <c r="AG168" s="12"/>
      <c r="AH168" s="12">
        <f t="shared" si="114"/>
        <v>10.904508850491501</v>
      </c>
      <c r="AI168" s="12">
        <f t="shared" si="115"/>
        <v>10.926154093311</v>
      </c>
      <c r="AJ168" s="12">
        <f t="shared" si="116"/>
        <v>10.951326282478901</v>
      </c>
      <c r="AK168" s="12">
        <f t="shared" si="117"/>
        <v>10.9458215116359</v>
      </c>
      <c r="AL168" s="12" t="str">
        <f t="shared" si="118"/>
        <v/>
      </c>
      <c r="AM168" s="12" t="str">
        <f t="shared" si="119"/>
        <v/>
      </c>
      <c r="AN168" s="12" t="str">
        <f t="shared" si="120"/>
        <v/>
      </c>
      <c r="AO168" s="12" t="str">
        <f t="shared" si="121"/>
        <v/>
      </c>
      <c r="AP168" s="12" t="str">
        <f t="shared" si="122"/>
        <v/>
      </c>
    </row>
    <row r="169" spans="1:42">
      <c r="A169" s="9">
        <f t="shared" si="123"/>
        <v>43123.80395833333</v>
      </c>
      <c r="B169" s="22">
        <f t="shared" si="124"/>
        <v>2458142.3039583331</v>
      </c>
      <c r="C169" s="23">
        <f t="shared" si="125"/>
        <v>9.4649595755766249</v>
      </c>
      <c r="D169" s="24">
        <f t="shared" ca="1" si="126"/>
        <v>4.3701202374513325E-2</v>
      </c>
      <c r="E169" s="24">
        <f t="shared" si="127"/>
        <v>1.4966165196751138E-2</v>
      </c>
      <c r="F169" s="25">
        <f t="shared" si="128"/>
        <v>10.924764223970225</v>
      </c>
      <c r="G169" s="7">
        <v>43123.80395833333</v>
      </c>
      <c r="H169" s="11">
        <v>2458142.3039580001</v>
      </c>
      <c r="I169" s="11">
        <v>-12.8293684621397</v>
      </c>
      <c r="J169" s="11">
        <v>-11.369563813746099</v>
      </c>
      <c r="K169" s="11">
        <v>-13.7502442357642</v>
      </c>
      <c r="L169" s="11">
        <v>-12.6113237593813</v>
      </c>
      <c r="M169" s="11">
        <v>-12.8588896893348</v>
      </c>
      <c r="N169" s="11">
        <v>-12.391854466385</v>
      </c>
      <c r="O169" s="11"/>
      <c r="P169" s="11"/>
      <c r="Q169" s="11"/>
      <c r="R169" s="11"/>
      <c r="S169" s="11"/>
      <c r="T169" s="12"/>
      <c r="U169" s="12">
        <f t="shared" si="102"/>
        <v>4</v>
      </c>
      <c r="V169" s="28">
        <f t="shared" ca="1" si="103"/>
        <v>5.84</v>
      </c>
      <c r="W169" s="28">
        <f t="shared" si="104"/>
        <v>1.4966165196751138E-2</v>
      </c>
      <c r="X169" s="12">
        <f t="shared" si="105"/>
        <v>9.4468757736244999</v>
      </c>
      <c r="Y169" s="12">
        <f t="shared" si="106"/>
        <v>9.4609552972416004</v>
      </c>
      <c r="Z169" s="12">
        <f t="shared" si="107"/>
        <v>9.4825212271951003</v>
      </c>
      <c r="AA169" s="12">
        <f t="shared" si="108"/>
        <v>9.4694860042453008</v>
      </c>
      <c r="AB169" s="12" t="str">
        <f t="shared" si="109"/>
        <v/>
      </c>
      <c r="AC169" s="12" t="str">
        <f t="shared" si="110"/>
        <v/>
      </c>
      <c r="AD169" s="12" t="str">
        <f t="shared" si="111"/>
        <v/>
      </c>
      <c r="AE169" s="12" t="str">
        <f t="shared" si="112"/>
        <v/>
      </c>
      <c r="AF169" s="12" t="str">
        <f t="shared" si="113"/>
        <v/>
      </c>
      <c r="AG169" s="12"/>
      <c r="AH169" s="12">
        <f t="shared" si="114"/>
        <v>10.9066804220181</v>
      </c>
      <c r="AI169" s="12">
        <f t="shared" si="115"/>
        <v>10.920759945635201</v>
      </c>
      <c r="AJ169" s="12">
        <f t="shared" si="116"/>
        <v>10.942325875588701</v>
      </c>
      <c r="AK169" s="12">
        <f t="shared" si="117"/>
        <v>10.929290652638901</v>
      </c>
      <c r="AL169" s="12" t="str">
        <f t="shared" si="118"/>
        <v/>
      </c>
      <c r="AM169" s="12" t="str">
        <f t="shared" si="119"/>
        <v/>
      </c>
      <c r="AN169" s="12" t="str">
        <f t="shared" si="120"/>
        <v/>
      </c>
      <c r="AO169" s="12" t="str">
        <f t="shared" si="121"/>
        <v/>
      </c>
      <c r="AP169" s="12" t="str">
        <f t="shared" si="122"/>
        <v/>
      </c>
    </row>
    <row r="170" spans="1:42">
      <c r="A170" s="9">
        <f t="shared" si="123"/>
        <v>43123.804375</v>
      </c>
      <c r="B170" s="22">
        <f t="shared" si="124"/>
        <v>2458142.3043749998</v>
      </c>
      <c r="C170" s="23">
        <f t="shared" si="125"/>
        <v>9.4666240730510243</v>
      </c>
      <c r="D170" s="24">
        <f t="shared" ca="1" si="126"/>
        <v>4.5361103889305115E-2</v>
      </c>
      <c r="E170" s="24">
        <f t="shared" si="127"/>
        <v>1.5534624619625041E-2</v>
      </c>
      <c r="F170" s="25">
        <f t="shared" si="128"/>
        <v>10.908455651950725</v>
      </c>
      <c r="G170" s="7">
        <v>43123.804375</v>
      </c>
      <c r="H170" s="11">
        <v>2458142.3043749998</v>
      </c>
      <c r="I170" s="11">
        <v>-12.8295868308489</v>
      </c>
      <c r="J170" s="11">
        <v>-11.3877552519492</v>
      </c>
      <c r="K170" s="11">
        <v>-13.7470831518712</v>
      </c>
      <c r="L170" s="11">
        <v>-12.622907136006599</v>
      </c>
      <c r="M170" s="11">
        <v>-12.853460412325701</v>
      </c>
      <c r="N170" s="11">
        <v>-12.3963929153962</v>
      </c>
      <c r="O170" s="11"/>
      <c r="P170" s="11"/>
      <c r="Q170" s="11"/>
      <c r="R170" s="11"/>
      <c r="S170" s="11"/>
      <c r="T170" s="12"/>
      <c r="U170" s="12">
        <f t="shared" si="102"/>
        <v>4</v>
      </c>
      <c r="V170" s="28">
        <f t="shared" ca="1" si="103"/>
        <v>5.84</v>
      </c>
      <c r="W170" s="28">
        <f t="shared" si="104"/>
        <v>1.5534624619625041E-2</v>
      </c>
      <c r="X170" s="12">
        <f t="shared" si="105"/>
        <v>9.4434963210223</v>
      </c>
      <c r="Y170" s="12">
        <f t="shared" si="106"/>
        <v>9.4723203051576998</v>
      </c>
      <c r="Z170" s="12">
        <f t="shared" si="107"/>
        <v>9.4768735814768004</v>
      </c>
      <c r="AA170" s="12">
        <f t="shared" si="108"/>
        <v>9.4738060845473004</v>
      </c>
      <c r="AB170" s="12" t="str">
        <f t="shared" si="109"/>
        <v/>
      </c>
      <c r="AC170" s="12" t="str">
        <f t="shared" si="110"/>
        <v/>
      </c>
      <c r="AD170" s="12" t="str">
        <f t="shared" si="111"/>
        <v/>
      </c>
      <c r="AE170" s="12" t="str">
        <f t="shared" si="112"/>
        <v/>
      </c>
      <c r="AF170" s="12" t="str">
        <f t="shared" si="113"/>
        <v/>
      </c>
      <c r="AG170" s="12"/>
      <c r="AH170" s="12">
        <f t="shared" si="114"/>
        <v>10.885327899922</v>
      </c>
      <c r="AI170" s="12">
        <f t="shared" si="115"/>
        <v>10.9141518840574</v>
      </c>
      <c r="AJ170" s="12">
        <f t="shared" si="116"/>
        <v>10.918705160376501</v>
      </c>
      <c r="AK170" s="12">
        <f t="shared" si="117"/>
        <v>10.915637663447001</v>
      </c>
      <c r="AL170" s="12" t="str">
        <f t="shared" si="118"/>
        <v/>
      </c>
      <c r="AM170" s="12" t="str">
        <f t="shared" si="119"/>
        <v/>
      </c>
      <c r="AN170" s="12" t="str">
        <f t="shared" si="120"/>
        <v/>
      </c>
      <c r="AO170" s="12" t="str">
        <f t="shared" si="121"/>
        <v/>
      </c>
      <c r="AP170" s="12" t="str">
        <f t="shared" si="122"/>
        <v/>
      </c>
    </row>
    <row r="171" spans="1:42">
      <c r="A171" s="9">
        <f t="shared" si="123"/>
        <v>43123.804791666669</v>
      </c>
      <c r="B171" s="22">
        <f t="shared" si="124"/>
        <v>2458142.3047916666</v>
      </c>
      <c r="C171" s="23">
        <f t="shared" si="125"/>
        <v>9.4717615756137743</v>
      </c>
      <c r="D171" s="24">
        <f t="shared" ca="1" si="126"/>
        <v>3.9167931784004045E-2</v>
      </c>
      <c r="E171" s="24">
        <f t="shared" si="127"/>
        <v>1.3413675268494537E-2</v>
      </c>
      <c r="F171" s="25">
        <f t="shared" si="128"/>
        <v>10.908283120074273</v>
      </c>
      <c r="G171" s="7">
        <v>43123.804791666669</v>
      </c>
      <c r="H171" s="11">
        <v>2458142.304792</v>
      </c>
      <c r="I171" s="11">
        <v>-12.824479181459299</v>
      </c>
      <c r="J171" s="11">
        <v>-11.3879576369988</v>
      </c>
      <c r="K171" s="11">
        <v>-13.753707384502301</v>
      </c>
      <c r="L171" s="11">
        <v>-12.6120600012267</v>
      </c>
      <c r="M171" s="11">
        <v>-12.8554826906733</v>
      </c>
      <c r="N171" s="11">
        <v>-12.398712951889999</v>
      </c>
      <c r="O171" s="11"/>
      <c r="P171" s="11"/>
      <c r="Q171" s="11"/>
      <c r="R171" s="11"/>
      <c r="S171" s="11"/>
      <c r="T171" s="12"/>
      <c r="U171" s="12">
        <f t="shared" si="102"/>
        <v>4</v>
      </c>
      <c r="V171" s="28">
        <f t="shared" ca="1" si="103"/>
        <v>5.84</v>
      </c>
      <c r="W171" s="28">
        <f t="shared" si="104"/>
        <v>1.3413675268494537E-2</v>
      </c>
      <c r="X171" s="12">
        <f t="shared" si="105"/>
        <v>9.455228203043001</v>
      </c>
      <c r="Y171" s="12">
        <f t="shared" si="106"/>
        <v>9.4665808197674011</v>
      </c>
      <c r="Z171" s="12">
        <f t="shared" si="107"/>
        <v>9.4840035092140003</v>
      </c>
      <c r="AA171" s="12">
        <f t="shared" si="108"/>
        <v>9.4812337704307001</v>
      </c>
      <c r="AB171" s="12" t="str">
        <f t="shared" si="109"/>
        <v/>
      </c>
      <c r="AC171" s="12" t="str">
        <f t="shared" si="110"/>
        <v/>
      </c>
      <c r="AD171" s="12" t="str">
        <f t="shared" si="111"/>
        <v/>
      </c>
      <c r="AE171" s="12" t="str">
        <f t="shared" si="112"/>
        <v/>
      </c>
      <c r="AF171" s="12" t="str">
        <f t="shared" si="113"/>
        <v/>
      </c>
      <c r="AG171" s="12"/>
      <c r="AH171" s="12">
        <f t="shared" si="114"/>
        <v>10.8917497475035</v>
      </c>
      <c r="AI171" s="12">
        <f t="shared" si="115"/>
        <v>10.9031023642279</v>
      </c>
      <c r="AJ171" s="12">
        <f t="shared" si="116"/>
        <v>10.920525053674499</v>
      </c>
      <c r="AK171" s="12">
        <f t="shared" si="117"/>
        <v>10.917755314891199</v>
      </c>
      <c r="AL171" s="12" t="str">
        <f t="shared" si="118"/>
        <v/>
      </c>
      <c r="AM171" s="12" t="str">
        <f t="shared" si="119"/>
        <v/>
      </c>
      <c r="AN171" s="12" t="str">
        <f t="shared" si="120"/>
        <v/>
      </c>
      <c r="AO171" s="12" t="str">
        <f t="shared" si="121"/>
        <v/>
      </c>
      <c r="AP171" s="12" t="str">
        <f t="shared" si="122"/>
        <v/>
      </c>
    </row>
    <row r="172" spans="1:42">
      <c r="A172" s="9">
        <f t="shared" si="123"/>
        <v>43123.805219907408</v>
      </c>
      <c r="B172" s="22">
        <f t="shared" si="124"/>
        <v>2458142.3052199073</v>
      </c>
      <c r="C172" s="23">
        <f t="shared" si="125"/>
        <v>9.4708204018289486</v>
      </c>
      <c r="D172" s="24">
        <f t="shared" ca="1" si="126"/>
        <v>6.1500724235983018E-2</v>
      </c>
      <c r="E172" s="24">
        <f t="shared" si="127"/>
        <v>2.1061891861638021E-2</v>
      </c>
      <c r="F172" s="25">
        <f t="shared" si="128"/>
        <v>10.928053687665951</v>
      </c>
      <c r="G172" s="7">
        <v>43123.805219907408</v>
      </c>
      <c r="H172" s="11">
        <v>2458142.30522</v>
      </c>
      <c r="I172" s="11">
        <v>-12.832900419830301</v>
      </c>
      <c r="J172" s="11">
        <v>-11.3756671339933</v>
      </c>
      <c r="K172" s="11">
        <v>-13.747253267506199</v>
      </c>
      <c r="L172" s="11">
        <v>-12.6320549137385</v>
      </c>
      <c r="M172" s="11">
        <v>-12.8559168945701</v>
      </c>
      <c r="N172" s="11">
        <v>-12.4146582108222</v>
      </c>
      <c r="O172" s="11"/>
      <c r="P172" s="11"/>
      <c r="Q172" s="11"/>
      <c r="R172" s="11"/>
      <c r="S172" s="11"/>
      <c r="T172" s="12"/>
      <c r="U172" s="12">
        <f t="shared" si="102"/>
        <v>4</v>
      </c>
      <c r="V172" s="28">
        <f t="shared" ca="1" si="103"/>
        <v>5.84</v>
      </c>
      <c r="W172" s="28">
        <f t="shared" si="104"/>
        <v>2.1061891861638021E-2</v>
      </c>
      <c r="X172" s="12">
        <f t="shared" si="105"/>
        <v>9.4403528476758982</v>
      </c>
      <c r="Y172" s="12">
        <f t="shared" si="106"/>
        <v>9.4781544939081996</v>
      </c>
      <c r="Z172" s="12">
        <f t="shared" si="107"/>
        <v>9.476016474739799</v>
      </c>
      <c r="AA172" s="12">
        <f t="shared" si="108"/>
        <v>9.4887577909918992</v>
      </c>
      <c r="AB172" s="12" t="str">
        <f t="shared" si="109"/>
        <v/>
      </c>
      <c r="AC172" s="12" t="str">
        <f t="shared" si="110"/>
        <v/>
      </c>
      <c r="AD172" s="12" t="str">
        <f t="shared" si="111"/>
        <v/>
      </c>
      <c r="AE172" s="12" t="str">
        <f t="shared" si="112"/>
        <v/>
      </c>
      <c r="AF172" s="12" t="str">
        <f t="shared" si="113"/>
        <v/>
      </c>
      <c r="AG172" s="12"/>
      <c r="AH172" s="12">
        <f t="shared" si="114"/>
        <v>10.897586133512899</v>
      </c>
      <c r="AI172" s="12">
        <f t="shared" si="115"/>
        <v>10.9353877797452</v>
      </c>
      <c r="AJ172" s="12">
        <f t="shared" si="116"/>
        <v>10.9332497605768</v>
      </c>
      <c r="AK172" s="12">
        <f t="shared" si="117"/>
        <v>10.9459910768289</v>
      </c>
      <c r="AL172" s="12" t="str">
        <f t="shared" si="118"/>
        <v/>
      </c>
      <c r="AM172" s="12" t="str">
        <f t="shared" si="119"/>
        <v/>
      </c>
      <c r="AN172" s="12" t="str">
        <f t="shared" si="120"/>
        <v/>
      </c>
      <c r="AO172" s="12" t="str">
        <f t="shared" si="121"/>
        <v/>
      </c>
      <c r="AP172" s="12" t="str">
        <f t="shared" si="122"/>
        <v/>
      </c>
    </row>
    <row r="173" spans="1:42">
      <c r="A173" s="9">
        <f t="shared" si="123"/>
        <v>43123.805636574078</v>
      </c>
      <c r="B173" s="22">
        <f t="shared" si="124"/>
        <v>2458142.305636574</v>
      </c>
      <c r="C173" s="23">
        <f t="shared" si="125"/>
        <v>9.4637432405851989</v>
      </c>
      <c r="D173" s="24">
        <f t="shared" ca="1" si="126"/>
        <v>4.4365636238193756E-2</v>
      </c>
      <c r="E173" s="24">
        <f t="shared" si="127"/>
        <v>1.5193711040477315E-2</v>
      </c>
      <c r="F173" s="25">
        <f t="shared" si="128"/>
        <v>10.935705204098598</v>
      </c>
      <c r="G173" s="7">
        <v>43123.805636574078</v>
      </c>
      <c r="H173" s="11">
        <v>2458142.3056370001</v>
      </c>
      <c r="I173" s="11">
        <v>-12.8391372728428</v>
      </c>
      <c r="J173" s="11">
        <v>-11.367175309329401</v>
      </c>
      <c r="K173" s="11">
        <v>-13.755596003656001</v>
      </c>
      <c r="L173" s="11">
        <v>-12.637179532517401</v>
      </c>
      <c r="M173" s="11">
        <v>-12.849950997313901</v>
      </c>
      <c r="N173" s="11">
        <v>-12.403795520224699</v>
      </c>
      <c r="O173" s="11"/>
      <c r="P173" s="11"/>
      <c r="Q173" s="11"/>
      <c r="R173" s="11"/>
      <c r="S173" s="11"/>
      <c r="T173" s="12"/>
      <c r="U173" s="12">
        <f t="shared" si="102"/>
        <v>4</v>
      </c>
      <c r="V173" s="28">
        <f t="shared" ca="1" si="103"/>
        <v>5.84</v>
      </c>
      <c r="W173" s="28">
        <f t="shared" si="104"/>
        <v>1.5193711040477315E-2</v>
      </c>
      <c r="X173" s="12">
        <f t="shared" si="105"/>
        <v>9.4424587308132004</v>
      </c>
      <c r="Y173" s="12">
        <f t="shared" si="106"/>
        <v>9.4770422596746009</v>
      </c>
      <c r="Z173" s="12">
        <f t="shared" si="107"/>
        <v>9.4638137244711</v>
      </c>
      <c r="AA173" s="12">
        <f t="shared" si="108"/>
        <v>9.4716582473818995</v>
      </c>
      <c r="AB173" s="12" t="str">
        <f t="shared" si="109"/>
        <v/>
      </c>
      <c r="AC173" s="12" t="str">
        <f t="shared" si="110"/>
        <v/>
      </c>
      <c r="AD173" s="12" t="str">
        <f t="shared" si="111"/>
        <v/>
      </c>
      <c r="AE173" s="12" t="str">
        <f t="shared" si="112"/>
        <v/>
      </c>
      <c r="AF173" s="12" t="str">
        <f t="shared" si="113"/>
        <v/>
      </c>
      <c r="AG173" s="12"/>
      <c r="AH173" s="12">
        <f t="shared" si="114"/>
        <v>10.9144206943266</v>
      </c>
      <c r="AI173" s="12">
        <f t="shared" si="115"/>
        <v>10.949004223188</v>
      </c>
      <c r="AJ173" s="12">
        <f t="shared" si="116"/>
        <v>10.935775687984499</v>
      </c>
      <c r="AK173" s="12">
        <f t="shared" si="117"/>
        <v>10.943620210895299</v>
      </c>
      <c r="AL173" s="12" t="str">
        <f t="shared" si="118"/>
        <v/>
      </c>
      <c r="AM173" s="12" t="str">
        <f t="shared" si="119"/>
        <v/>
      </c>
      <c r="AN173" s="12" t="str">
        <f t="shared" si="120"/>
        <v/>
      </c>
      <c r="AO173" s="12" t="str">
        <f t="shared" si="121"/>
        <v/>
      </c>
      <c r="AP173" s="12" t="str">
        <f t="shared" si="122"/>
        <v/>
      </c>
    </row>
    <row r="174" spans="1:42">
      <c r="A174" s="9">
        <f t="shared" si="123"/>
        <v>43123.80605324074</v>
      </c>
      <c r="B174" s="22">
        <f t="shared" si="124"/>
        <v>2458142.3060532408</v>
      </c>
      <c r="C174" s="23">
        <f t="shared" si="125"/>
        <v>9.4694248312448757</v>
      </c>
      <c r="D174" s="24">
        <f t="shared" ca="1" si="126"/>
        <v>5.290020498357071E-2</v>
      </c>
      <c r="E174" s="24">
        <f t="shared" si="127"/>
        <v>1.8116508556017367E-2</v>
      </c>
      <c r="F174" s="25">
        <f t="shared" si="128"/>
        <v>10.911981757836074</v>
      </c>
      <c r="G174" s="7">
        <v>43123.80605324074</v>
      </c>
      <c r="H174" s="11">
        <v>2458142.306053</v>
      </c>
      <c r="I174" s="11">
        <v>-12.831036627629</v>
      </c>
      <c r="J174" s="11">
        <v>-11.3884797010378</v>
      </c>
      <c r="K174" s="11">
        <v>-13.7473317304223</v>
      </c>
      <c r="L174" s="11">
        <v>-12.631975535398601</v>
      </c>
      <c r="M174" s="11">
        <v>-12.855680596395</v>
      </c>
      <c r="N174" s="11">
        <v>-12.401857973279601</v>
      </c>
      <c r="O174" s="11"/>
      <c r="P174" s="11"/>
      <c r="Q174" s="11"/>
      <c r="R174" s="11"/>
      <c r="S174" s="11"/>
      <c r="T174" s="12"/>
      <c r="U174" s="12">
        <f t="shared" si="102"/>
        <v>4</v>
      </c>
      <c r="V174" s="28">
        <f t="shared" ca="1" si="103"/>
        <v>5.84</v>
      </c>
      <c r="W174" s="28">
        <f t="shared" si="104"/>
        <v>1.8116508556017367E-2</v>
      </c>
      <c r="X174" s="12">
        <f t="shared" si="105"/>
        <v>9.4422951027932989</v>
      </c>
      <c r="Y174" s="12">
        <f t="shared" si="106"/>
        <v>9.4799389077696006</v>
      </c>
      <c r="Z174" s="12">
        <f t="shared" si="107"/>
        <v>9.4776439687659995</v>
      </c>
      <c r="AA174" s="12">
        <f t="shared" si="108"/>
        <v>9.4778213456506002</v>
      </c>
      <c r="AB174" s="12" t="str">
        <f t="shared" si="109"/>
        <v/>
      </c>
      <c r="AC174" s="12" t="str">
        <f t="shared" si="110"/>
        <v/>
      </c>
      <c r="AD174" s="12" t="str">
        <f t="shared" si="111"/>
        <v/>
      </c>
      <c r="AE174" s="12" t="str">
        <f t="shared" si="112"/>
        <v/>
      </c>
      <c r="AF174" s="12" t="str">
        <f t="shared" si="113"/>
        <v/>
      </c>
      <c r="AG174" s="12"/>
      <c r="AH174" s="12">
        <f t="shared" si="114"/>
        <v>10.884852029384499</v>
      </c>
      <c r="AI174" s="12">
        <f t="shared" si="115"/>
        <v>10.922495834360801</v>
      </c>
      <c r="AJ174" s="12">
        <f t="shared" si="116"/>
        <v>10.920200895357199</v>
      </c>
      <c r="AK174" s="12">
        <f t="shared" si="117"/>
        <v>10.9203782722418</v>
      </c>
      <c r="AL174" s="12" t="str">
        <f t="shared" si="118"/>
        <v/>
      </c>
      <c r="AM174" s="12" t="str">
        <f t="shared" si="119"/>
        <v/>
      </c>
      <c r="AN174" s="12" t="str">
        <f t="shared" si="120"/>
        <v/>
      </c>
      <c r="AO174" s="12" t="str">
        <f t="shared" si="121"/>
        <v/>
      </c>
      <c r="AP174" s="12" t="str">
        <f t="shared" si="122"/>
        <v/>
      </c>
    </row>
    <row r="175" spans="1:42">
      <c r="A175" s="9">
        <f t="shared" si="123"/>
        <v>43123.806469907409</v>
      </c>
      <c r="B175" s="22">
        <f t="shared" si="124"/>
        <v>2458142.3064699075</v>
      </c>
      <c r="C175" s="23">
        <f t="shared" si="125"/>
        <v>9.4787274377658512</v>
      </c>
      <c r="D175" s="24">
        <f t="shared" ca="1" si="126"/>
        <v>6.6710423642721395E-2</v>
      </c>
      <c r="E175" s="24">
        <f t="shared" si="127"/>
        <v>2.2846035494082668E-2</v>
      </c>
      <c r="F175" s="25">
        <f t="shared" si="128"/>
        <v>10.89984893819185</v>
      </c>
      <c r="G175" s="7">
        <v>43123.806469907409</v>
      </c>
      <c r="H175" s="11">
        <v>2458142.3064700002</v>
      </c>
      <c r="I175" s="11">
        <v>-12.822949567415399</v>
      </c>
      <c r="J175" s="11">
        <v>-11.401828066989401</v>
      </c>
      <c r="K175" s="11">
        <v>-13.7433162038418</v>
      </c>
      <c r="L175" s="11">
        <v>-12.6230409020688</v>
      </c>
      <c r="M175" s="11">
        <v>-12.8664878014505</v>
      </c>
      <c r="N175" s="11">
        <v>-12.4088631133639</v>
      </c>
      <c r="O175" s="11"/>
      <c r="P175" s="11"/>
      <c r="Q175" s="11"/>
      <c r="R175" s="11"/>
      <c r="S175" s="11"/>
      <c r="T175" s="12"/>
      <c r="U175" s="12">
        <f t="shared" si="102"/>
        <v>4</v>
      </c>
      <c r="V175" s="28">
        <f t="shared" ca="1" si="103"/>
        <v>5.84</v>
      </c>
      <c r="W175" s="28">
        <f t="shared" si="104"/>
        <v>2.2846035494082668E-2</v>
      </c>
      <c r="X175" s="12">
        <f t="shared" si="105"/>
        <v>9.4463666364264007</v>
      </c>
      <c r="Y175" s="12">
        <f t="shared" si="106"/>
        <v>9.4790913346534005</v>
      </c>
      <c r="Z175" s="12">
        <f t="shared" si="107"/>
        <v>9.4965382340350999</v>
      </c>
      <c r="AA175" s="12">
        <f t="shared" si="108"/>
        <v>9.4929135459485003</v>
      </c>
      <c r="AB175" s="12" t="str">
        <f t="shared" si="109"/>
        <v/>
      </c>
      <c r="AC175" s="12" t="str">
        <f t="shared" si="110"/>
        <v/>
      </c>
      <c r="AD175" s="12" t="str">
        <f t="shared" si="111"/>
        <v/>
      </c>
      <c r="AE175" s="12" t="str">
        <f t="shared" si="112"/>
        <v/>
      </c>
      <c r="AF175" s="12" t="str">
        <f t="shared" si="113"/>
        <v/>
      </c>
      <c r="AG175" s="12"/>
      <c r="AH175" s="12">
        <f t="shared" si="114"/>
        <v>10.867488136852399</v>
      </c>
      <c r="AI175" s="12">
        <f t="shared" si="115"/>
        <v>10.900212835079399</v>
      </c>
      <c r="AJ175" s="12">
        <f t="shared" si="116"/>
        <v>10.917659734461099</v>
      </c>
      <c r="AK175" s="12">
        <f t="shared" si="117"/>
        <v>10.914035046374499</v>
      </c>
      <c r="AL175" s="12" t="str">
        <f t="shared" si="118"/>
        <v/>
      </c>
      <c r="AM175" s="12" t="str">
        <f t="shared" si="119"/>
        <v/>
      </c>
      <c r="AN175" s="12" t="str">
        <f t="shared" si="120"/>
        <v/>
      </c>
      <c r="AO175" s="12" t="str">
        <f t="shared" si="121"/>
        <v/>
      </c>
      <c r="AP175" s="12" t="str">
        <f t="shared" si="122"/>
        <v/>
      </c>
    </row>
    <row r="176" spans="1:42">
      <c r="A176" s="9">
        <f t="shared" si="123"/>
        <v>43123.806898148148</v>
      </c>
      <c r="B176" s="22">
        <f t="shared" si="124"/>
        <v>2458142.3068981483</v>
      </c>
      <c r="C176" s="23">
        <f t="shared" si="125"/>
        <v>9.4848565272190761</v>
      </c>
      <c r="D176" s="24">
        <f t="shared" ca="1" si="126"/>
        <v>4.6292557707969716E-2</v>
      </c>
      <c r="E176" s="24">
        <f t="shared" si="127"/>
        <v>1.5853615653414286E-2</v>
      </c>
      <c r="F176" s="25">
        <f t="shared" si="128"/>
        <v>10.937291064839876</v>
      </c>
      <c r="G176" s="7">
        <v>43123.806898148148</v>
      </c>
      <c r="H176" s="11">
        <v>2458142.3068980002</v>
      </c>
      <c r="I176" s="11">
        <v>-12.812628634408799</v>
      </c>
      <c r="J176" s="11">
        <v>-11.360194096788</v>
      </c>
      <c r="K176" s="11">
        <v>-13.748631949085</v>
      </c>
      <c r="L176" s="11">
        <v>-12.6215162752622</v>
      </c>
      <c r="M176" s="11">
        <v>-12.858008454975799</v>
      </c>
      <c r="N176" s="11">
        <v>-12.396783967188499</v>
      </c>
      <c r="O176" s="11"/>
      <c r="P176" s="11"/>
      <c r="Q176" s="11"/>
      <c r="R176" s="11"/>
      <c r="S176" s="11"/>
      <c r="T176" s="12"/>
      <c r="U176" s="12">
        <f t="shared" si="102"/>
        <v>4</v>
      </c>
      <c r="V176" s="28">
        <f t="shared" ca="1" si="103"/>
        <v>5.84</v>
      </c>
      <c r="W176" s="28">
        <f t="shared" si="104"/>
        <v>1.5853615653414286E-2</v>
      </c>
      <c r="X176" s="12">
        <f t="shared" si="105"/>
        <v>9.4620033146762008</v>
      </c>
      <c r="Y176" s="12">
        <f t="shared" si="106"/>
        <v>9.4878876408534012</v>
      </c>
      <c r="Z176" s="12">
        <f t="shared" si="107"/>
        <v>9.4983798205669991</v>
      </c>
      <c r="AA176" s="12">
        <f t="shared" si="108"/>
        <v>9.4911553327796998</v>
      </c>
      <c r="AB176" s="12" t="str">
        <f t="shared" si="109"/>
        <v/>
      </c>
      <c r="AC176" s="12" t="str">
        <f t="shared" si="110"/>
        <v/>
      </c>
      <c r="AD176" s="12" t="str">
        <f t="shared" si="111"/>
        <v/>
      </c>
      <c r="AE176" s="12" t="str">
        <f t="shared" si="112"/>
        <v/>
      </c>
      <c r="AF176" s="12" t="str">
        <f t="shared" si="113"/>
        <v/>
      </c>
      <c r="AG176" s="12"/>
      <c r="AH176" s="12">
        <f t="shared" si="114"/>
        <v>10.914437852297</v>
      </c>
      <c r="AI176" s="12">
        <f t="shared" si="115"/>
        <v>10.940322178474201</v>
      </c>
      <c r="AJ176" s="12">
        <f t="shared" si="116"/>
        <v>10.950814358187799</v>
      </c>
      <c r="AK176" s="12">
        <f t="shared" si="117"/>
        <v>10.943589870400499</v>
      </c>
      <c r="AL176" s="12" t="str">
        <f t="shared" si="118"/>
        <v/>
      </c>
      <c r="AM176" s="12" t="str">
        <f t="shared" si="119"/>
        <v/>
      </c>
      <c r="AN176" s="12" t="str">
        <f t="shared" si="120"/>
        <v/>
      </c>
      <c r="AO176" s="12" t="str">
        <f t="shared" si="121"/>
        <v/>
      </c>
      <c r="AP176" s="12" t="str">
        <f t="shared" si="122"/>
        <v/>
      </c>
    </row>
    <row r="177" spans="1:42">
      <c r="A177" s="9">
        <f t="shared" si="123"/>
        <v>43123.807314814818</v>
      </c>
      <c r="B177" s="22">
        <f t="shared" si="124"/>
        <v>2458142.307314815</v>
      </c>
      <c r="C177" s="23">
        <f t="shared" si="125"/>
        <v>9.4795933317169503</v>
      </c>
      <c r="D177" s="24">
        <f t="shared" ca="1" si="126"/>
        <v>5.1998479837176315E-2</v>
      </c>
      <c r="E177" s="24">
        <f t="shared" si="127"/>
        <v>1.780769857437545E-2</v>
      </c>
      <c r="F177" s="25">
        <f t="shared" si="128"/>
        <v>10.927675244106348</v>
      </c>
      <c r="G177" s="7">
        <v>43123.807314814818</v>
      </c>
      <c r="H177" s="11">
        <v>2458142.3073149999</v>
      </c>
      <c r="I177" s="11">
        <v>-12.8238519656467</v>
      </c>
      <c r="J177" s="11">
        <v>-11.3757700532573</v>
      </c>
      <c r="K177" s="11">
        <v>-13.752040648583099</v>
      </c>
      <c r="L177" s="11">
        <v>-12.625183680601801</v>
      </c>
      <c r="M177" s="11">
        <v>-12.8635493607977</v>
      </c>
      <c r="N177" s="11">
        <v>-12.408007499471999</v>
      </c>
      <c r="O177" s="11"/>
      <c r="P177" s="11"/>
      <c r="Q177" s="11"/>
      <c r="R177" s="11"/>
      <c r="S177" s="11"/>
      <c r="T177" s="12"/>
      <c r="U177" s="12">
        <f t="shared" si="102"/>
        <v>4</v>
      </c>
      <c r="V177" s="28">
        <f t="shared" ca="1" si="103"/>
        <v>5.84</v>
      </c>
      <c r="W177" s="28">
        <f t="shared" si="104"/>
        <v>1.780769857437545E-2</v>
      </c>
      <c r="X177" s="12">
        <f t="shared" si="105"/>
        <v>9.4541886829363992</v>
      </c>
      <c r="Y177" s="12">
        <f t="shared" si="106"/>
        <v>9.480331714955101</v>
      </c>
      <c r="Z177" s="12">
        <f t="shared" si="107"/>
        <v>9.4926973951509996</v>
      </c>
      <c r="AA177" s="12">
        <f t="shared" si="108"/>
        <v>9.4911555338252995</v>
      </c>
      <c r="AB177" s="12" t="str">
        <f t="shared" si="109"/>
        <v/>
      </c>
      <c r="AC177" s="12" t="str">
        <f t="shared" si="110"/>
        <v/>
      </c>
      <c r="AD177" s="12" t="str">
        <f t="shared" si="111"/>
        <v/>
      </c>
      <c r="AE177" s="12" t="str">
        <f t="shared" si="112"/>
        <v/>
      </c>
      <c r="AF177" s="12" t="str">
        <f t="shared" si="113"/>
        <v/>
      </c>
      <c r="AG177" s="12"/>
      <c r="AH177" s="12">
        <f t="shared" si="114"/>
        <v>10.902270595325799</v>
      </c>
      <c r="AI177" s="12">
        <f t="shared" si="115"/>
        <v>10.928413627344501</v>
      </c>
      <c r="AJ177" s="12">
        <f t="shared" si="116"/>
        <v>10.940779307540399</v>
      </c>
      <c r="AK177" s="12">
        <f t="shared" si="117"/>
        <v>10.939237446214699</v>
      </c>
      <c r="AL177" s="12" t="str">
        <f t="shared" si="118"/>
        <v/>
      </c>
      <c r="AM177" s="12" t="str">
        <f t="shared" si="119"/>
        <v/>
      </c>
      <c r="AN177" s="12" t="str">
        <f t="shared" si="120"/>
        <v/>
      </c>
      <c r="AO177" s="12" t="str">
        <f t="shared" si="121"/>
        <v/>
      </c>
      <c r="AP177" s="12" t="str">
        <f t="shared" si="122"/>
        <v/>
      </c>
    </row>
    <row r="178" spans="1:42">
      <c r="A178" s="9">
        <f t="shared" si="123"/>
        <v>43123.80773148148</v>
      </c>
      <c r="B178" s="22">
        <f t="shared" si="124"/>
        <v>2458142.3077314813</v>
      </c>
      <c r="C178" s="23">
        <f t="shared" si="125"/>
        <v>9.4933530249818006</v>
      </c>
      <c r="D178" s="24">
        <f t="shared" ca="1" si="126"/>
        <v>3.7563999592155242E-2</v>
      </c>
      <c r="E178" s="24">
        <f t="shared" si="127"/>
        <v>1.2864383421970974E-2</v>
      </c>
      <c r="F178" s="25">
        <f t="shared" si="128"/>
        <v>10.942663302091901</v>
      </c>
      <c r="G178" s="7">
        <v>43123.80773148148</v>
      </c>
      <c r="H178" s="11">
        <v>2458142.3077309998</v>
      </c>
      <c r="I178" s="11">
        <v>-12.8125821926106</v>
      </c>
      <c r="J178" s="11">
        <v>-11.3632719155005</v>
      </c>
      <c r="K178" s="11">
        <v>-13.761283779719101</v>
      </c>
      <c r="L178" s="11">
        <v>-12.6292806991926</v>
      </c>
      <c r="M178" s="11">
        <v>-12.863341810471301</v>
      </c>
      <c r="N178" s="11">
        <v>-12.4048345809866</v>
      </c>
      <c r="O178" s="11"/>
      <c r="P178" s="11"/>
      <c r="Q178" s="11"/>
      <c r="R178" s="11"/>
      <c r="S178" s="11"/>
      <c r="T178" s="12"/>
      <c r="U178" s="12">
        <f t="shared" si="102"/>
        <v>4</v>
      </c>
      <c r="V178" s="28">
        <f t="shared" ca="1" si="103"/>
        <v>5.84</v>
      </c>
      <c r="W178" s="28">
        <f t="shared" si="104"/>
        <v>1.2864383421970974E-2</v>
      </c>
      <c r="X178" s="12">
        <f t="shared" si="105"/>
        <v>9.4747015871085001</v>
      </c>
      <c r="Y178" s="12">
        <f t="shared" si="106"/>
        <v>9.4956985065820003</v>
      </c>
      <c r="Z178" s="12">
        <f t="shared" si="107"/>
        <v>9.5037596178607</v>
      </c>
      <c r="AA178" s="12">
        <f t="shared" si="108"/>
        <v>9.4992523883760001</v>
      </c>
      <c r="AB178" s="12" t="str">
        <f t="shared" si="109"/>
        <v/>
      </c>
      <c r="AC178" s="12" t="str">
        <f t="shared" si="110"/>
        <v/>
      </c>
      <c r="AD178" s="12" t="str">
        <f t="shared" si="111"/>
        <v/>
      </c>
      <c r="AE178" s="12" t="str">
        <f t="shared" si="112"/>
        <v/>
      </c>
      <c r="AF178" s="12" t="str">
        <f t="shared" si="113"/>
        <v/>
      </c>
      <c r="AG178" s="12"/>
      <c r="AH178" s="12">
        <f t="shared" si="114"/>
        <v>10.924011864218601</v>
      </c>
      <c r="AI178" s="12">
        <f t="shared" si="115"/>
        <v>10.945008783692101</v>
      </c>
      <c r="AJ178" s="12">
        <f t="shared" si="116"/>
        <v>10.953069894970801</v>
      </c>
      <c r="AK178" s="12">
        <f t="shared" si="117"/>
        <v>10.948562665486101</v>
      </c>
      <c r="AL178" s="12" t="str">
        <f t="shared" si="118"/>
        <v/>
      </c>
      <c r="AM178" s="12" t="str">
        <f t="shared" si="119"/>
        <v/>
      </c>
      <c r="AN178" s="12" t="str">
        <f t="shared" si="120"/>
        <v/>
      </c>
      <c r="AO178" s="12" t="str">
        <f t="shared" si="121"/>
        <v/>
      </c>
      <c r="AP178" s="12" t="str">
        <f t="shared" si="122"/>
        <v/>
      </c>
    </row>
    <row r="179" spans="1:42">
      <c r="A179" s="9">
        <f t="shared" si="123"/>
        <v>43123.808148148149</v>
      </c>
      <c r="B179" s="22">
        <f t="shared" si="124"/>
        <v>2458142.308148148</v>
      </c>
      <c r="C179" s="23">
        <f t="shared" si="125"/>
        <v>9.483035438025226</v>
      </c>
      <c r="D179" s="24">
        <f t="shared" ca="1" si="126"/>
        <v>3.6719950272243909E-2</v>
      </c>
      <c r="E179" s="24">
        <f t="shared" si="127"/>
        <v>1.2575325435699969E-2</v>
      </c>
      <c r="F179" s="25">
        <f t="shared" si="128"/>
        <v>10.910463027873826</v>
      </c>
      <c r="G179" s="7">
        <v>43123.808148148149</v>
      </c>
      <c r="H179" s="11">
        <v>2458142.3081479999</v>
      </c>
      <c r="I179" s="11">
        <v>-12.8194440481755</v>
      </c>
      <c r="J179" s="11">
        <v>-11.3920164583269</v>
      </c>
      <c r="K179" s="11">
        <v>-13.757684925356701</v>
      </c>
      <c r="L179" s="11">
        <v>-12.6284907755383</v>
      </c>
      <c r="M179" s="11">
        <v>-12.857105493994</v>
      </c>
      <c r="N179" s="11">
        <v>-12.4016367499139</v>
      </c>
      <c r="O179" s="11"/>
      <c r="P179" s="11"/>
      <c r="Q179" s="11"/>
      <c r="R179" s="11"/>
      <c r="S179" s="11"/>
      <c r="T179" s="12"/>
      <c r="U179" s="12">
        <f t="shared" si="102"/>
        <v>4</v>
      </c>
      <c r="V179" s="28">
        <f t="shared" ca="1" si="103"/>
        <v>5.84</v>
      </c>
      <c r="W179" s="28">
        <f t="shared" si="104"/>
        <v>1.2575325435699969E-2</v>
      </c>
      <c r="X179" s="12">
        <f t="shared" si="105"/>
        <v>9.4642408771812008</v>
      </c>
      <c r="Y179" s="12">
        <f t="shared" si="106"/>
        <v>9.4880467273628</v>
      </c>
      <c r="Z179" s="12">
        <f t="shared" si="107"/>
        <v>9.4906614458184997</v>
      </c>
      <c r="AA179" s="12">
        <f t="shared" si="108"/>
        <v>9.4891927017383999</v>
      </c>
      <c r="AB179" s="12" t="str">
        <f t="shared" si="109"/>
        <v/>
      </c>
      <c r="AC179" s="12" t="str">
        <f t="shared" si="110"/>
        <v/>
      </c>
      <c r="AD179" s="12" t="str">
        <f t="shared" si="111"/>
        <v/>
      </c>
      <c r="AE179" s="12" t="str">
        <f t="shared" si="112"/>
        <v/>
      </c>
      <c r="AF179" s="12" t="str">
        <f t="shared" si="113"/>
        <v/>
      </c>
      <c r="AG179" s="12"/>
      <c r="AH179" s="12">
        <f t="shared" si="114"/>
        <v>10.891668467029801</v>
      </c>
      <c r="AI179" s="12">
        <f t="shared" si="115"/>
        <v>10.9154743172114</v>
      </c>
      <c r="AJ179" s="12">
        <f t="shared" si="116"/>
        <v>10.9180890356671</v>
      </c>
      <c r="AK179" s="12">
        <f t="shared" si="117"/>
        <v>10.916620291587</v>
      </c>
      <c r="AL179" s="12" t="str">
        <f t="shared" si="118"/>
        <v/>
      </c>
      <c r="AM179" s="12" t="str">
        <f t="shared" si="119"/>
        <v/>
      </c>
      <c r="AN179" s="12" t="str">
        <f t="shared" si="120"/>
        <v/>
      </c>
      <c r="AO179" s="12" t="str">
        <f t="shared" si="121"/>
        <v/>
      </c>
      <c r="AP179" s="12" t="str">
        <f t="shared" si="122"/>
        <v/>
      </c>
    </row>
    <row r="180" spans="1:42">
      <c r="A180" s="9">
        <f t="shared" si="123"/>
        <v>43123.808576388888</v>
      </c>
      <c r="B180" s="22">
        <f t="shared" si="124"/>
        <v>2458142.3085763888</v>
      </c>
      <c r="C180" s="23">
        <f t="shared" si="125"/>
        <v>9.5101504334806499</v>
      </c>
      <c r="D180" s="24">
        <f t="shared" ca="1" si="126"/>
        <v>5.1902004543678971E-2</v>
      </c>
      <c r="E180" s="24">
        <f t="shared" si="127"/>
        <v>1.7774659090301018E-2</v>
      </c>
      <c r="F180" s="25">
        <f t="shared" si="128"/>
        <v>10.927500072544049</v>
      </c>
      <c r="G180" s="7">
        <v>43123.808576388888</v>
      </c>
      <c r="H180" s="11">
        <v>2458142.3085759999</v>
      </c>
      <c r="I180" s="11">
        <v>-12.7968748631589</v>
      </c>
      <c r="J180" s="11">
        <v>-11.3795252240955</v>
      </c>
      <c r="K180" s="11">
        <v>-13.755182420242001</v>
      </c>
      <c r="L180" s="11">
        <v>-12.6397041062952</v>
      </c>
      <c r="M180" s="11">
        <v>-12.8564567242154</v>
      </c>
      <c r="N180" s="11">
        <v>-12.4117579358056</v>
      </c>
      <c r="O180" s="11"/>
      <c r="P180" s="11"/>
      <c r="Q180" s="11"/>
      <c r="R180" s="11"/>
      <c r="S180" s="11"/>
      <c r="T180" s="12"/>
      <c r="U180" s="12">
        <f t="shared" si="102"/>
        <v>4</v>
      </c>
      <c r="V180" s="28">
        <f t="shared" ca="1" si="103"/>
        <v>5.84</v>
      </c>
      <c r="W180" s="28">
        <f t="shared" si="104"/>
        <v>1.7774659090301018E-2</v>
      </c>
      <c r="X180" s="12">
        <f t="shared" si="105"/>
        <v>9.4843075570831008</v>
      </c>
      <c r="Y180" s="12">
        <f t="shared" si="106"/>
        <v>9.5218292431363007</v>
      </c>
      <c r="Z180" s="12">
        <f t="shared" si="107"/>
        <v>9.5125818610564998</v>
      </c>
      <c r="AA180" s="12">
        <f t="shared" si="108"/>
        <v>9.5218830726467001</v>
      </c>
      <c r="AB180" s="12" t="str">
        <f t="shared" si="109"/>
        <v/>
      </c>
      <c r="AC180" s="12" t="str">
        <f t="shared" si="110"/>
        <v/>
      </c>
      <c r="AD180" s="12" t="str">
        <f t="shared" si="111"/>
        <v/>
      </c>
      <c r="AE180" s="12" t="str">
        <f t="shared" si="112"/>
        <v/>
      </c>
      <c r="AF180" s="12" t="str">
        <f t="shared" si="113"/>
        <v/>
      </c>
      <c r="AG180" s="12"/>
      <c r="AH180" s="12">
        <f t="shared" si="114"/>
        <v>10.9016571961465</v>
      </c>
      <c r="AI180" s="12">
        <f t="shared" si="115"/>
        <v>10.9391788821997</v>
      </c>
      <c r="AJ180" s="12">
        <f t="shared" si="116"/>
        <v>10.929931500119899</v>
      </c>
      <c r="AK180" s="12">
        <f t="shared" si="117"/>
        <v>10.939232711710099</v>
      </c>
      <c r="AL180" s="12" t="str">
        <f t="shared" si="118"/>
        <v/>
      </c>
      <c r="AM180" s="12" t="str">
        <f t="shared" si="119"/>
        <v/>
      </c>
      <c r="AN180" s="12" t="str">
        <f t="shared" si="120"/>
        <v/>
      </c>
      <c r="AO180" s="12" t="str">
        <f t="shared" si="121"/>
        <v/>
      </c>
      <c r="AP180" s="12" t="str">
        <f t="shared" si="122"/>
        <v/>
      </c>
    </row>
    <row r="181" spans="1:42">
      <c r="A181" s="9">
        <f t="shared" si="123"/>
        <v>43123.808993055558</v>
      </c>
      <c r="B181" s="22">
        <f t="shared" si="124"/>
        <v>2458142.3089930555</v>
      </c>
      <c r="C181" s="23">
        <f t="shared" si="125"/>
        <v>9.4975202465666495</v>
      </c>
      <c r="D181" s="24">
        <f t="shared" ca="1" si="126"/>
        <v>5.3967725784217338E-2</v>
      </c>
      <c r="E181" s="24">
        <f t="shared" si="127"/>
        <v>1.8482097871307307E-2</v>
      </c>
      <c r="F181" s="25">
        <f t="shared" si="128"/>
        <v>10.90400247325795</v>
      </c>
      <c r="G181" s="7">
        <v>43123.808993055558</v>
      </c>
      <c r="H181" s="11">
        <v>2458142.3089930001</v>
      </c>
      <c r="I181" s="11">
        <v>-12.8028739627867</v>
      </c>
      <c r="J181" s="11">
        <v>-11.396391736095399</v>
      </c>
      <c r="K181" s="11">
        <v>-13.748231031746901</v>
      </c>
      <c r="L181" s="11">
        <v>-12.6215228486393</v>
      </c>
      <c r="M181" s="11">
        <v>-12.861229042535699</v>
      </c>
      <c r="N181" s="11">
        <v>-12.405593914491501</v>
      </c>
      <c r="O181" s="11"/>
      <c r="P181" s="11"/>
      <c r="Q181" s="11"/>
      <c r="R181" s="11"/>
      <c r="S181" s="11"/>
      <c r="T181" s="12"/>
      <c r="U181" s="12">
        <f t="shared" si="102"/>
        <v>4</v>
      </c>
      <c r="V181" s="28">
        <f t="shared" ca="1" si="103"/>
        <v>5.84</v>
      </c>
      <c r="W181" s="28">
        <f t="shared" si="104"/>
        <v>1.8482097871307307E-2</v>
      </c>
      <c r="X181" s="12">
        <f t="shared" si="105"/>
        <v>9.4713570689602005</v>
      </c>
      <c r="Y181" s="12">
        <f t="shared" si="106"/>
        <v>9.4976488858526</v>
      </c>
      <c r="Z181" s="12">
        <f t="shared" si="107"/>
        <v>9.5113550797489985</v>
      </c>
      <c r="AA181" s="12">
        <f t="shared" si="108"/>
        <v>9.5097199517048008</v>
      </c>
      <c r="AB181" s="12" t="str">
        <f t="shared" si="109"/>
        <v/>
      </c>
      <c r="AC181" s="12" t="str">
        <f t="shared" si="110"/>
        <v/>
      </c>
      <c r="AD181" s="12" t="str">
        <f t="shared" si="111"/>
        <v/>
      </c>
      <c r="AE181" s="12" t="str">
        <f t="shared" si="112"/>
        <v/>
      </c>
      <c r="AF181" s="12" t="str">
        <f t="shared" si="113"/>
        <v/>
      </c>
      <c r="AG181" s="12"/>
      <c r="AH181" s="12">
        <f t="shared" si="114"/>
        <v>10.877839295651501</v>
      </c>
      <c r="AI181" s="12">
        <f t="shared" si="115"/>
        <v>10.904131112543901</v>
      </c>
      <c r="AJ181" s="12">
        <f t="shared" si="116"/>
        <v>10.917837306440299</v>
      </c>
      <c r="AK181" s="12">
        <f t="shared" si="117"/>
        <v>10.916202178396102</v>
      </c>
      <c r="AL181" s="12" t="str">
        <f t="shared" si="118"/>
        <v/>
      </c>
      <c r="AM181" s="12" t="str">
        <f t="shared" si="119"/>
        <v/>
      </c>
      <c r="AN181" s="12" t="str">
        <f t="shared" si="120"/>
        <v/>
      </c>
      <c r="AO181" s="12" t="str">
        <f t="shared" si="121"/>
        <v/>
      </c>
      <c r="AP181" s="12" t="str">
        <f t="shared" si="122"/>
        <v/>
      </c>
    </row>
    <row r="182" spans="1:42">
      <c r="A182" s="9">
        <f t="shared" si="123"/>
        <v>43123.80940972222</v>
      </c>
      <c r="B182" s="22">
        <f t="shared" si="124"/>
        <v>2458142.3094097222</v>
      </c>
      <c r="C182" s="23">
        <f t="shared" si="125"/>
        <v>9.4971620996730017</v>
      </c>
      <c r="D182" s="24">
        <f t="shared" ca="1" si="126"/>
        <v>4.7932619184769647E-2</v>
      </c>
      <c r="E182" s="24">
        <f t="shared" si="127"/>
        <v>1.6415280542729331E-2</v>
      </c>
      <c r="F182" s="25">
        <f t="shared" si="128"/>
        <v>10.951036464168299</v>
      </c>
      <c r="G182" s="7">
        <v>43123.80940972222</v>
      </c>
      <c r="H182" s="11">
        <v>2458142.3094100002</v>
      </c>
      <c r="I182" s="11">
        <v>-12.804895019976099</v>
      </c>
      <c r="J182" s="11">
        <v>-11.3510206554808</v>
      </c>
      <c r="K182" s="11">
        <v>-13.7516473291988</v>
      </c>
      <c r="L182" s="11">
        <v>-12.6342147256355</v>
      </c>
      <c r="M182" s="11">
        <v>-12.8560325456624</v>
      </c>
      <c r="N182" s="11">
        <v>-12.401333878099701</v>
      </c>
      <c r="O182" s="11"/>
      <c r="P182" s="11"/>
      <c r="Q182" s="11"/>
      <c r="R182" s="11"/>
      <c r="S182" s="11"/>
      <c r="T182" s="12"/>
      <c r="U182" s="12">
        <f t="shared" si="102"/>
        <v>4</v>
      </c>
      <c r="V182" s="28">
        <f t="shared" ca="1" si="103"/>
        <v>5.84</v>
      </c>
      <c r="W182" s="28">
        <f t="shared" si="104"/>
        <v>1.6415280542729331E-2</v>
      </c>
      <c r="X182" s="12">
        <f t="shared" si="105"/>
        <v>9.4727523092227006</v>
      </c>
      <c r="Y182" s="12">
        <f t="shared" si="106"/>
        <v>9.5083197056594013</v>
      </c>
      <c r="Z182" s="12">
        <f t="shared" si="107"/>
        <v>9.5041375256862999</v>
      </c>
      <c r="AA182" s="12">
        <f t="shared" si="108"/>
        <v>9.5034388581236016</v>
      </c>
      <c r="AB182" s="12" t="str">
        <f t="shared" si="109"/>
        <v/>
      </c>
      <c r="AC182" s="12" t="str">
        <f t="shared" si="110"/>
        <v/>
      </c>
      <c r="AD182" s="12" t="str">
        <f t="shared" si="111"/>
        <v/>
      </c>
      <c r="AE182" s="12" t="str">
        <f t="shared" si="112"/>
        <v/>
      </c>
      <c r="AF182" s="12" t="str">
        <f t="shared" si="113"/>
        <v/>
      </c>
      <c r="AG182" s="12"/>
      <c r="AH182" s="12">
        <f t="shared" si="114"/>
        <v>10.926626673717999</v>
      </c>
      <c r="AI182" s="12">
        <f t="shared" si="115"/>
        <v>10.9621940701547</v>
      </c>
      <c r="AJ182" s="12">
        <f t="shared" si="116"/>
        <v>10.958011890181599</v>
      </c>
      <c r="AK182" s="12">
        <f t="shared" si="117"/>
        <v>10.9573132226189</v>
      </c>
      <c r="AL182" s="12" t="str">
        <f t="shared" si="118"/>
        <v/>
      </c>
      <c r="AM182" s="12" t="str">
        <f t="shared" si="119"/>
        <v/>
      </c>
      <c r="AN182" s="12" t="str">
        <f t="shared" si="120"/>
        <v/>
      </c>
      <c r="AO182" s="12" t="str">
        <f t="shared" si="121"/>
        <v/>
      </c>
      <c r="AP182" s="12" t="str">
        <f t="shared" si="122"/>
        <v/>
      </c>
    </row>
    <row r="183" spans="1:42">
      <c r="A183" s="9">
        <f t="shared" si="123"/>
        <v>43123.809837962966</v>
      </c>
      <c r="B183" s="22">
        <f t="shared" si="124"/>
        <v>2458142.309837963</v>
      </c>
      <c r="C183" s="23">
        <f t="shared" si="125"/>
        <v>9.4956386882696258</v>
      </c>
      <c r="D183" s="24">
        <f t="shared" ca="1" si="126"/>
        <v>4.4590866702439814E-2</v>
      </c>
      <c r="E183" s="24">
        <f t="shared" si="127"/>
        <v>1.5270844761109525E-2</v>
      </c>
      <c r="F183" s="25">
        <f t="shared" si="128"/>
        <v>10.893069543779525</v>
      </c>
      <c r="G183" s="7">
        <v>43123.809837962966</v>
      </c>
      <c r="H183" s="11">
        <v>2458142.3098380002</v>
      </c>
      <c r="I183" s="11">
        <v>-12.8136148919526</v>
      </c>
      <c r="J183" s="11">
        <v>-11.416184036442701</v>
      </c>
      <c r="K183" s="11">
        <v>-13.760426626495301</v>
      </c>
      <c r="L183" s="11">
        <v>-12.639424005368801</v>
      </c>
      <c r="M183" s="11">
        <v>-12.862313990717499</v>
      </c>
      <c r="N183" s="11">
        <v>-12.409849698307299</v>
      </c>
      <c r="O183" s="11"/>
      <c r="P183" s="11"/>
      <c r="Q183" s="11"/>
      <c r="R183" s="11"/>
      <c r="S183" s="11"/>
      <c r="T183" s="12"/>
      <c r="U183" s="12">
        <f t="shared" si="102"/>
        <v>4</v>
      </c>
      <c r="V183" s="28">
        <f t="shared" ca="1" si="103"/>
        <v>5.84</v>
      </c>
      <c r="W183" s="28">
        <f t="shared" si="104"/>
        <v>1.5270844761109525E-2</v>
      </c>
      <c r="X183" s="12">
        <f t="shared" si="105"/>
        <v>9.4728117345427005</v>
      </c>
      <c r="Y183" s="12">
        <f t="shared" si="106"/>
        <v>9.5048091134162007</v>
      </c>
      <c r="Z183" s="12">
        <f t="shared" si="107"/>
        <v>9.5016990987648988</v>
      </c>
      <c r="AA183" s="12">
        <f t="shared" si="108"/>
        <v>9.5032348063546994</v>
      </c>
      <c r="AB183" s="12" t="str">
        <f t="shared" si="109"/>
        <v/>
      </c>
      <c r="AC183" s="12" t="str">
        <f t="shared" si="110"/>
        <v/>
      </c>
      <c r="AD183" s="12" t="str">
        <f t="shared" si="111"/>
        <v/>
      </c>
      <c r="AE183" s="12" t="str">
        <f t="shared" si="112"/>
        <v/>
      </c>
      <c r="AF183" s="12" t="str">
        <f t="shared" si="113"/>
        <v/>
      </c>
      <c r="AG183" s="12"/>
      <c r="AH183" s="12">
        <f t="shared" si="114"/>
        <v>10.8702425900526</v>
      </c>
      <c r="AI183" s="12">
        <f t="shared" si="115"/>
        <v>10.9022399689261</v>
      </c>
      <c r="AJ183" s="12">
        <f t="shared" si="116"/>
        <v>10.899129954274798</v>
      </c>
      <c r="AK183" s="12">
        <f t="shared" si="117"/>
        <v>10.900665661864599</v>
      </c>
      <c r="AL183" s="12" t="str">
        <f t="shared" si="118"/>
        <v/>
      </c>
      <c r="AM183" s="12" t="str">
        <f t="shared" si="119"/>
        <v/>
      </c>
      <c r="AN183" s="12" t="str">
        <f t="shared" si="120"/>
        <v/>
      </c>
      <c r="AO183" s="12" t="str">
        <f t="shared" si="121"/>
        <v/>
      </c>
      <c r="AP183" s="12" t="str">
        <f t="shared" si="122"/>
        <v/>
      </c>
    </row>
    <row r="184" spans="1:42">
      <c r="A184" s="9">
        <f t="shared" si="123"/>
        <v>43123.810254629629</v>
      </c>
      <c r="B184" s="22">
        <f t="shared" si="124"/>
        <v>2458142.3102546297</v>
      </c>
      <c r="C184" s="23">
        <f t="shared" si="125"/>
        <v>9.4896109415185244</v>
      </c>
      <c r="D184" s="24">
        <f t="shared" ca="1" si="126"/>
        <v>5.0290899310754186E-2</v>
      </c>
      <c r="E184" s="24">
        <f t="shared" si="127"/>
        <v>1.7222910722861022E-2</v>
      </c>
      <c r="F184" s="25">
        <f t="shared" si="128"/>
        <v>10.924362885614826</v>
      </c>
      <c r="G184" s="7">
        <v>43123.810254629629</v>
      </c>
      <c r="H184" s="11">
        <v>2458142.3102549999</v>
      </c>
      <c r="I184" s="11">
        <v>-12.8134578924971</v>
      </c>
      <c r="J184" s="11">
        <v>-11.3787059484008</v>
      </c>
      <c r="K184" s="11">
        <v>-13.7530296256196</v>
      </c>
      <c r="L184" s="11">
        <v>-12.6231625196789</v>
      </c>
      <c r="M184" s="11">
        <v>-12.862685579953</v>
      </c>
      <c r="N184" s="11">
        <v>-12.408397610811001</v>
      </c>
      <c r="O184" s="11"/>
      <c r="P184" s="11"/>
      <c r="Q184" s="11"/>
      <c r="R184" s="11"/>
      <c r="S184" s="11"/>
      <c r="T184" s="12"/>
      <c r="U184" s="12">
        <f t="shared" si="102"/>
        <v>4</v>
      </c>
      <c r="V184" s="28">
        <f t="shared" ca="1" si="103"/>
        <v>5.84</v>
      </c>
      <c r="W184" s="28">
        <f t="shared" si="104"/>
        <v>1.7222910722861022E-2</v>
      </c>
      <c r="X184" s="12">
        <f t="shared" si="105"/>
        <v>9.4655717331225002</v>
      </c>
      <c r="Y184" s="12">
        <f t="shared" si="106"/>
        <v>9.4887046271818001</v>
      </c>
      <c r="Z184" s="12">
        <f t="shared" si="107"/>
        <v>9.5022276874558997</v>
      </c>
      <c r="AA184" s="12">
        <f t="shared" si="108"/>
        <v>9.5019397183139009</v>
      </c>
      <c r="AB184" s="12" t="str">
        <f t="shared" si="109"/>
        <v/>
      </c>
      <c r="AC184" s="12" t="str">
        <f t="shared" si="110"/>
        <v/>
      </c>
      <c r="AD184" s="12" t="str">
        <f t="shared" si="111"/>
        <v/>
      </c>
      <c r="AE184" s="12" t="str">
        <f t="shared" si="112"/>
        <v/>
      </c>
      <c r="AF184" s="12" t="str">
        <f t="shared" si="113"/>
        <v/>
      </c>
      <c r="AG184" s="12"/>
      <c r="AH184" s="12">
        <f t="shared" si="114"/>
        <v>10.9003236772188</v>
      </c>
      <c r="AI184" s="12">
        <f t="shared" si="115"/>
        <v>10.9234565712781</v>
      </c>
      <c r="AJ184" s="12">
        <f t="shared" si="116"/>
        <v>10.9369796315522</v>
      </c>
      <c r="AK184" s="12">
        <f t="shared" si="117"/>
        <v>10.936691662410201</v>
      </c>
      <c r="AL184" s="12" t="str">
        <f t="shared" si="118"/>
        <v/>
      </c>
      <c r="AM184" s="12" t="str">
        <f t="shared" si="119"/>
        <v/>
      </c>
      <c r="AN184" s="12" t="str">
        <f t="shared" si="120"/>
        <v/>
      </c>
      <c r="AO184" s="12" t="str">
        <f t="shared" si="121"/>
        <v/>
      </c>
      <c r="AP184" s="12" t="str">
        <f t="shared" si="122"/>
        <v/>
      </c>
    </row>
    <row r="185" spans="1:42">
      <c r="A185" s="9">
        <f t="shared" si="123"/>
        <v>43123.810671296298</v>
      </c>
      <c r="B185" s="22">
        <f t="shared" si="124"/>
        <v>2458142.3106712964</v>
      </c>
      <c r="C185" s="23">
        <f t="shared" si="125"/>
        <v>9.5004605309371488</v>
      </c>
      <c r="D185" s="24">
        <f t="shared" ca="1" si="126"/>
        <v>3.8107387810891749E-2</v>
      </c>
      <c r="E185" s="24">
        <f t="shared" si="127"/>
        <v>1.3050475277702655E-2</v>
      </c>
      <c r="F185" s="25">
        <f t="shared" si="128"/>
        <v>10.926482748320549</v>
      </c>
      <c r="G185" s="7">
        <v>43123.810671296298</v>
      </c>
      <c r="H185" s="11">
        <v>2458142.3106709998</v>
      </c>
      <c r="I185" s="11">
        <v>-12.798464432796401</v>
      </c>
      <c r="J185" s="11">
        <v>-11.372442215413001</v>
      </c>
      <c r="K185" s="11">
        <v>-13.7533948501629</v>
      </c>
      <c r="L185" s="11">
        <v>-12.626162739488</v>
      </c>
      <c r="M185" s="11">
        <v>-12.853635653699801</v>
      </c>
      <c r="N185" s="11">
        <v>-12.3975066115835</v>
      </c>
      <c r="O185" s="11"/>
      <c r="P185" s="11"/>
      <c r="Q185" s="11"/>
      <c r="R185" s="11"/>
      <c r="S185" s="11"/>
      <c r="T185" s="12"/>
      <c r="U185" s="12">
        <f t="shared" si="102"/>
        <v>4</v>
      </c>
      <c r="V185" s="28">
        <f t="shared" ca="1" si="103"/>
        <v>5.84</v>
      </c>
      <c r="W185" s="28">
        <f t="shared" si="104"/>
        <v>1.3050475277702655E-2</v>
      </c>
      <c r="X185" s="12">
        <f t="shared" si="105"/>
        <v>9.4809304173664994</v>
      </c>
      <c r="Y185" s="12">
        <f t="shared" si="106"/>
        <v>9.5066983066916002</v>
      </c>
      <c r="Z185" s="12">
        <f t="shared" si="107"/>
        <v>9.5081712209033995</v>
      </c>
      <c r="AA185" s="12">
        <f t="shared" si="108"/>
        <v>9.5060421787870997</v>
      </c>
      <c r="AB185" s="12" t="str">
        <f t="shared" si="109"/>
        <v/>
      </c>
      <c r="AC185" s="12" t="str">
        <f t="shared" si="110"/>
        <v/>
      </c>
      <c r="AD185" s="12" t="str">
        <f t="shared" si="111"/>
        <v/>
      </c>
      <c r="AE185" s="12" t="str">
        <f t="shared" si="112"/>
        <v/>
      </c>
      <c r="AF185" s="12" t="str">
        <f t="shared" si="113"/>
        <v/>
      </c>
      <c r="AG185" s="12"/>
      <c r="AH185" s="12">
        <f t="shared" si="114"/>
        <v>10.906952634749899</v>
      </c>
      <c r="AI185" s="12">
        <f t="shared" si="115"/>
        <v>10.932720524075</v>
      </c>
      <c r="AJ185" s="12">
        <f t="shared" si="116"/>
        <v>10.934193438286799</v>
      </c>
      <c r="AK185" s="12">
        <f t="shared" si="117"/>
        <v>10.9320643961705</v>
      </c>
      <c r="AL185" s="12" t="str">
        <f t="shared" si="118"/>
        <v/>
      </c>
      <c r="AM185" s="12" t="str">
        <f t="shared" si="119"/>
        <v/>
      </c>
      <c r="AN185" s="12" t="str">
        <f t="shared" si="120"/>
        <v/>
      </c>
      <c r="AO185" s="12" t="str">
        <f t="shared" si="121"/>
        <v/>
      </c>
      <c r="AP185" s="12" t="str">
        <f t="shared" si="122"/>
        <v/>
      </c>
    </row>
    <row r="186" spans="1:42">
      <c r="A186" s="9">
        <f t="shared" si="123"/>
        <v>43123.811099537037</v>
      </c>
      <c r="B186" s="22">
        <f t="shared" si="124"/>
        <v>2458142.3110995372</v>
      </c>
      <c r="C186" s="23">
        <f t="shared" si="125"/>
        <v>9.5058759400273249</v>
      </c>
      <c r="D186" s="24">
        <f t="shared" ca="1" si="126"/>
        <v>3.9611606809699974E-2</v>
      </c>
      <c r="E186" s="24">
        <f t="shared" si="127"/>
        <v>1.3565618770445197E-2</v>
      </c>
      <c r="F186" s="25">
        <f t="shared" si="128"/>
        <v>10.905072359445825</v>
      </c>
      <c r="G186" s="7">
        <v>43123.811099537037</v>
      </c>
      <c r="H186" s="11">
        <v>2458142.3111</v>
      </c>
      <c r="I186" s="11">
        <v>-12.7997792251872</v>
      </c>
      <c r="J186" s="11">
        <v>-11.4005828057687</v>
      </c>
      <c r="K186" s="11">
        <v>-13.7653371257885</v>
      </c>
      <c r="L186" s="11">
        <v>-12.6178126718595</v>
      </c>
      <c r="M186" s="11">
        <v>-12.8636536426462</v>
      </c>
      <c r="N186" s="11">
        <v>-12.410817220563899</v>
      </c>
      <c r="O186" s="11"/>
      <c r="P186" s="11"/>
      <c r="Q186" s="11"/>
      <c r="R186" s="11"/>
      <c r="S186" s="11"/>
      <c r="T186" s="12"/>
      <c r="U186" s="12">
        <f t="shared" si="102"/>
        <v>4</v>
      </c>
      <c r="V186" s="28">
        <f t="shared" ca="1" si="103"/>
        <v>5.84</v>
      </c>
      <c r="W186" s="28">
        <f t="shared" si="104"/>
        <v>1.3565618770445197E-2</v>
      </c>
      <c r="X186" s="12">
        <f t="shared" si="105"/>
        <v>9.4915579006013004</v>
      </c>
      <c r="Y186" s="12">
        <f t="shared" si="106"/>
        <v>9.497033446672301</v>
      </c>
      <c r="Z186" s="12">
        <f t="shared" si="107"/>
        <v>9.5168744174590003</v>
      </c>
      <c r="AA186" s="12">
        <f t="shared" si="108"/>
        <v>9.5180379953766998</v>
      </c>
      <c r="AB186" s="12" t="str">
        <f t="shared" si="109"/>
        <v/>
      </c>
      <c r="AC186" s="12" t="str">
        <f t="shared" si="110"/>
        <v/>
      </c>
      <c r="AD186" s="12" t="str">
        <f t="shared" si="111"/>
        <v/>
      </c>
      <c r="AE186" s="12" t="str">
        <f t="shared" si="112"/>
        <v/>
      </c>
      <c r="AF186" s="12" t="str">
        <f t="shared" si="113"/>
        <v/>
      </c>
      <c r="AG186" s="12"/>
      <c r="AH186" s="12">
        <f t="shared" si="114"/>
        <v>10.8907543200198</v>
      </c>
      <c r="AI186" s="12">
        <f t="shared" si="115"/>
        <v>10.896229866090801</v>
      </c>
      <c r="AJ186" s="12">
        <f t="shared" si="116"/>
        <v>10.9160708368775</v>
      </c>
      <c r="AK186" s="12">
        <f t="shared" si="117"/>
        <v>10.9172344147952</v>
      </c>
      <c r="AL186" s="12" t="str">
        <f t="shared" si="118"/>
        <v/>
      </c>
      <c r="AM186" s="12" t="str">
        <f t="shared" si="119"/>
        <v/>
      </c>
      <c r="AN186" s="12" t="str">
        <f t="shared" si="120"/>
        <v/>
      </c>
      <c r="AO186" s="12" t="str">
        <f t="shared" si="121"/>
        <v/>
      </c>
      <c r="AP186" s="12" t="str">
        <f t="shared" si="122"/>
        <v/>
      </c>
    </row>
    <row r="187" spans="1:42">
      <c r="A187" s="9">
        <f t="shared" si="123"/>
        <v>43123.811516203707</v>
      </c>
      <c r="B187" s="22">
        <f t="shared" si="124"/>
        <v>2458142.3115162039</v>
      </c>
      <c r="C187" s="23">
        <f t="shared" si="125"/>
        <v>9.5040236091199741</v>
      </c>
      <c r="D187" s="24">
        <f t="shared" ca="1" si="126"/>
        <v>5.8688138111031719E-2</v>
      </c>
      <c r="E187" s="24">
        <f t="shared" si="127"/>
        <v>2.0098677435284835E-2</v>
      </c>
      <c r="F187" s="25">
        <f t="shared" si="128"/>
        <v>10.931844153593875</v>
      </c>
      <c r="G187" s="7">
        <v>43123.811516203707</v>
      </c>
      <c r="H187" s="11">
        <v>2458142.311516</v>
      </c>
      <c r="I187" s="11">
        <v>-12.804565968375901</v>
      </c>
      <c r="J187" s="11">
        <v>-11.376745423901999</v>
      </c>
      <c r="K187" s="11">
        <v>-13.7578915148558</v>
      </c>
      <c r="L187" s="11">
        <v>-12.623880924438099</v>
      </c>
      <c r="M187" s="11">
        <v>-12.8634784529205</v>
      </c>
      <c r="N187" s="11">
        <v>-12.4241074177691</v>
      </c>
      <c r="O187" s="11"/>
      <c r="P187" s="11"/>
      <c r="Q187" s="11"/>
      <c r="R187" s="11"/>
      <c r="S187" s="11"/>
      <c r="T187" s="12"/>
      <c r="U187" s="12">
        <f t="shared" si="102"/>
        <v>4</v>
      </c>
      <c r="V187" s="28">
        <f t="shared" ca="1" si="103"/>
        <v>5.84</v>
      </c>
      <c r="W187" s="28">
        <f t="shared" si="104"/>
        <v>2.0098677435284835E-2</v>
      </c>
      <c r="X187" s="12">
        <f t="shared" si="105"/>
        <v>9.4793255464798989</v>
      </c>
      <c r="Y187" s="12">
        <f t="shared" si="106"/>
        <v>9.4983149560621989</v>
      </c>
      <c r="Z187" s="12">
        <f t="shared" si="107"/>
        <v>9.5119124845445988</v>
      </c>
      <c r="AA187" s="12">
        <f t="shared" si="108"/>
        <v>9.5265414493931999</v>
      </c>
      <c r="AB187" s="12" t="str">
        <f t="shared" si="109"/>
        <v/>
      </c>
      <c r="AC187" s="12" t="str">
        <f t="shared" si="110"/>
        <v/>
      </c>
      <c r="AD187" s="12" t="str">
        <f t="shared" si="111"/>
        <v/>
      </c>
      <c r="AE187" s="12" t="str">
        <f t="shared" si="112"/>
        <v/>
      </c>
      <c r="AF187" s="12" t="str">
        <f t="shared" si="113"/>
        <v/>
      </c>
      <c r="AG187" s="12"/>
      <c r="AH187" s="12">
        <f t="shared" si="114"/>
        <v>10.9071460909538</v>
      </c>
      <c r="AI187" s="12">
        <f t="shared" si="115"/>
        <v>10.9261355005361</v>
      </c>
      <c r="AJ187" s="12">
        <f t="shared" si="116"/>
        <v>10.9397330290185</v>
      </c>
      <c r="AK187" s="12">
        <f t="shared" si="117"/>
        <v>10.954361993867101</v>
      </c>
      <c r="AL187" s="12" t="str">
        <f t="shared" si="118"/>
        <v/>
      </c>
      <c r="AM187" s="12" t="str">
        <f t="shared" si="119"/>
        <v/>
      </c>
      <c r="AN187" s="12" t="str">
        <f t="shared" si="120"/>
        <v/>
      </c>
      <c r="AO187" s="12" t="str">
        <f t="shared" si="121"/>
        <v/>
      </c>
      <c r="AP187" s="12" t="str">
        <f t="shared" si="122"/>
        <v/>
      </c>
    </row>
    <row r="188" spans="1:42">
      <c r="A188" s="9">
        <f t="shared" si="123"/>
        <v>43123.811932870369</v>
      </c>
      <c r="B188" s="22">
        <f t="shared" si="124"/>
        <v>2458142.3119328702</v>
      </c>
      <c r="C188" s="23">
        <f t="shared" si="125"/>
        <v>9.5014522306004761</v>
      </c>
      <c r="D188" s="24">
        <f t="shared" ca="1" si="126"/>
        <v>5.8689592844355681E-2</v>
      </c>
      <c r="E188" s="24">
        <f t="shared" si="127"/>
        <v>2.0099175631628659E-2</v>
      </c>
      <c r="F188" s="25">
        <f t="shared" si="128"/>
        <v>10.895741632996176</v>
      </c>
      <c r="G188" s="7">
        <v>43123.811932870369</v>
      </c>
      <c r="H188" s="11">
        <v>2458142.3119330001</v>
      </c>
      <c r="I188" s="11">
        <v>-12.806239493136999</v>
      </c>
      <c r="J188" s="11">
        <v>-11.4119500907413</v>
      </c>
      <c r="K188" s="11">
        <v>-13.7580602487268</v>
      </c>
      <c r="L188" s="11">
        <v>-12.6297459685016</v>
      </c>
      <c r="M188" s="11">
        <v>-12.8518823447267</v>
      </c>
      <c r="N188" s="11">
        <v>-12.4260783329948</v>
      </c>
      <c r="O188" s="11"/>
      <c r="P188" s="11"/>
      <c r="Q188" s="11"/>
      <c r="R188" s="11"/>
      <c r="S188" s="11"/>
      <c r="T188" s="12"/>
      <c r="U188" s="12">
        <f t="shared" si="102"/>
        <v>4</v>
      </c>
      <c r="V188" s="28">
        <f t="shared" ca="1" si="103"/>
        <v>5.84</v>
      </c>
      <c r="W188" s="28">
        <f t="shared" si="104"/>
        <v>2.0099175631628659E-2</v>
      </c>
      <c r="X188" s="12">
        <f t="shared" si="105"/>
        <v>9.4778207555898</v>
      </c>
      <c r="Y188" s="12">
        <f t="shared" si="106"/>
        <v>9.5025064753646014</v>
      </c>
      <c r="Z188" s="12">
        <f t="shared" si="107"/>
        <v>9.4986428515897003</v>
      </c>
      <c r="AA188" s="12">
        <f t="shared" si="108"/>
        <v>9.5268388398578008</v>
      </c>
      <c r="AB188" s="12" t="str">
        <f t="shared" si="109"/>
        <v/>
      </c>
      <c r="AC188" s="12" t="str">
        <f t="shared" si="110"/>
        <v/>
      </c>
      <c r="AD188" s="12" t="str">
        <f t="shared" si="111"/>
        <v/>
      </c>
      <c r="AE188" s="12" t="str">
        <f t="shared" si="112"/>
        <v/>
      </c>
      <c r="AF188" s="12" t="str">
        <f t="shared" si="113"/>
        <v/>
      </c>
      <c r="AG188" s="12"/>
      <c r="AH188" s="12">
        <f t="shared" si="114"/>
        <v>10.8721101579855</v>
      </c>
      <c r="AI188" s="12">
        <f t="shared" si="115"/>
        <v>10.896795877760301</v>
      </c>
      <c r="AJ188" s="12">
        <f t="shared" si="116"/>
        <v>10.8929322539854</v>
      </c>
      <c r="AK188" s="12">
        <f t="shared" si="117"/>
        <v>10.9211282422535</v>
      </c>
      <c r="AL188" s="12" t="str">
        <f t="shared" si="118"/>
        <v/>
      </c>
      <c r="AM188" s="12" t="str">
        <f t="shared" si="119"/>
        <v/>
      </c>
      <c r="AN188" s="12" t="str">
        <f t="shared" si="120"/>
        <v/>
      </c>
      <c r="AO188" s="12" t="str">
        <f t="shared" si="121"/>
        <v/>
      </c>
      <c r="AP188" s="12" t="str">
        <f t="shared" si="122"/>
        <v/>
      </c>
    </row>
    <row r="189" spans="1:42">
      <c r="A189" s="9">
        <f t="shared" si="123"/>
        <v>43123.812361111108</v>
      </c>
      <c r="B189" s="22">
        <f t="shared" si="124"/>
        <v>2458142.3123611109</v>
      </c>
      <c r="C189" s="23">
        <f t="shared" si="125"/>
        <v>9.5143057819920749</v>
      </c>
      <c r="D189" s="24">
        <f t="shared" ca="1" si="126"/>
        <v>5.0913953328861783E-2</v>
      </c>
      <c r="E189" s="24">
        <f t="shared" si="127"/>
        <v>1.7436285386596501E-2</v>
      </c>
      <c r="F189" s="25">
        <f t="shared" si="128"/>
        <v>10.900265350615875</v>
      </c>
      <c r="G189" s="7">
        <v>43123.812361111108</v>
      </c>
      <c r="H189" s="11">
        <v>2458142.3123610001</v>
      </c>
      <c r="I189" s="11">
        <v>-12.792557858034</v>
      </c>
      <c r="J189" s="11">
        <v>-11.4065982894102</v>
      </c>
      <c r="K189" s="11">
        <v>-13.7548815924547</v>
      </c>
      <c r="L189" s="11">
        <v>-12.637604084991001</v>
      </c>
      <c r="M189" s="11">
        <v>-12.864246547927101</v>
      </c>
      <c r="N189" s="11">
        <v>-12.4057223347315</v>
      </c>
      <c r="O189" s="11"/>
      <c r="P189" s="11"/>
      <c r="Q189" s="11"/>
      <c r="R189" s="11"/>
      <c r="S189" s="11"/>
      <c r="T189" s="12"/>
      <c r="U189" s="12">
        <f t="shared" si="102"/>
        <v>4</v>
      </c>
      <c r="V189" s="28">
        <f t="shared" ca="1" si="103"/>
        <v>5.84</v>
      </c>
      <c r="W189" s="28">
        <f t="shared" si="104"/>
        <v>1.7436285386596501E-2</v>
      </c>
      <c r="X189" s="12">
        <f t="shared" si="105"/>
        <v>9.4883237344206997</v>
      </c>
      <c r="Y189" s="12">
        <f t="shared" si="106"/>
        <v>9.524046226957001</v>
      </c>
      <c r="Z189" s="12">
        <f t="shared" si="107"/>
        <v>9.5246886898931002</v>
      </c>
      <c r="AA189" s="12">
        <f t="shared" si="108"/>
        <v>9.5201644766975004</v>
      </c>
      <c r="AB189" s="12" t="str">
        <f t="shared" si="109"/>
        <v/>
      </c>
      <c r="AC189" s="12" t="str">
        <f t="shared" si="110"/>
        <v/>
      </c>
      <c r="AD189" s="12" t="str">
        <f t="shared" si="111"/>
        <v/>
      </c>
      <c r="AE189" s="12" t="str">
        <f t="shared" si="112"/>
        <v/>
      </c>
      <c r="AF189" s="12" t="str">
        <f t="shared" si="113"/>
        <v/>
      </c>
      <c r="AG189" s="12"/>
      <c r="AH189" s="12">
        <f t="shared" si="114"/>
        <v>10.8742833030445</v>
      </c>
      <c r="AI189" s="12">
        <f t="shared" si="115"/>
        <v>10.910005795580801</v>
      </c>
      <c r="AJ189" s="12">
        <f t="shared" si="116"/>
        <v>10.9106482585169</v>
      </c>
      <c r="AK189" s="12">
        <f t="shared" si="117"/>
        <v>10.906124045321301</v>
      </c>
      <c r="AL189" s="12" t="str">
        <f t="shared" si="118"/>
        <v/>
      </c>
      <c r="AM189" s="12" t="str">
        <f t="shared" si="119"/>
        <v/>
      </c>
      <c r="AN189" s="12" t="str">
        <f t="shared" si="120"/>
        <v/>
      </c>
      <c r="AO189" s="12" t="str">
        <f t="shared" si="121"/>
        <v/>
      </c>
      <c r="AP189" s="12" t="str">
        <f t="shared" si="122"/>
        <v/>
      </c>
    </row>
    <row r="190" spans="1:42">
      <c r="A190" s="9">
        <f t="shared" si="123"/>
        <v>43123.812777777777</v>
      </c>
      <c r="B190" s="22">
        <f t="shared" si="124"/>
        <v>2458142.3127777777</v>
      </c>
      <c r="C190" s="23">
        <f t="shared" si="125"/>
        <v>9.5125030871386755</v>
      </c>
      <c r="D190" s="24">
        <f t="shared" ca="1" si="126"/>
        <v>4.5461041496112693E-2</v>
      </c>
      <c r="E190" s="24">
        <f t="shared" si="127"/>
        <v>1.5568849827435855E-2</v>
      </c>
      <c r="F190" s="25">
        <f t="shared" si="128"/>
        <v>10.890855916673774</v>
      </c>
      <c r="G190" s="7">
        <v>43123.812777777777</v>
      </c>
      <c r="H190" s="11">
        <v>2458142.3127779998</v>
      </c>
      <c r="I190" s="11">
        <v>-12.790860081448701</v>
      </c>
      <c r="J190" s="11">
        <v>-11.412507251913601</v>
      </c>
      <c r="K190" s="11">
        <v>-13.7553093056611</v>
      </c>
      <c r="L190" s="11">
        <v>-12.628426432415999</v>
      </c>
      <c r="M190" s="11">
        <v>-12.853770380628401</v>
      </c>
      <c r="N190" s="11">
        <v>-12.410946555643999</v>
      </c>
      <c r="O190" s="11"/>
      <c r="P190" s="11"/>
      <c r="Q190" s="11"/>
      <c r="R190" s="11"/>
      <c r="S190" s="11"/>
      <c r="T190" s="12"/>
      <c r="U190" s="12">
        <f t="shared" si="102"/>
        <v>4</v>
      </c>
      <c r="V190" s="28">
        <f t="shared" ca="1" si="103"/>
        <v>5.84</v>
      </c>
      <c r="W190" s="28">
        <f t="shared" si="104"/>
        <v>1.5568849827435855E-2</v>
      </c>
      <c r="X190" s="12">
        <f t="shared" si="105"/>
        <v>9.4904492242123997</v>
      </c>
      <c r="Y190" s="12">
        <f t="shared" si="106"/>
        <v>9.5165663509672989</v>
      </c>
      <c r="Z190" s="12">
        <f t="shared" si="107"/>
        <v>9.5159102991796995</v>
      </c>
      <c r="AA190" s="12">
        <f t="shared" si="108"/>
        <v>9.5270864741952987</v>
      </c>
      <c r="AB190" s="12" t="str">
        <f t="shared" si="109"/>
        <v/>
      </c>
      <c r="AC190" s="12" t="str">
        <f t="shared" si="110"/>
        <v/>
      </c>
      <c r="AD190" s="12" t="str">
        <f t="shared" si="111"/>
        <v/>
      </c>
      <c r="AE190" s="12" t="str">
        <f t="shared" si="112"/>
        <v/>
      </c>
      <c r="AF190" s="12" t="str">
        <f t="shared" si="113"/>
        <v/>
      </c>
      <c r="AG190" s="12"/>
      <c r="AH190" s="12">
        <f t="shared" si="114"/>
        <v>10.868802053747499</v>
      </c>
      <c r="AI190" s="12">
        <f t="shared" si="115"/>
        <v>10.894919180502399</v>
      </c>
      <c r="AJ190" s="12">
        <f t="shared" si="116"/>
        <v>10.894263128714799</v>
      </c>
      <c r="AK190" s="12">
        <f t="shared" si="117"/>
        <v>10.905439303730398</v>
      </c>
      <c r="AL190" s="12" t="str">
        <f t="shared" si="118"/>
        <v/>
      </c>
      <c r="AM190" s="12" t="str">
        <f t="shared" si="119"/>
        <v/>
      </c>
      <c r="AN190" s="12" t="str">
        <f t="shared" si="120"/>
        <v/>
      </c>
      <c r="AO190" s="12" t="str">
        <f t="shared" si="121"/>
        <v/>
      </c>
      <c r="AP190" s="12" t="str">
        <f t="shared" si="122"/>
        <v/>
      </c>
    </row>
    <row r="191" spans="1:42">
      <c r="A191" s="9">
        <f t="shared" si="123"/>
        <v>43123.813206018516</v>
      </c>
      <c r="B191" s="22">
        <f t="shared" si="124"/>
        <v>2458142.3132060184</v>
      </c>
      <c r="C191" s="23">
        <f t="shared" si="125"/>
        <v>9.5189830590452758</v>
      </c>
      <c r="D191" s="24">
        <f t="shared" ca="1" si="126"/>
        <v>4.56052260050799E-2</v>
      </c>
      <c r="E191" s="24">
        <f t="shared" si="127"/>
        <v>1.5618228083931473E-2</v>
      </c>
      <c r="F191" s="25">
        <f t="shared" si="128"/>
        <v>10.892648027218675</v>
      </c>
      <c r="G191" s="7">
        <v>43123.813206018516</v>
      </c>
      <c r="H191" s="11">
        <v>2458142.3132059998</v>
      </c>
      <c r="I191" s="11">
        <v>-12.7900942603248</v>
      </c>
      <c r="J191" s="11">
        <v>-11.416429292151401</v>
      </c>
      <c r="K191" s="11">
        <v>-13.7615404214036</v>
      </c>
      <c r="L191" s="11">
        <v>-12.6287636889162</v>
      </c>
      <c r="M191" s="11">
        <v>-12.869107298806201</v>
      </c>
      <c r="N191" s="11">
        <v>-12.4118978683543</v>
      </c>
      <c r="O191" s="11"/>
      <c r="P191" s="11"/>
      <c r="Q191" s="11"/>
      <c r="R191" s="11"/>
      <c r="S191" s="11"/>
      <c r="T191" s="12"/>
      <c r="U191" s="12">
        <f t="shared" ref="U191:U254" si="129">MIN(COUNTA(K$25:S$25),COUNTA(K191:S191))</f>
        <v>4</v>
      </c>
      <c r="V191" s="28">
        <f t="shared" ref="V191:V254" ca="1" si="130">IF(U191&gt;1,INDIRECT(ADDRESS(U191+1,3,1,1,"Student")),"")</f>
        <v>5.84</v>
      </c>
      <c r="W191" s="28">
        <f t="shared" ref="W191:W254" si="131">IF(U191&gt;0,STDEV(X191:AF191),"")</f>
        <v>1.5618228083931473E-2</v>
      </c>
      <c r="X191" s="12">
        <f t="shared" ref="X191:X254" si="132">IF(OR(ISBLANK(K$25),ISBLANK(K191),ISBLANK($I191)),"",$I191-K191+K$25)</f>
        <v>9.4974461610788001</v>
      </c>
      <c r="Y191" s="12">
        <f t="shared" ref="Y191:Y254" si="133">IF(OR(ISBLANK(L$25),ISBLANK(L191),ISBLANK($I191)),"",$I191-L191+L$25)</f>
        <v>9.5176694285914003</v>
      </c>
      <c r="Z191" s="12">
        <f t="shared" ref="Z191:Z254" si="134">IF(OR(ISBLANK(M$25),ISBLANK(M191),ISBLANK($I191)),"",$I191-M191+M$25)</f>
        <v>9.5320130384814004</v>
      </c>
      <c r="AA191" s="12">
        <f t="shared" ref="AA191:AA254" si="135">IF(OR(ISBLANK(N$25),ISBLANK(N191),ISBLANK($I191)),"",$I191-N191+N$25)</f>
        <v>9.5288036080295004</v>
      </c>
      <c r="AB191" s="12" t="str">
        <f t="shared" ref="AB191:AB254" si="136">IF(OR(ISBLANK(O$25),ISBLANK(O191),ISBLANK($I191)),"",$I191-O191+O$25)</f>
        <v/>
      </c>
      <c r="AC191" s="12" t="str">
        <f t="shared" ref="AC191:AC254" si="137">IF(OR(ISBLANK(P$25),ISBLANK(P191),ISBLANK($I191)),"",$I191-P191+P$25)</f>
        <v/>
      </c>
      <c r="AD191" s="12" t="str">
        <f t="shared" ref="AD191:AD254" si="138">IF(OR(ISBLANK(Q$25),ISBLANK(Q191),ISBLANK($I191)),"",$I191-Q191+Q$25)</f>
        <v/>
      </c>
      <c r="AE191" s="12" t="str">
        <f t="shared" ref="AE191:AE254" si="139">IF(OR(ISBLANK(R$25),ISBLANK(R191),ISBLANK($I191)),"",$I191-R191+R$25)</f>
        <v/>
      </c>
      <c r="AF191" s="12" t="str">
        <f t="shared" ref="AF191:AF254" si="140">IF(OR(ISBLANK(S$25),ISBLANK(S191),ISBLANK($I191)),"",$I191-S191+S$25)</f>
        <v/>
      </c>
      <c r="AG191" s="12"/>
      <c r="AH191" s="12">
        <f t="shared" ref="AH191:AH254" si="141">IF(OR(ISBLANK(K$25),ISBLANK(K191),ISBLANK($J191)),"",$J191-K191+K$25)</f>
        <v>10.871111129252199</v>
      </c>
      <c r="AI191" s="12">
        <f t="shared" ref="AI191:AI254" si="142">IF(OR(ISBLANK(L$25),ISBLANK(L191),ISBLANK($J191)),"",$J191-L191+L$25)</f>
        <v>10.891334396764799</v>
      </c>
      <c r="AJ191" s="12">
        <f t="shared" ref="AJ191:AJ254" si="143">IF(OR(ISBLANK(M$25),ISBLANK(M191),ISBLANK($J191)),"",$J191-M191+M$25)</f>
        <v>10.905678006654799</v>
      </c>
      <c r="AK191" s="12">
        <f t="shared" ref="AK191:AK254" si="144">IF(OR(ISBLANK(N$25),ISBLANK(N191),ISBLANK($J191)),"",$J191-N191+N$25)</f>
        <v>10.902468576202899</v>
      </c>
      <c r="AL191" s="12" t="str">
        <f t="shared" ref="AL191:AL254" si="145">IF(OR(ISBLANK(O$25),ISBLANK(O191),ISBLANK($J191)),"",$J191-O191+O$25)</f>
        <v/>
      </c>
      <c r="AM191" s="12" t="str">
        <f t="shared" ref="AM191:AM254" si="146">IF(OR(ISBLANK(P$25),ISBLANK(P191),ISBLANK($J191)),"",$J191-P191+P$25)</f>
        <v/>
      </c>
      <c r="AN191" s="12" t="str">
        <f t="shared" ref="AN191:AN254" si="147">IF(OR(ISBLANK(Q$25),ISBLANK(Q191),ISBLANK($J191)),"",$J191-Q191+Q$25)</f>
        <v/>
      </c>
      <c r="AO191" s="12" t="str">
        <f t="shared" ref="AO191:AO254" si="148">IF(OR(ISBLANK(R$25),ISBLANK(R191),ISBLANK($J191)),"",$J191-R191+R$25)</f>
        <v/>
      </c>
      <c r="AP191" s="12" t="str">
        <f t="shared" ref="AP191:AP254" si="149">IF(OR(ISBLANK(S$25),ISBLANK(S191),ISBLANK($J191)),"",$J191-S191+S$25)</f>
        <v/>
      </c>
    </row>
    <row r="192" spans="1:42">
      <c r="A192" s="9">
        <f t="shared" si="123"/>
        <v>43123.813622685186</v>
      </c>
      <c r="B192" s="22">
        <f t="shared" si="124"/>
        <v>2458142.3136226851</v>
      </c>
      <c r="C192" s="23">
        <f t="shared" si="125"/>
        <v>9.5109239421004492</v>
      </c>
      <c r="D192" s="24">
        <f t="shared" ca="1" si="126"/>
        <v>4.798561585924082E-2</v>
      </c>
      <c r="E192" s="24">
        <f t="shared" si="127"/>
        <v>1.6433430088781103E-2</v>
      </c>
      <c r="F192" s="25">
        <f t="shared" si="128"/>
        <v>10.93338759409005</v>
      </c>
      <c r="G192" s="7">
        <v>43123.813622685186</v>
      </c>
      <c r="H192" s="11">
        <v>2458142.3136229999</v>
      </c>
      <c r="I192" s="11">
        <v>-12.798143721229501</v>
      </c>
      <c r="J192" s="11">
        <v>-11.3756800692399</v>
      </c>
      <c r="K192" s="11">
        <v>-13.761542059435699</v>
      </c>
      <c r="L192" s="11">
        <v>-12.644796427197701</v>
      </c>
      <c r="M192" s="11">
        <v>-12.8667731432236</v>
      </c>
      <c r="N192" s="11">
        <v>-12.398159023462799</v>
      </c>
      <c r="O192" s="11"/>
      <c r="P192" s="11"/>
      <c r="Q192" s="11"/>
      <c r="R192" s="11"/>
      <c r="S192" s="11"/>
      <c r="T192" s="12"/>
      <c r="U192" s="12">
        <f t="shared" si="129"/>
        <v>4</v>
      </c>
      <c r="V192" s="28">
        <f t="shared" ca="1" si="130"/>
        <v>5.84</v>
      </c>
      <c r="W192" s="28">
        <f t="shared" si="131"/>
        <v>1.6433430088781103E-2</v>
      </c>
      <c r="X192" s="12">
        <f t="shared" si="132"/>
        <v>9.4893983382061986</v>
      </c>
      <c r="Y192" s="12">
        <f t="shared" si="133"/>
        <v>9.5256527059682004</v>
      </c>
      <c r="Z192" s="12">
        <f t="shared" si="134"/>
        <v>9.5216294219940991</v>
      </c>
      <c r="AA192" s="12">
        <f t="shared" si="135"/>
        <v>9.5070153022332988</v>
      </c>
      <c r="AB192" s="12" t="str">
        <f t="shared" si="136"/>
        <v/>
      </c>
      <c r="AC192" s="12" t="str">
        <f t="shared" si="137"/>
        <v/>
      </c>
      <c r="AD192" s="12" t="str">
        <f t="shared" si="138"/>
        <v/>
      </c>
      <c r="AE192" s="12" t="str">
        <f t="shared" si="139"/>
        <v/>
      </c>
      <c r="AF192" s="12" t="str">
        <f t="shared" si="140"/>
        <v/>
      </c>
      <c r="AG192" s="12"/>
      <c r="AH192" s="12">
        <f t="shared" si="141"/>
        <v>10.911861990195799</v>
      </c>
      <c r="AI192" s="12">
        <f t="shared" si="142"/>
        <v>10.948116357957801</v>
      </c>
      <c r="AJ192" s="12">
        <f t="shared" si="143"/>
        <v>10.9440930739837</v>
      </c>
      <c r="AK192" s="12">
        <f t="shared" si="144"/>
        <v>10.929478954222899</v>
      </c>
      <c r="AL192" s="12" t="str">
        <f t="shared" si="145"/>
        <v/>
      </c>
      <c r="AM192" s="12" t="str">
        <f t="shared" si="146"/>
        <v/>
      </c>
      <c r="AN192" s="12" t="str">
        <f t="shared" si="147"/>
        <v/>
      </c>
      <c r="AO192" s="12" t="str">
        <f t="shared" si="148"/>
        <v/>
      </c>
      <c r="AP192" s="12" t="str">
        <f t="shared" si="149"/>
        <v/>
      </c>
    </row>
    <row r="193" spans="1:42">
      <c r="A193" s="9">
        <f t="shared" ref="A193:A256" si="150">IF(ISBLANK(G193),"",G193)</f>
        <v>43123.814050925925</v>
      </c>
      <c r="B193" s="22">
        <f t="shared" ref="B193:B256" si="151">IF(ISBLANK(G193),"",G193+2415018.5)</f>
        <v>2458142.3140509259</v>
      </c>
      <c r="C193" s="23">
        <f t="shared" ref="C193:C256" si="152">IF(U193&gt;0,AVERAGE(X193:AF193),"")</f>
        <v>9.5314454232721246</v>
      </c>
      <c r="D193" s="24">
        <f t="shared" ref="D193:D256" ca="1" si="153">IF(U193&gt;0,STDEV(X193:AF193)/SQRT(U193)*V193,"")</f>
        <v>6.0681277943487433E-2</v>
      </c>
      <c r="E193" s="24">
        <f t="shared" ref="E193:E256" si="154">IF(ISBLANK(W193),"",W193)</f>
        <v>2.0781259569687478E-2</v>
      </c>
      <c r="F193" s="25">
        <f t="shared" ref="F193:F256" si="155">IF(U193&gt;0,AVERAGE(AH193:AP193),"")</f>
        <v>10.915928550625823</v>
      </c>
      <c r="G193" s="7">
        <v>43123.814050925925</v>
      </c>
      <c r="H193" s="11">
        <v>2458142.3140509999</v>
      </c>
      <c r="I193" s="11">
        <v>-12.783139201959701</v>
      </c>
      <c r="J193" s="11">
        <v>-11.398656074606</v>
      </c>
      <c r="K193" s="11">
        <v>-13.757543061152299</v>
      </c>
      <c r="L193" s="11">
        <v>-12.643353117697799</v>
      </c>
      <c r="M193" s="11">
        <v>-12.8725745773061</v>
      </c>
      <c r="N193" s="11">
        <v>-12.4198677447711</v>
      </c>
      <c r="O193" s="11"/>
      <c r="P193" s="11"/>
      <c r="Q193" s="11"/>
      <c r="R193" s="11"/>
      <c r="S193" s="11"/>
      <c r="T193" s="12"/>
      <c r="U193" s="12">
        <f t="shared" si="129"/>
        <v>4</v>
      </c>
      <c r="V193" s="28">
        <f t="shared" ca="1" si="130"/>
        <v>5.84</v>
      </c>
      <c r="W193" s="28">
        <f t="shared" si="131"/>
        <v>2.0781259569687478E-2</v>
      </c>
      <c r="X193" s="12">
        <f t="shared" si="132"/>
        <v>9.5004038591925983</v>
      </c>
      <c r="Y193" s="12">
        <f t="shared" si="133"/>
        <v>9.5392139157380988</v>
      </c>
      <c r="Z193" s="12">
        <f t="shared" si="134"/>
        <v>9.5424353753463986</v>
      </c>
      <c r="AA193" s="12">
        <f t="shared" si="135"/>
        <v>9.5437285428113992</v>
      </c>
      <c r="AB193" s="12" t="str">
        <f t="shared" si="136"/>
        <v/>
      </c>
      <c r="AC193" s="12" t="str">
        <f t="shared" si="137"/>
        <v/>
      </c>
      <c r="AD193" s="12" t="str">
        <f t="shared" si="138"/>
        <v/>
      </c>
      <c r="AE193" s="12" t="str">
        <f t="shared" si="139"/>
        <v/>
      </c>
      <c r="AF193" s="12" t="str">
        <f t="shared" si="140"/>
        <v/>
      </c>
      <c r="AG193" s="12"/>
      <c r="AH193" s="12">
        <f t="shared" si="141"/>
        <v>10.884886986546299</v>
      </c>
      <c r="AI193" s="12">
        <f t="shared" si="142"/>
        <v>10.923697043091799</v>
      </c>
      <c r="AJ193" s="12">
        <f t="shared" si="143"/>
        <v>10.926918502700099</v>
      </c>
      <c r="AK193" s="12">
        <f t="shared" si="144"/>
        <v>10.9282116701651</v>
      </c>
      <c r="AL193" s="12" t="str">
        <f t="shared" si="145"/>
        <v/>
      </c>
      <c r="AM193" s="12" t="str">
        <f t="shared" si="146"/>
        <v/>
      </c>
      <c r="AN193" s="12" t="str">
        <f t="shared" si="147"/>
        <v/>
      </c>
      <c r="AO193" s="12" t="str">
        <f t="shared" si="148"/>
        <v/>
      </c>
      <c r="AP193" s="12" t="str">
        <f t="shared" si="149"/>
        <v/>
      </c>
    </row>
    <row r="194" spans="1:42">
      <c r="A194" s="9">
        <f t="shared" si="150"/>
        <v>43123.814467592594</v>
      </c>
      <c r="B194" s="22">
        <f t="shared" si="151"/>
        <v>2458142.3144675926</v>
      </c>
      <c r="C194" s="23">
        <f t="shared" si="152"/>
        <v>9.5273718284279489</v>
      </c>
      <c r="D194" s="24">
        <f t="shared" ca="1" si="153"/>
        <v>4.6032081948403469E-2</v>
      </c>
      <c r="E194" s="24">
        <f t="shared" si="154"/>
        <v>1.5764411626165573E-2</v>
      </c>
      <c r="F194" s="25">
        <f t="shared" si="155"/>
        <v>10.930990852480049</v>
      </c>
      <c r="G194" s="7">
        <v>43123.814467592594</v>
      </c>
      <c r="H194" s="11">
        <v>2458142.3144680001</v>
      </c>
      <c r="I194" s="11">
        <v>-12.782570842904001</v>
      </c>
      <c r="J194" s="11">
        <v>-11.378951818851901</v>
      </c>
      <c r="K194" s="11">
        <v>-13.760480754601399</v>
      </c>
      <c r="L194" s="11">
        <v>-12.639561316021499</v>
      </c>
      <c r="M194" s="11">
        <v>-12.86667147947</v>
      </c>
      <c r="N194" s="11">
        <v>-12.4080571352349</v>
      </c>
      <c r="O194" s="11"/>
      <c r="P194" s="11"/>
      <c r="Q194" s="11"/>
      <c r="R194" s="11"/>
      <c r="S194" s="11"/>
      <c r="T194" s="12"/>
      <c r="U194" s="12">
        <f t="shared" si="129"/>
        <v>4</v>
      </c>
      <c r="V194" s="28">
        <f t="shared" ca="1" si="130"/>
        <v>5.84</v>
      </c>
      <c r="W194" s="28">
        <f t="shared" si="131"/>
        <v>1.5764411626165573E-2</v>
      </c>
      <c r="X194" s="12">
        <f t="shared" si="132"/>
        <v>9.5039099116973986</v>
      </c>
      <c r="Y194" s="12">
        <f t="shared" si="133"/>
        <v>9.5359904731174989</v>
      </c>
      <c r="Z194" s="12">
        <f t="shared" si="134"/>
        <v>9.5371006365659987</v>
      </c>
      <c r="AA194" s="12">
        <f t="shared" si="135"/>
        <v>9.5324862923308995</v>
      </c>
      <c r="AB194" s="12" t="str">
        <f t="shared" si="136"/>
        <v/>
      </c>
      <c r="AC194" s="12" t="str">
        <f t="shared" si="137"/>
        <v/>
      </c>
      <c r="AD194" s="12" t="str">
        <f t="shared" si="138"/>
        <v/>
      </c>
      <c r="AE194" s="12" t="str">
        <f t="shared" si="139"/>
        <v/>
      </c>
      <c r="AF194" s="12" t="str">
        <f t="shared" si="140"/>
        <v/>
      </c>
      <c r="AG194" s="12"/>
      <c r="AH194" s="12">
        <f t="shared" si="141"/>
        <v>10.907528935749498</v>
      </c>
      <c r="AI194" s="12">
        <f t="shared" si="142"/>
        <v>10.939609497169599</v>
      </c>
      <c r="AJ194" s="12">
        <f t="shared" si="143"/>
        <v>10.940719660618099</v>
      </c>
      <c r="AK194" s="12">
        <f t="shared" si="144"/>
        <v>10.936105316382999</v>
      </c>
      <c r="AL194" s="12" t="str">
        <f t="shared" si="145"/>
        <v/>
      </c>
      <c r="AM194" s="12" t="str">
        <f t="shared" si="146"/>
        <v/>
      </c>
      <c r="AN194" s="12" t="str">
        <f t="shared" si="147"/>
        <v/>
      </c>
      <c r="AO194" s="12" t="str">
        <f t="shared" si="148"/>
        <v/>
      </c>
      <c r="AP194" s="12" t="str">
        <f t="shared" si="149"/>
        <v/>
      </c>
    </row>
    <row r="195" spans="1:42">
      <c r="A195" s="9">
        <f t="shared" si="150"/>
        <v>43123.814884259256</v>
      </c>
      <c r="B195" s="22">
        <f t="shared" si="151"/>
        <v>2458142.3148842594</v>
      </c>
      <c r="C195" s="23">
        <f t="shared" si="152"/>
        <v>9.5195459326786747</v>
      </c>
      <c r="D195" s="24">
        <f t="shared" ca="1" si="153"/>
        <v>5.3431126235887069E-2</v>
      </c>
      <c r="E195" s="24">
        <f t="shared" si="154"/>
        <v>1.8298330902701051E-2</v>
      </c>
      <c r="F195" s="25">
        <f t="shared" si="155"/>
        <v>10.898240694700174</v>
      </c>
      <c r="G195" s="7">
        <v>43123.814884259256</v>
      </c>
      <c r="H195" s="11">
        <v>2458142.314884</v>
      </c>
      <c r="I195" s="11">
        <v>-12.7955103830138</v>
      </c>
      <c r="J195" s="11">
        <v>-11.416815620992301</v>
      </c>
      <c r="K195" s="11">
        <v>-13.7677049371619</v>
      </c>
      <c r="L195" s="11">
        <v>-12.637779230925499</v>
      </c>
      <c r="M195" s="11">
        <v>-12.858585242419901</v>
      </c>
      <c r="N195" s="11">
        <v>-12.4311558522626</v>
      </c>
      <c r="O195" s="11"/>
      <c r="P195" s="11"/>
      <c r="Q195" s="11"/>
      <c r="R195" s="11"/>
      <c r="S195" s="11"/>
      <c r="T195" s="12"/>
      <c r="U195" s="12">
        <f t="shared" si="129"/>
        <v>4</v>
      </c>
      <c r="V195" s="28">
        <f t="shared" ca="1" si="130"/>
        <v>5.84</v>
      </c>
      <c r="W195" s="28">
        <f t="shared" si="131"/>
        <v>1.8298330902701051E-2</v>
      </c>
      <c r="X195" s="12">
        <f t="shared" si="132"/>
        <v>9.4981945541480997</v>
      </c>
      <c r="Y195" s="12">
        <f t="shared" si="133"/>
        <v>9.5212688479116991</v>
      </c>
      <c r="Z195" s="12">
        <f t="shared" si="134"/>
        <v>9.5160748594060998</v>
      </c>
      <c r="AA195" s="12">
        <f t="shared" si="135"/>
        <v>9.5426454692488001</v>
      </c>
      <c r="AB195" s="12" t="str">
        <f t="shared" si="136"/>
        <v/>
      </c>
      <c r="AC195" s="12" t="str">
        <f t="shared" si="137"/>
        <v/>
      </c>
      <c r="AD195" s="12" t="str">
        <f t="shared" si="138"/>
        <v/>
      </c>
      <c r="AE195" s="12" t="str">
        <f t="shared" si="139"/>
        <v/>
      </c>
      <c r="AF195" s="12" t="str">
        <f t="shared" si="140"/>
        <v/>
      </c>
      <c r="AG195" s="12"/>
      <c r="AH195" s="12">
        <f t="shared" si="141"/>
        <v>10.876889316169599</v>
      </c>
      <c r="AI195" s="12">
        <f t="shared" si="142"/>
        <v>10.899963609933199</v>
      </c>
      <c r="AJ195" s="12">
        <f t="shared" si="143"/>
        <v>10.894769621427599</v>
      </c>
      <c r="AK195" s="12">
        <f t="shared" si="144"/>
        <v>10.9213402312703</v>
      </c>
      <c r="AL195" s="12" t="str">
        <f t="shared" si="145"/>
        <v/>
      </c>
      <c r="AM195" s="12" t="str">
        <f t="shared" si="146"/>
        <v/>
      </c>
      <c r="AN195" s="12" t="str">
        <f t="shared" si="147"/>
        <v/>
      </c>
      <c r="AO195" s="12" t="str">
        <f t="shared" si="148"/>
        <v/>
      </c>
      <c r="AP195" s="12" t="str">
        <f t="shared" si="149"/>
        <v/>
      </c>
    </row>
    <row r="196" spans="1:42">
      <c r="A196" s="9">
        <f t="shared" si="150"/>
        <v>43123.815312500003</v>
      </c>
      <c r="B196" s="22">
        <f t="shared" si="151"/>
        <v>2458142.3153125001</v>
      </c>
      <c r="C196" s="23">
        <f t="shared" si="152"/>
        <v>9.5279777589698487</v>
      </c>
      <c r="D196" s="24">
        <f t="shared" ca="1" si="153"/>
        <v>5.8794025354108569E-2</v>
      </c>
      <c r="E196" s="24">
        <f t="shared" si="154"/>
        <v>2.0134940189763209E-2</v>
      </c>
      <c r="F196" s="25">
        <f t="shared" si="155"/>
        <v>10.908642957466249</v>
      </c>
      <c r="G196" s="7">
        <v>43123.815312500003</v>
      </c>
      <c r="H196" s="11">
        <v>2458142.315312</v>
      </c>
      <c r="I196" s="11">
        <v>-12.7863422281824</v>
      </c>
      <c r="J196" s="11">
        <v>-11.405677029686</v>
      </c>
      <c r="K196" s="11">
        <v>-13.761887080817599</v>
      </c>
      <c r="L196" s="11">
        <v>-12.6343849056971</v>
      </c>
      <c r="M196" s="11">
        <v>-12.866572754657099</v>
      </c>
      <c r="N196" s="11">
        <v>-12.4294352074372</v>
      </c>
      <c r="O196" s="11"/>
      <c r="P196" s="11"/>
      <c r="Q196" s="11"/>
      <c r="R196" s="11"/>
      <c r="S196" s="11"/>
      <c r="T196" s="12"/>
      <c r="U196" s="12">
        <f t="shared" si="129"/>
        <v>4</v>
      </c>
      <c r="V196" s="28">
        <f t="shared" ca="1" si="130"/>
        <v>5.84</v>
      </c>
      <c r="W196" s="28">
        <f t="shared" si="131"/>
        <v>2.0134940189763209E-2</v>
      </c>
      <c r="X196" s="12">
        <f t="shared" si="132"/>
        <v>9.5015448526351989</v>
      </c>
      <c r="Y196" s="12">
        <f t="shared" si="133"/>
        <v>9.5270426775147001</v>
      </c>
      <c r="Z196" s="12">
        <f t="shared" si="134"/>
        <v>9.5332305264746982</v>
      </c>
      <c r="AA196" s="12">
        <f t="shared" si="135"/>
        <v>9.5500929792547993</v>
      </c>
      <c r="AB196" s="12" t="str">
        <f t="shared" si="136"/>
        <v/>
      </c>
      <c r="AC196" s="12" t="str">
        <f t="shared" si="137"/>
        <v/>
      </c>
      <c r="AD196" s="12" t="str">
        <f t="shared" si="138"/>
        <v/>
      </c>
      <c r="AE196" s="12" t="str">
        <f t="shared" si="139"/>
        <v/>
      </c>
      <c r="AF196" s="12" t="str">
        <f t="shared" si="140"/>
        <v/>
      </c>
      <c r="AG196" s="12"/>
      <c r="AH196" s="12">
        <f t="shared" si="141"/>
        <v>10.882210051131599</v>
      </c>
      <c r="AI196" s="12">
        <f t="shared" si="142"/>
        <v>10.9077078760111</v>
      </c>
      <c r="AJ196" s="12">
        <f t="shared" si="143"/>
        <v>10.913895724971098</v>
      </c>
      <c r="AK196" s="12">
        <f t="shared" si="144"/>
        <v>10.9307581777512</v>
      </c>
      <c r="AL196" s="12" t="str">
        <f t="shared" si="145"/>
        <v/>
      </c>
      <c r="AM196" s="12" t="str">
        <f t="shared" si="146"/>
        <v/>
      </c>
      <c r="AN196" s="12" t="str">
        <f t="shared" si="147"/>
        <v/>
      </c>
      <c r="AO196" s="12" t="str">
        <f t="shared" si="148"/>
        <v/>
      </c>
      <c r="AP196" s="12" t="str">
        <f t="shared" si="149"/>
        <v/>
      </c>
    </row>
    <row r="197" spans="1:42">
      <c r="A197" s="9">
        <f t="shared" si="150"/>
        <v>43123.815729166665</v>
      </c>
      <c r="B197" s="22">
        <f t="shared" si="151"/>
        <v>2458142.3157291668</v>
      </c>
      <c r="C197" s="23">
        <f t="shared" si="152"/>
        <v>9.5415875125268244</v>
      </c>
      <c r="D197" s="24">
        <f t="shared" ca="1" si="153"/>
        <v>6.1507234423449381E-2</v>
      </c>
      <c r="E197" s="24">
        <f t="shared" si="154"/>
        <v>2.1064121377893624E-2</v>
      </c>
      <c r="F197" s="25">
        <f t="shared" si="155"/>
        <v>10.956053115209226</v>
      </c>
      <c r="G197" s="7">
        <v>43123.815729166665</v>
      </c>
      <c r="H197" s="11">
        <v>2458142.3157290001</v>
      </c>
      <c r="I197" s="11">
        <v>-12.773625428184699</v>
      </c>
      <c r="J197" s="11">
        <v>-11.359159825502299</v>
      </c>
      <c r="K197" s="11">
        <v>-13.7595858406234</v>
      </c>
      <c r="L197" s="11">
        <v>-12.636793984848699</v>
      </c>
      <c r="M197" s="11">
        <v>-12.8806826301365</v>
      </c>
      <c r="N197" s="11">
        <v>-12.4187893072375</v>
      </c>
      <c r="O197" s="11"/>
      <c r="P197" s="11"/>
      <c r="Q197" s="11"/>
      <c r="R197" s="11"/>
      <c r="S197" s="11"/>
      <c r="T197" s="12"/>
      <c r="U197" s="12">
        <f t="shared" si="129"/>
        <v>4</v>
      </c>
      <c r="V197" s="28">
        <f t="shared" ca="1" si="130"/>
        <v>5.84</v>
      </c>
      <c r="W197" s="28">
        <f t="shared" si="131"/>
        <v>2.1064121377893624E-2</v>
      </c>
      <c r="X197" s="12">
        <f t="shared" si="132"/>
        <v>9.5119604124387003</v>
      </c>
      <c r="Y197" s="12">
        <f t="shared" si="133"/>
        <v>9.5421685566640004</v>
      </c>
      <c r="Z197" s="12">
        <f t="shared" si="134"/>
        <v>9.5600572019517998</v>
      </c>
      <c r="AA197" s="12">
        <f t="shared" si="135"/>
        <v>9.5521638790528005</v>
      </c>
      <c r="AB197" s="12" t="str">
        <f t="shared" si="136"/>
        <v/>
      </c>
      <c r="AC197" s="12" t="str">
        <f t="shared" si="137"/>
        <v/>
      </c>
      <c r="AD197" s="12" t="str">
        <f t="shared" si="138"/>
        <v/>
      </c>
      <c r="AE197" s="12" t="str">
        <f t="shared" si="139"/>
        <v/>
      </c>
      <c r="AF197" s="12" t="str">
        <f t="shared" si="140"/>
        <v/>
      </c>
      <c r="AG197" s="12"/>
      <c r="AH197" s="12">
        <f t="shared" si="141"/>
        <v>10.9264260151211</v>
      </c>
      <c r="AI197" s="12">
        <f t="shared" si="142"/>
        <v>10.9566341593464</v>
      </c>
      <c r="AJ197" s="12">
        <f t="shared" si="143"/>
        <v>10.9745228046342</v>
      </c>
      <c r="AK197" s="12">
        <f t="shared" si="144"/>
        <v>10.9666294817352</v>
      </c>
      <c r="AL197" s="12" t="str">
        <f t="shared" si="145"/>
        <v/>
      </c>
      <c r="AM197" s="12" t="str">
        <f t="shared" si="146"/>
        <v/>
      </c>
      <c r="AN197" s="12" t="str">
        <f t="shared" si="147"/>
        <v/>
      </c>
      <c r="AO197" s="12" t="str">
        <f t="shared" si="148"/>
        <v/>
      </c>
      <c r="AP197" s="12" t="str">
        <f t="shared" si="149"/>
        <v/>
      </c>
    </row>
    <row r="198" spans="1:42">
      <c r="A198" s="9">
        <f t="shared" si="150"/>
        <v>43123.816145833334</v>
      </c>
      <c r="B198" s="22">
        <f t="shared" si="151"/>
        <v>2458142.3161458331</v>
      </c>
      <c r="C198" s="23">
        <f t="shared" si="152"/>
        <v>9.5323340532049734</v>
      </c>
      <c r="D198" s="24">
        <f t="shared" ca="1" si="153"/>
        <v>4.8477791077182267E-2</v>
      </c>
      <c r="E198" s="24">
        <f t="shared" si="154"/>
        <v>1.6601983245610366E-2</v>
      </c>
      <c r="F198" s="25">
        <f t="shared" si="155"/>
        <v>10.930050310033677</v>
      </c>
      <c r="G198" s="7">
        <v>43123.816145833334</v>
      </c>
      <c r="H198" s="11">
        <v>2458142.3161459998</v>
      </c>
      <c r="I198" s="11">
        <v>-12.779584594388201</v>
      </c>
      <c r="J198" s="11">
        <v>-11.381868337559499</v>
      </c>
      <c r="K198" s="11">
        <v>-13.7639984419261</v>
      </c>
      <c r="L198" s="11">
        <v>-12.631586415438701</v>
      </c>
      <c r="M198" s="11">
        <v>-12.8766386892672</v>
      </c>
      <c r="N198" s="11">
        <v>-12.4104510437407</v>
      </c>
      <c r="O198" s="11"/>
      <c r="P198" s="11"/>
      <c r="Q198" s="11"/>
      <c r="R198" s="11"/>
      <c r="S198" s="11"/>
      <c r="T198" s="12"/>
      <c r="U198" s="12">
        <f t="shared" si="129"/>
        <v>4</v>
      </c>
      <c r="V198" s="28">
        <f t="shared" ca="1" si="130"/>
        <v>5.84</v>
      </c>
      <c r="W198" s="28">
        <f t="shared" si="131"/>
        <v>1.6601983245610366E-2</v>
      </c>
      <c r="X198" s="12">
        <f t="shared" si="132"/>
        <v>9.5104138475378992</v>
      </c>
      <c r="Y198" s="12">
        <f t="shared" si="133"/>
        <v>9.5310018210505003</v>
      </c>
      <c r="Z198" s="12">
        <f t="shared" si="134"/>
        <v>9.5500540948789983</v>
      </c>
      <c r="AA198" s="12">
        <f t="shared" si="135"/>
        <v>9.5378664493524994</v>
      </c>
      <c r="AB198" s="12" t="str">
        <f t="shared" si="136"/>
        <v/>
      </c>
      <c r="AC198" s="12" t="str">
        <f t="shared" si="137"/>
        <v/>
      </c>
      <c r="AD198" s="12" t="str">
        <f t="shared" si="138"/>
        <v/>
      </c>
      <c r="AE198" s="12" t="str">
        <f t="shared" si="139"/>
        <v/>
      </c>
      <c r="AF198" s="12" t="str">
        <f t="shared" si="140"/>
        <v/>
      </c>
      <c r="AG198" s="12"/>
      <c r="AH198" s="12">
        <f t="shared" si="141"/>
        <v>10.908130104366601</v>
      </c>
      <c r="AI198" s="12">
        <f t="shared" si="142"/>
        <v>10.928718077879202</v>
      </c>
      <c r="AJ198" s="12">
        <f t="shared" si="143"/>
        <v>10.9477703517077</v>
      </c>
      <c r="AK198" s="12">
        <f t="shared" si="144"/>
        <v>10.935582706181201</v>
      </c>
      <c r="AL198" s="12" t="str">
        <f t="shared" si="145"/>
        <v/>
      </c>
      <c r="AM198" s="12" t="str">
        <f t="shared" si="146"/>
        <v/>
      </c>
      <c r="AN198" s="12" t="str">
        <f t="shared" si="147"/>
        <v/>
      </c>
      <c r="AO198" s="12" t="str">
        <f t="shared" si="148"/>
        <v/>
      </c>
      <c r="AP198" s="12" t="str">
        <f t="shared" si="149"/>
        <v/>
      </c>
    </row>
    <row r="199" spans="1:42">
      <c r="A199" s="9">
        <f t="shared" si="150"/>
        <v>43123.816574074073</v>
      </c>
      <c r="B199" s="22">
        <f t="shared" si="151"/>
        <v>2458142.3165740739</v>
      </c>
      <c r="C199" s="23">
        <f t="shared" si="152"/>
        <v>9.5276521314530012</v>
      </c>
      <c r="D199" s="24">
        <f t="shared" ca="1" si="153"/>
        <v>3.4671062543756445E-2</v>
      </c>
      <c r="E199" s="24">
        <f t="shared" si="154"/>
        <v>1.1873651556080975E-2</v>
      </c>
      <c r="F199" s="25">
        <f t="shared" si="155"/>
        <v>10.904232160023</v>
      </c>
      <c r="G199" s="7">
        <v>43123.816574074073</v>
      </c>
      <c r="H199" s="11">
        <v>2458142.3165739998</v>
      </c>
      <c r="I199" s="11">
        <v>-12.783305258410399</v>
      </c>
      <c r="J199" s="11">
        <v>-11.406725229840401</v>
      </c>
      <c r="K199" s="11">
        <v>-13.7708845365052</v>
      </c>
      <c r="L199" s="11">
        <v>-12.6285493888945</v>
      </c>
      <c r="M199" s="11">
        <v>-12.8721978623712</v>
      </c>
      <c r="N199" s="11">
        <v>-12.4071977716827</v>
      </c>
      <c r="O199" s="11"/>
      <c r="P199" s="11"/>
      <c r="Q199" s="11"/>
      <c r="R199" s="11"/>
      <c r="S199" s="11"/>
      <c r="T199" s="12"/>
      <c r="U199" s="12">
        <f t="shared" si="129"/>
        <v>4</v>
      </c>
      <c r="V199" s="28">
        <f t="shared" ca="1" si="130"/>
        <v>5.84</v>
      </c>
      <c r="W199" s="28">
        <f t="shared" si="131"/>
        <v>1.1873651556080975E-2</v>
      </c>
      <c r="X199" s="12">
        <f t="shared" si="132"/>
        <v>9.5135792780948005</v>
      </c>
      <c r="Y199" s="12">
        <f t="shared" si="133"/>
        <v>9.5242441304841012</v>
      </c>
      <c r="Z199" s="12">
        <f t="shared" si="134"/>
        <v>9.5418926039608003</v>
      </c>
      <c r="AA199" s="12">
        <f t="shared" si="135"/>
        <v>9.5308925132723008</v>
      </c>
      <c r="AB199" s="12" t="str">
        <f t="shared" si="136"/>
        <v/>
      </c>
      <c r="AC199" s="12" t="str">
        <f t="shared" si="137"/>
        <v/>
      </c>
      <c r="AD199" s="12" t="str">
        <f t="shared" si="138"/>
        <v/>
      </c>
      <c r="AE199" s="12" t="str">
        <f t="shared" si="139"/>
        <v/>
      </c>
      <c r="AF199" s="12" t="str">
        <f t="shared" si="140"/>
        <v/>
      </c>
      <c r="AG199" s="12"/>
      <c r="AH199" s="12">
        <f t="shared" si="141"/>
        <v>10.890159306664799</v>
      </c>
      <c r="AI199" s="12">
        <f t="shared" si="142"/>
        <v>10.9008241590541</v>
      </c>
      <c r="AJ199" s="12">
        <f t="shared" si="143"/>
        <v>10.918472632530799</v>
      </c>
      <c r="AK199" s="12">
        <f t="shared" si="144"/>
        <v>10.907472541842299</v>
      </c>
      <c r="AL199" s="12" t="str">
        <f t="shared" si="145"/>
        <v/>
      </c>
      <c r="AM199" s="12" t="str">
        <f t="shared" si="146"/>
        <v/>
      </c>
      <c r="AN199" s="12" t="str">
        <f t="shared" si="147"/>
        <v/>
      </c>
      <c r="AO199" s="12" t="str">
        <f t="shared" si="148"/>
        <v/>
      </c>
      <c r="AP199" s="12" t="str">
        <f t="shared" si="149"/>
        <v/>
      </c>
    </row>
    <row r="200" spans="1:42">
      <c r="A200" s="9">
        <f t="shared" si="150"/>
        <v>43123.816990740743</v>
      </c>
      <c r="B200" s="22">
        <f t="shared" si="151"/>
        <v>2458142.3169907406</v>
      </c>
      <c r="C200" s="23">
        <f t="shared" si="152"/>
        <v>9.5399858469220256</v>
      </c>
      <c r="D200" s="24">
        <f t="shared" ca="1" si="153"/>
        <v>4.8724204615263285E-2</v>
      </c>
      <c r="E200" s="24">
        <f t="shared" si="154"/>
        <v>1.6686371443583318E-2</v>
      </c>
      <c r="F200" s="25">
        <f t="shared" si="155"/>
        <v>10.924884089389426</v>
      </c>
      <c r="G200" s="7">
        <v>43123.816990740743</v>
      </c>
      <c r="H200" s="11">
        <v>2458142.316991</v>
      </c>
      <c r="I200" s="11">
        <v>-12.7770326909638</v>
      </c>
      <c r="J200" s="11">
        <v>-11.3921344484964</v>
      </c>
      <c r="K200" s="11">
        <v>-13.7668734590422</v>
      </c>
      <c r="L200" s="11">
        <v>-12.6408886561229</v>
      </c>
      <c r="M200" s="11">
        <v>-12.8716751969604</v>
      </c>
      <c r="N200" s="11">
        <v>-12.423636839417799</v>
      </c>
      <c r="O200" s="11"/>
      <c r="P200" s="11"/>
      <c r="Q200" s="11"/>
      <c r="R200" s="11"/>
      <c r="S200" s="11"/>
      <c r="T200" s="12"/>
      <c r="U200" s="12">
        <f t="shared" si="129"/>
        <v>4</v>
      </c>
      <c r="V200" s="28">
        <f t="shared" ca="1" si="130"/>
        <v>5.84</v>
      </c>
      <c r="W200" s="28">
        <f t="shared" si="131"/>
        <v>1.6686371443583318E-2</v>
      </c>
      <c r="X200" s="12">
        <f t="shared" si="132"/>
        <v>9.5158407680783998</v>
      </c>
      <c r="Y200" s="12">
        <f t="shared" si="133"/>
        <v>9.5428559651591005</v>
      </c>
      <c r="Z200" s="12">
        <f t="shared" si="134"/>
        <v>9.547642505996599</v>
      </c>
      <c r="AA200" s="12">
        <f t="shared" si="135"/>
        <v>9.5536041484539993</v>
      </c>
      <c r="AB200" s="12" t="str">
        <f t="shared" si="136"/>
        <v/>
      </c>
      <c r="AC200" s="12" t="str">
        <f t="shared" si="137"/>
        <v/>
      </c>
      <c r="AD200" s="12" t="str">
        <f t="shared" si="138"/>
        <v/>
      </c>
      <c r="AE200" s="12" t="str">
        <f t="shared" si="139"/>
        <v/>
      </c>
      <c r="AF200" s="12" t="str">
        <f t="shared" si="140"/>
        <v/>
      </c>
      <c r="AG200" s="12"/>
      <c r="AH200" s="12">
        <f t="shared" si="141"/>
        <v>10.9007390105458</v>
      </c>
      <c r="AI200" s="12">
        <f t="shared" si="142"/>
        <v>10.927754207626501</v>
      </c>
      <c r="AJ200" s="12">
        <f t="shared" si="143"/>
        <v>10.932540748464</v>
      </c>
      <c r="AK200" s="12">
        <f t="shared" si="144"/>
        <v>10.9385023909214</v>
      </c>
      <c r="AL200" s="12" t="str">
        <f t="shared" si="145"/>
        <v/>
      </c>
      <c r="AM200" s="12" t="str">
        <f t="shared" si="146"/>
        <v/>
      </c>
      <c r="AN200" s="12" t="str">
        <f t="shared" si="147"/>
        <v/>
      </c>
      <c r="AO200" s="12" t="str">
        <f t="shared" si="148"/>
        <v/>
      </c>
      <c r="AP200" s="12" t="str">
        <f t="shared" si="149"/>
        <v/>
      </c>
    </row>
    <row r="201" spans="1:42">
      <c r="A201" s="9">
        <f t="shared" si="150"/>
        <v>43123.817407407405</v>
      </c>
      <c r="B201" s="22">
        <f t="shared" si="151"/>
        <v>2458142.3174074073</v>
      </c>
      <c r="C201" s="23">
        <f t="shared" si="152"/>
        <v>9.5397541019691747</v>
      </c>
      <c r="D201" s="24">
        <f t="shared" ca="1" si="153"/>
        <v>5.5540887196491459E-2</v>
      </c>
      <c r="E201" s="24">
        <f t="shared" si="154"/>
        <v>1.9020851779620363E-2</v>
      </c>
      <c r="F201" s="25">
        <f t="shared" si="155"/>
        <v>10.925876530030175</v>
      </c>
      <c r="G201" s="7">
        <v>43123.817407407405</v>
      </c>
      <c r="H201" s="11">
        <v>2458142.3174069999</v>
      </c>
      <c r="I201" s="11">
        <v>-12.7702535656582</v>
      </c>
      <c r="J201" s="11">
        <v>-11.384131137597199</v>
      </c>
      <c r="K201" s="11">
        <v>-13.7601088361734</v>
      </c>
      <c r="L201" s="11">
        <v>-12.6266710182338</v>
      </c>
      <c r="M201" s="11">
        <v>-12.878082294750399</v>
      </c>
      <c r="N201" s="11">
        <v>-12.410168521351901</v>
      </c>
      <c r="O201" s="11"/>
      <c r="P201" s="11"/>
      <c r="Q201" s="11"/>
      <c r="R201" s="11"/>
      <c r="S201" s="11"/>
      <c r="T201" s="12"/>
      <c r="U201" s="12">
        <f t="shared" si="129"/>
        <v>4</v>
      </c>
      <c r="V201" s="28">
        <f t="shared" ca="1" si="130"/>
        <v>5.84</v>
      </c>
      <c r="W201" s="28">
        <f t="shared" si="131"/>
        <v>1.9020851779620363E-2</v>
      </c>
      <c r="X201" s="12">
        <f t="shared" si="132"/>
        <v>9.5158552705151997</v>
      </c>
      <c r="Y201" s="12">
        <f t="shared" si="133"/>
        <v>9.5354174525756008</v>
      </c>
      <c r="Z201" s="12">
        <f t="shared" si="134"/>
        <v>9.5608287290921989</v>
      </c>
      <c r="AA201" s="12">
        <f t="shared" si="135"/>
        <v>9.5469149556937012</v>
      </c>
      <c r="AB201" s="12" t="str">
        <f t="shared" si="136"/>
        <v/>
      </c>
      <c r="AC201" s="12" t="str">
        <f t="shared" si="137"/>
        <v/>
      </c>
      <c r="AD201" s="12" t="str">
        <f t="shared" si="138"/>
        <v/>
      </c>
      <c r="AE201" s="12" t="str">
        <f t="shared" si="139"/>
        <v/>
      </c>
      <c r="AF201" s="12" t="str">
        <f t="shared" si="140"/>
        <v/>
      </c>
      <c r="AG201" s="12"/>
      <c r="AH201" s="12">
        <f t="shared" si="141"/>
        <v>10.9019776985762</v>
      </c>
      <c r="AI201" s="12">
        <f t="shared" si="142"/>
        <v>10.921539880636601</v>
      </c>
      <c r="AJ201" s="12">
        <f t="shared" si="143"/>
        <v>10.946951157153199</v>
      </c>
      <c r="AK201" s="12">
        <f t="shared" si="144"/>
        <v>10.933037383754701</v>
      </c>
      <c r="AL201" s="12" t="str">
        <f t="shared" si="145"/>
        <v/>
      </c>
      <c r="AM201" s="12" t="str">
        <f t="shared" si="146"/>
        <v/>
      </c>
      <c r="AN201" s="12" t="str">
        <f t="shared" si="147"/>
        <v/>
      </c>
      <c r="AO201" s="12" t="str">
        <f t="shared" si="148"/>
        <v/>
      </c>
      <c r="AP201" s="12" t="str">
        <f t="shared" si="149"/>
        <v/>
      </c>
    </row>
    <row r="202" spans="1:42">
      <c r="A202" s="9">
        <f t="shared" si="150"/>
        <v>43123.817835648151</v>
      </c>
      <c r="B202" s="22">
        <f t="shared" si="151"/>
        <v>2458142.3178356481</v>
      </c>
      <c r="C202" s="23">
        <f t="shared" si="152"/>
        <v>9.5500938970434994</v>
      </c>
      <c r="D202" s="24">
        <f t="shared" ca="1" si="153"/>
        <v>5.0629887952281842E-2</v>
      </c>
      <c r="E202" s="24">
        <f t="shared" si="154"/>
        <v>1.7339002723384192E-2</v>
      </c>
      <c r="F202" s="25">
        <f t="shared" si="155"/>
        <v>10.916006843541801</v>
      </c>
      <c r="G202" s="7">
        <v>43123.817835648151</v>
      </c>
      <c r="H202" s="11">
        <v>2458142.3178360001</v>
      </c>
      <c r="I202" s="11">
        <v>-12.768935954552299</v>
      </c>
      <c r="J202" s="11">
        <v>-11.403023008053999</v>
      </c>
      <c r="K202" s="11">
        <v>-13.768380710093499</v>
      </c>
      <c r="L202" s="11">
        <v>-12.6450903386925</v>
      </c>
      <c r="M202" s="11">
        <v>-12.8696243139147</v>
      </c>
      <c r="N202" s="11">
        <v>-12.4280240436825</v>
      </c>
      <c r="O202" s="11"/>
      <c r="P202" s="11"/>
      <c r="Q202" s="11"/>
      <c r="R202" s="11"/>
      <c r="S202" s="11"/>
      <c r="T202" s="12"/>
      <c r="U202" s="12">
        <f t="shared" si="129"/>
        <v>4</v>
      </c>
      <c r="V202" s="28">
        <f t="shared" ca="1" si="130"/>
        <v>5.84</v>
      </c>
      <c r="W202" s="28">
        <f t="shared" si="131"/>
        <v>1.7339002723384192E-2</v>
      </c>
      <c r="X202" s="12">
        <f t="shared" si="132"/>
        <v>9.5254447555411996</v>
      </c>
      <c r="Y202" s="12">
        <f t="shared" si="133"/>
        <v>9.5551543841402005</v>
      </c>
      <c r="Z202" s="12">
        <f t="shared" si="134"/>
        <v>9.5536883593624005</v>
      </c>
      <c r="AA202" s="12">
        <f t="shared" si="135"/>
        <v>9.5660880891302007</v>
      </c>
      <c r="AB202" s="12" t="str">
        <f t="shared" si="136"/>
        <v/>
      </c>
      <c r="AC202" s="12" t="str">
        <f t="shared" si="137"/>
        <v/>
      </c>
      <c r="AD202" s="12" t="str">
        <f t="shared" si="138"/>
        <v/>
      </c>
      <c r="AE202" s="12" t="str">
        <f t="shared" si="139"/>
        <v/>
      </c>
      <c r="AF202" s="12" t="str">
        <f t="shared" si="140"/>
        <v/>
      </c>
      <c r="AG202" s="12"/>
      <c r="AH202" s="12">
        <f t="shared" si="141"/>
        <v>10.8913577020395</v>
      </c>
      <c r="AI202" s="12">
        <f t="shared" si="142"/>
        <v>10.9210673306385</v>
      </c>
      <c r="AJ202" s="12">
        <f t="shared" si="143"/>
        <v>10.9196013058607</v>
      </c>
      <c r="AK202" s="12">
        <f t="shared" si="144"/>
        <v>10.932001035628501</v>
      </c>
      <c r="AL202" s="12" t="str">
        <f t="shared" si="145"/>
        <v/>
      </c>
      <c r="AM202" s="12" t="str">
        <f t="shared" si="146"/>
        <v/>
      </c>
      <c r="AN202" s="12" t="str">
        <f t="shared" si="147"/>
        <v/>
      </c>
      <c r="AO202" s="12" t="str">
        <f t="shared" si="148"/>
        <v/>
      </c>
      <c r="AP202" s="12" t="str">
        <f t="shared" si="149"/>
        <v/>
      </c>
    </row>
    <row r="203" spans="1:42">
      <c r="A203" s="9">
        <f t="shared" si="150"/>
        <v>43123.818252314813</v>
      </c>
      <c r="B203" s="22">
        <f t="shared" si="151"/>
        <v>2458142.3182523148</v>
      </c>
      <c r="C203" s="23">
        <f t="shared" si="152"/>
        <v>9.5493970750336246</v>
      </c>
      <c r="D203" s="24">
        <f t="shared" ca="1" si="153"/>
        <v>5.2501464187066943E-2</v>
      </c>
      <c r="E203" s="24">
        <f t="shared" si="154"/>
        <v>1.7979953488721556E-2</v>
      </c>
      <c r="F203" s="25">
        <f t="shared" si="155"/>
        <v>10.919468168654126</v>
      </c>
      <c r="G203" s="7">
        <v>43123.818252314813</v>
      </c>
      <c r="H203" s="11">
        <v>2458142.318252</v>
      </c>
      <c r="I203" s="11">
        <v>-12.7678063616275</v>
      </c>
      <c r="J203" s="11">
        <v>-11.397735268007001</v>
      </c>
      <c r="K203" s="11">
        <v>-13.7659444697863</v>
      </c>
      <c r="L203" s="11">
        <v>-12.637718294248</v>
      </c>
      <c r="M203" s="11">
        <v>-12.876754687540901</v>
      </c>
      <c r="N203" s="11">
        <v>-12.423396295069301</v>
      </c>
      <c r="O203" s="11"/>
      <c r="P203" s="11"/>
      <c r="Q203" s="11"/>
      <c r="R203" s="11"/>
      <c r="S203" s="11"/>
      <c r="T203" s="12"/>
      <c r="U203" s="12">
        <f t="shared" si="129"/>
        <v>4</v>
      </c>
      <c r="V203" s="28">
        <f t="shared" ca="1" si="130"/>
        <v>5.84</v>
      </c>
      <c r="W203" s="28">
        <f t="shared" si="131"/>
        <v>1.7979953488721556E-2</v>
      </c>
      <c r="X203" s="12">
        <f t="shared" si="132"/>
        <v>9.5241381081587999</v>
      </c>
      <c r="Y203" s="12">
        <f t="shared" si="133"/>
        <v>9.5489119326205003</v>
      </c>
      <c r="Z203" s="12">
        <f t="shared" si="134"/>
        <v>9.5619483259134004</v>
      </c>
      <c r="AA203" s="12">
        <f t="shared" si="135"/>
        <v>9.5625899334418012</v>
      </c>
      <c r="AB203" s="12" t="str">
        <f t="shared" si="136"/>
        <v/>
      </c>
      <c r="AC203" s="12" t="str">
        <f t="shared" si="137"/>
        <v/>
      </c>
      <c r="AD203" s="12" t="str">
        <f t="shared" si="138"/>
        <v/>
      </c>
      <c r="AE203" s="12" t="str">
        <f t="shared" si="139"/>
        <v/>
      </c>
      <c r="AF203" s="12" t="str">
        <f t="shared" si="140"/>
        <v/>
      </c>
      <c r="AG203" s="12"/>
      <c r="AH203" s="12">
        <f t="shared" si="141"/>
        <v>10.894209201779299</v>
      </c>
      <c r="AI203" s="12">
        <f t="shared" si="142"/>
        <v>10.918983026240999</v>
      </c>
      <c r="AJ203" s="12">
        <f t="shared" si="143"/>
        <v>10.9320194195339</v>
      </c>
      <c r="AK203" s="12">
        <f t="shared" si="144"/>
        <v>10.9326610270623</v>
      </c>
      <c r="AL203" s="12" t="str">
        <f t="shared" si="145"/>
        <v/>
      </c>
      <c r="AM203" s="12" t="str">
        <f t="shared" si="146"/>
        <v/>
      </c>
      <c r="AN203" s="12" t="str">
        <f t="shared" si="147"/>
        <v/>
      </c>
      <c r="AO203" s="12" t="str">
        <f t="shared" si="148"/>
        <v/>
      </c>
      <c r="AP203" s="12" t="str">
        <f t="shared" si="149"/>
        <v/>
      </c>
    </row>
    <row r="204" spans="1:42">
      <c r="A204" s="9">
        <f t="shared" si="150"/>
        <v>43123.818668981483</v>
      </c>
      <c r="B204" s="22">
        <f t="shared" si="151"/>
        <v>2458142.3186689815</v>
      </c>
      <c r="C204" s="23">
        <f t="shared" si="152"/>
        <v>9.5492414234136493</v>
      </c>
      <c r="D204" s="24">
        <f t="shared" ca="1" si="153"/>
        <v>5.1747060604598411E-2</v>
      </c>
      <c r="E204" s="24">
        <f t="shared" si="154"/>
        <v>1.7721596097465209E-2</v>
      </c>
      <c r="F204" s="25">
        <f t="shared" si="155"/>
        <v>10.926755132531348</v>
      </c>
      <c r="G204" s="7">
        <v>43123.818668981483</v>
      </c>
      <c r="H204" s="11">
        <v>2458142.3186690002</v>
      </c>
      <c r="I204" s="11">
        <v>-12.7668178022417</v>
      </c>
      <c r="J204" s="11">
        <v>-11.389304093124</v>
      </c>
      <c r="K204" s="11">
        <v>-13.764648268098099</v>
      </c>
      <c r="L204" s="11">
        <v>-12.6382076885891</v>
      </c>
      <c r="M204" s="11">
        <v>-12.874560056057099</v>
      </c>
      <c r="N204" s="11">
        <v>-12.4218208898771</v>
      </c>
      <c r="O204" s="11"/>
      <c r="P204" s="11"/>
      <c r="Q204" s="11"/>
      <c r="R204" s="11"/>
      <c r="S204" s="11"/>
      <c r="T204" s="12"/>
      <c r="U204" s="12">
        <f t="shared" si="129"/>
        <v>4</v>
      </c>
      <c r="V204" s="28">
        <f t="shared" ca="1" si="130"/>
        <v>5.84</v>
      </c>
      <c r="W204" s="28">
        <f t="shared" si="131"/>
        <v>1.7721596097465209E-2</v>
      </c>
      <c r="X204" s="12">
        <f t="shared" si="132"/>
        <v>9.523830465856399</v>
      </c>
      <c r="Y204" s="12">
        <f t="shared" si="133"/>
        <v>9.5503898863473999</v>
      </c>
      <c r="Z204" s="12">
        <f t="shared" si="134"/>
        <v>9.5607422538153983</v>
      </c>
      <c r="AA204" s="12">
        <f t="shared" si="135"/>
        <v>9.5620030876354001</v>
      </c>
      <c r="AB204" s="12" t="str">
        <f t="shared" si="136"/>
        <v/>
      </c>
      <c r="AC204" s="12" t="str">
        <f t="shared" si="137"/>
        <v/>
      </c>
      <c r="AD204" s="12" t="str">
        <f t="shared" si="138"/>
        <v/>
      </c>
      <c r="AE204" s="12" t="str">
        <f t="shared" si="139"/>
        <v/>
      </c>
      <c r="AF204" s="12" t="str">
        <f t="shared" si="140"/>
        <v/>
      </c>
      <c r="AG204" s="12"/>
      <c r="AH204" s="12">
        <f t="shared" si="141"/>
        <v>10.901344174974099</v>
      </c>
      <c r="AI204" s="12">
        <f t="shared" si="142"/>
        <v>10.9279035954651</v>
      </c>
      <c r="AJ204" s="12">
        <f t="shared" si="143"/>
        <v>10.938255962933098</v>
      </c>
      <c r="AK204" s="12">
        <f t="shared" si="144"/>
        <v>10.9395167967531</v>
      </c>
      <c r="AL204" s="12" t="str">
        <f t="shared" si="145"/>
        <v/>
      </c>
      <c r="AM204" s="12" t="str">
        <f t="shared" si="146"/>
        <v/>
      </c>
      <c r="AN204" s="12" t="str">
        <f t="shared" si="147"/>
        <v/>
      </c>
      <c r="AO204" s="12" t="str">
        <f t="shared" si="148"/>
        <v/>
      </c>
      <c r="AP204" s="12" t="str">
        <f t="shared" si="149"/>
        <v/>
      </c>
    </row>
    <row r="205" spans="1:42">
      <c r="A205" s="9">
        <f t="shared" si="150"/>
        <v>43123.819097222222</v>
      </c>
      <c r="B205" s="22">
        <f t="shared" si="151"/>
        <v>2458142.3190972223</v>
      </c>
      <c r="C205" s="23">
        <f t="shared" si="152"/>
        <v>9.5500083765714496</v>
      </c>
      <c r="D205" s="24">
        <f t="shared" ca="1" si="153"/>
        <v>4.6553536292519522E-2</v>
      </c>
      <c r="E205" s="24">
        <f t="shared" si="154"/>
        <v>1.5942991880999836E-2</v>
      </c>
      <c r="F205" s="25">
        <f t="shared" si="155"/>
        <v>10.91832823242585</v>
      </c>
      <c r="G205" s="7">
        <v>43123.819097222222</v>
      </c>
      <c r="H205" s="11">
        <v>2458142.3190970002</v>
      </c>
      <c r="I205" s="11">
        <v>-12.764569523578199</v>
      </c>
      <c r="J205" s="11">
        <v>-11.396249667723801</v>
      </c>
      <c r="K205" s="11">
        <v>-13.7647651046537</v>
      </c>
      <c r="L205" s="11">
        <v>-12.6445773374961</v>
      </c>
      <c r="M205" s="11">
        <v>-12.8674386040248</v>
      </c>
      <c r="N205" s="11">
        <v>-12.416530554424</v>
      </c>
      <c r="O205" s="11"/>
      <c r="P205" s="11"/>
      <c r="Q205" s="11"/>
      <c r="R205" s="11"/>
      <c r="S205" s="11"/>
      <c r="T205" s="12"/>
      <c r="U205" s="12">
        <f t="shared" si="129"/>
        <v>4</v>
      </c>
      <c r="V205" s="28">
        <f t="shared" ca="1" si="130"/>
        <v>5.84</v>
      </c>
      <c r="W205" s="28">
        <f t="shared" si="131"/>
        <v>1.5942991880999836E-2</v>
      </c>
      <c r="X205" s="12">
        <f t="shared" si="132"/>
        <v>9.5261955810755001</v>
      </c>
      <c r="Y205" s="12">
        <f t="shared" si="133"/>
        <v>9.5590078139179013</v>
      </c>
      <c r="Z205" s="12">
        <f t="shared" si="134"/>
        <v>9.5558690804466</v>
      </c>
      <c r="AA205" s="12">
        <f t="shared" si="135"/>
        <v>9.5589610308458006</v>
      </c>
      <c r="AB205" s="12" t="str">
        <f t="shared" si="136"/>
        <v/>
      </c>
      <c r="AC205" s="12" t="str">
        <f t="shared" si="137"/>
        <v/>
      </c>
      <c r="AD205" s="12" t="str">
        <f t="shared" si="138"/>
        <v/>
      </c>
      <c r="AE205" s="12" t="str">
        <f t="shared" si="139"/>
        <v/>
      </c>
      <c r="AF205" s="12" t="str">
        <f t="shared" si="140"/>
        <v/>
      </c>
      <c r="AG205" s="12"/>
      <c r="AH205" s="12">
        <f t="shared" si="141"/>
        <v>10.894515436929899</v>
      </c>
      <c r="AI205" s="12">
        <f t="shared" si="142"/>
        <v>10.9273276697723</v>
      </c>
      <c r="AJ205" s="12">
        <f t="shared" si="143"/>
        <v>10.924188936300999</v>
      </c>
      <c r="AK205" s="12">
        <f t="shared" si="144"/>
        <v>10.927280886700199</v>
      </c>
      <c r="AL205" s="12" t="str">
        <f t="shared" si="145"/>
        <v/>
      </c>
      <c r="AM205" s="12" t="str">
        <f t="shared" si="146"/>
        <v/>
      </c>
      <c r="AN205" s="12" t="str">
        <f t="shared" si="147"/>
        <v/>
      </c>
      <c r="AO205" s="12" t="str">
        <f t="shared" si="148"/>
        <v/>
      </c>
      <c r="AP205" s="12" t="str">
        <f t="shared" si="149"/>
        <v/>
      </c>
    </row>
    <row r="206" spans="1:42">
      <c r="A206" s="9">
        <f t="shared" si="150"/>
        <v>43123.819513888891</v>
      </c>
      <c r="B206" s="22">
        <f t="shared" si="151"/>
        <v>2458142.319513889</v>
      </c>
      <c r="C206" s="23">
        <f t="shared" si="152"/>
        <v>9.5509576678200254</v>
      </c>
      <c r="D206" s="24">
        <f t="shared" ca="1" si="153"/>
        <v>3.7268509464377167E-2</v>
      </c>
      <c r="E206" s="24">
        <f t="shared" si="154"/>
        <v>1.2763188172731907E-2</v>
      </c>
      <c r="F206" s="25">
        <f t="shared" si="155"/>
        <v>10.909754672330624</v>
      </c>
      <c r="G206" s="7">
        <v>43123.819513888891</v>
      </c>
      <c r="H206" s="11">
        <v>2458142.3195139999</v>
      </c>
      <c r="I206" s="11">
        <v>-12.765918837420299</v>
      </c>
      <c r="J206" s="11">
        <v>-11.4071218329097</v>
      </c>
      <c r="K206" s="11">
        <v>-13.772208356591401</v>
      </c>
      <c r="L206" s="11">
        <v>-12.643862204015001</v>
      </c>
      <c r="M206" s="11">
        <v>-12.8667575072228</v>
      </c>
      <c r="N206" s="11">
        <v>-12.4196779531321</v>
      </c>
      <c r="O206" s="11"/>
      <c r="P206" s="11"/>
      <c r="Q206" s="11"/>
      <c r="R206" s="11"/>
      <c r="S206" s="11"/>
      <c r="T206" s="12"/>
      <c r="U206" s="12">
        <f t="shared" si="129"/>
        <v>4</v>
      </c>
      <c r="V206" s="28">
        <f t="shared" ca="1" si="130"/>
        <v>5.84</v>
      </c>
      <c r="W206" s="28">
        <f t="shared" si="131"/>
        <v>1.2763188172731907E-2</v>
      </c>
      <c r="X206" s="12">
        <f t="shared" si="132"/>
        <v>9.5322895191711012</v>
      </c>
      <c r="Y206" s="12">
        <f t="shared" si="133"/>
        <v>9.5569433665947017</v>
      </c>
      <c r="Z206" s="12">
        <f t="shared" si="134"/>
        <v>9.5538386698025004</v>
      </c>
      <c r="AA206" s="12">
        <f t="shared" si="135"/>
        <v>9.5607591157118001</v>
      </c>
      <c r="AB206" s="12" t="str">
        <f t="shared" si="136"/>
        <v/>
      </c>
      <c r="AC206" s="12" t="str">
        <f t="shared" si="137"/>
        <v/>
      </c>
      <c r="AD206" s="12" t="str">
        <f t="shared" si="138"/>
        <v/>
      </c>
      <c r="AE206" s="12" t="str">
        <f t="shared" si="139"/>
        <v/>
      </c>
      <c r="AF206" s="12" t="str">
        <f t="shared" si="140"/>
        <v/>
      </c>
      <c r="AG206" s="12"/>
      <c r="AH206" s="12">
        <f t="shared" si="141"/>
        <v>10.8910865236817</v>
      </c>
      <c r="AI206" s="12">
        <f t="shared" si="142"/>
        <v>10.915740371105301</v>
      </c>
      <c r="AJ206" s="12">
        <f t="shared" si="143"/>
        <v>10.912635674313099</v>
      </c>
      <c r="AK206" s="12">
        <f t="shared" si="144"/>
        <v>10.919556120222399</v>
      </c>
      <c r="AL206" s="12" t="str">
        <f t="shared" si="145"/>
        <v/>
      </c>
      <c r="AM206" s="12" t="str">
        <f t="shared" si="146"/>
        <v/>
      </c>
      <c r="AN206" s="12" t="str">
        <f t="shared" si="147"/>
        <v/>
      </c>
      <c r="AO206" s="12" t="str">
        <f t="shared" si="148"/>
        <v/>
      </c>
      <c r="AP206" s="12" t="str">
        <f t="shared" si="149"/>
        <v/>
      </c>
    </row>
    <row r="207" spans="1:42">
      <c r="A207" s="9">
        <f t="shared" si="150"/>
        <v>43123.819930555554</v>
      </c>
      <c r="B207" s="22">
        <f t="shared" si="151"/>
        <v>2458142.3199305558</v>
      </c>
      <c r="C207" s="23">
        <f t="shared" si="152"/>
        <v>9.5559130391682245</v>
      </c>
      <c r="D207" s="24">
        <f t="shared" ca="1" si="153"/>
        <v>5.3369745948346509E-2</v>
      </c>
      <c r="E207" s="24">
        <f t="shared" si="154"/>
        <v>1.8277310256283052E-2</v>
      </c>
      <c r="F207" s="25">
        <f t="shared" si="155"/>
        <v>10.914573439750525</v>
      </c>
      <c r="G207" s="7">
        <v>43123.819930555554</v>
      </c>
      <c r="H207" s="11">
        <v>2458142.319931</v>
      </c>
      <c r="I207" s="11">
        <v>-12.7672135621177</v>
      </c>
      <c r="J207" s="11">
        <v>-11.4085531615354</v>
      </c>
      <c r="K207" s="11">
        <v>-13.769884783056201</v>
      </c>
      <c r="L207" s="11">
        <v>-12.6508907913391</v>
      </c>
      <c r="M207" s="11">
        <v>-12.878841825007999</v>
      </c>
      <c r="N207" s="11">
        <v>-12.427889005740401</v>
      </c>
      <c r="O207" s="11"/>
      <c r="P207" s="11"/>
      <c r="Q207" s="11"/>
      <c r="R207" s="11"/>
      <c r="S207" s="11"/>
      <c r="T207" s="12"/>
      <c r="U207" s="12">
        <f t="shared" si="129"/>
        <v>4</v>
      </c>
      <c r="V207" s="28">
        <f t="shared" ca="1" si="130"/>
        <v>5.84</v>
      </c>
      <c r="W207" s="28">
        <f t="shared" si="131"/>
        <v>1.8277310256283052E-2</v>
      </c>
      <c r="X207" s="12">
        <f t="shared" si="132"/>
        <v>9.5286712209385005</v>
      </c>
      <c r="Y207" s="12">
        <f t="shared" si="133"/>
        <v>9.5626772292214</v>
      </c>
      <c r="Z207" s="12">
        <f t="shared" si="134"/>
        <v>9.5646282628902988</v>
      </c>
      <c r="AA207" s="12">
        <f t="shared" si="135"/>
        <v>9.5676754436227007</v>
      </c>
      <c r="AB207" s="12" t="str">
        <f t="shared" si="136"/>
        <v/>
      </c>
      <c r="AC207" s="12" t="str">
        <f t="shared" si="137"/>
        <v/>
      </c>
      <c r="AD207" s="12" t="str">
        <f t="shared" si="138"/>
        <v/>
      </c>
      <c r="AE207" s="12" t="str">
        <f t="shared" si="139"/>
        <v/>
      </c>
      <c r="AF207" s="12" t="str">
        <f t="shared" si="140"/>
        <v/>
      </c>
      <c r="AG207" s="12"/>
      <c r="AH207" s="12">
        <f t="shared" si="141"/>
        <v>10.887331621520801</v>
      </c>
      <c r="AI207" s="12">
        <f t="shared" si="142"/>
        <v>10.9213376298037</v>
      </c>
      <c r="AJ207" s="12">
        <f t="shared" si="143"/>
        <v>10.923288663472599</v>
      </c>
      <c r="AK207" s="12">
        <f t="shared" si="144"/>
        <v>10.926335844205001</v>
      </c>
      <c r="AL207" s="12" t="str">
        <f t="shared" si="145"/>
        <v/>
      </c>
      <c r="AM207" s="12" t="str">
        <f t="shared" si="146"/>
        <v/>
      </c>
      <c r="AN207" s="12" t="str">
        <f t="shared" si="147"/>
        <v/>
      </c>
      <c r="AO207" s="12" t="str">
        <f t="shared" si="148"/>
        <v/>
      </c>
      <c r="AP207" s="12" t="str">
        <f t="shared" si="149"/>
        <v/>
      </c>
    </row>
    <row r="208" spans="1:42">
      <c r="A208" s="9">
        <f t="shared" si="150"/>
        <v>43123.820347222223</v>
      </c>
      <c r="B208" s="22">
        <f t="shared" si="151"/>
        <v>2458142.320347222</v>
      </c>
      <c r="C208" s="23">
        <f t="shared" si="152"/>
        <v>9.5657461121362743</v>
      </c>
      <c r="D208" s="24">
        <f t="shared" ca="1" si="153"/>
        <v>5.732983108250931E-2</v>
      </c>
      <c r="E208" s="24">
        <f t="shared" si="154"/>
        <v>1.9633503795379901E-2</v>
      </c>
      <c r="F208" s="25">
        <f t="shared" si="155"/>
        <v>10.921561476435576</v>
      </c>
      <c r="G208" s="7">
        <v>43123.820347222223</v>
      </c>
      <c r="H208" s="11">
        <v>2458142.3203469999</v>
      </c>
      <c r="I208" s="11">
        <v>-12.749942530227001</v>
      </c>
      <c r="J208" s="11">
        <v>-11.394127165927699</v>
      </c>
      <c r="K208" s="11">
        <v>-13.7617233793501</v>
      </c>
      <c r="L208" s="11">
        <v>-12.637378926989401</v>
      </c>
      <c r="M208" s="11">
        <v>-12.8753441023868</v>
      </c>
      <c r="N208" s="11">
        <v>-12.423308160726799</v>
      </c>
      <c r="O208" s="11"/>
      <c r="P208" s="11"/>
      <c r="Q208" s="11"/>
      <c r="R208" s="11"/>
      <c r="S208" s="11"/>
      <c r="T208" s="12"/>
      <c r="U208" s="12">
        <f t="shared" si="129"/>
        <v>4</v>
      </c>
      <c r="V208" s="28">
        <f t="shared" ca="1" si="130"/>
        <v>5.84</v>
      </c>
      <c r="W208" s="28">
        <f t="shared" si="131"/>
        <v>1.9633503795379901E-2</v>
      </c>
      <c r="X208" s="12">
        <f t="shared" si="132"/>
        <v>9.5377808491230986</v>
      </c>
      <c r="Y208" s="12">
        <f t="shared" si="133"/>
        <v>9.5664363967624002</v>
      </c>
      <c r="Z208" s="12">
        <f t="shared" si="134"/>
        <v>9.5784015721597981</v>
      </c>
      <c r="AA208" s="12">
        <f t="shared" si="135"/>
        <v>9.5803656304997986</v>
      </c>
      <c r="AB208" s="12" t="str">
        <f t="shared" si="136"/>
        <v/>
      </c>
      <c r="AC208" s="12" t="str">
        <f t="shared" si="137"/>
        <v/>
      </c>
      <c r="AD208" s="12" t="str">
        <f t="shared" si="138"/>
        <v/>
      </c>
      <c r="AE208" s="12" t="str">
        <f t="shared" si="139"/>
        <v/>
      </c>
      <c r="AF208" s="12" t="str">
        <f t="shared" si="140"/>
        <v/>
      </c>
      <c r="AG208" s="12"/>
      <c r="AH208" s="12">
        <f t="shared" si="141"/>
        <v>10.8935962134224</v>
      </c>
      <c r="AI208" s="12">
        <f t="shared" si="142"/>
        <v>10.922251761061702</v>
      </c>
      <c r="AJ208" s="12">
        <f t="shared" si="143"/>
        <v>10.9342169364591</v>
      </c>
      <c r="AK208" s="12">
        <f t="shared" si="144"/>
        <v>10.9361809947991</v>
      </c>
      <c r="AL208" s="12" t="str">
        <f t="shared" si="145"/>
        <v/>
      </c>
      <c r="AM208" s="12" t="str">
        <f t="shared" si="146"/>
        <v/>
      </c>
      <c r="AN208" s="12" t="str">
        <f t="shared" si="147"/>
        <v/>
      </c>
      <c r="AO208" s="12" t="str">
        <f t="shared" si="148"/>
        <v/>
      </c>
      <c r="AP208" s="12" t="str">
        <f t="shared" si="149"/>
        <v/>
      </c>
    </row>
    <row r="209" spans="1:42">
      <c r="A209" s="9">
        <f t="shared" si="150"/>
        <v>43123.820775462962</v>
      </c>
      <c r="B209" s="22">
        <f t="shared" si="151"/>
        <v>2458142.3207754628</v>
      </c>
      <c r="C209" s="23">
        <f t="shared" si="152"/>
        <v>9.5588979741210238</v>
      </c>
      <c r="D209" s="24">
        <f t="shared" ca="1" si="153"/>
        <v>5.4718572528562749E-2</v>
      </c>
      <c r="E209" s="24">
        <f t="shared" si="154"/>
        <v>1.8739237167316011E-2</v>
      </c>
      <c r="F209" s="25">
        <f t="shared" si="155"/>
        <v>10.919797083430025</v>
      </c>
      <c r="G209" s="7">
        <v>43123.820775462962</v>
      </c>
      <c r="H209" s="11">
        <v>2458142.3207749999</v>
      </c>
      <c r="I209" s="11">
        <v>-12.7629599835057</v>
      </c>
      <c r="J209" s="11">
        <v>-11.4020608741967</v>
      </c>
      <c r="K209" s="11">
        <v>-13.767793844321</v>
      </c>
      <c r="L209" s="11">
        <v>-12.6536729654503</v>
      </c>
      <c r="M209" s="11">
        <v>-12.8777585167183</v>
      </c>
      <c r="N209" s="11">
        <v>-12.423206504017299</v>
      </c>
      <c r="O209" s="11"/>
      <c r="P209" s="11"/>
      <c r="Q209" s="11"/>
      <c r="R209" s="11"/>
      <c r="S209" s="11"/>
      <c r="T209" s="12"/>
      <c r="U209" s="12">
        <f t="shared" si="129"/>
        <v>4</v>
      </c>
      <c r="V209" s="28">
        <f t="shared" ca="1" si="130"/>
        <v>5.84</v>
      </c>
      <c r="W209" s="28">
        <f t="shared" si="131"/>
        <v>1.8739237167316011E-2</v>
      </c>
      <c r="X209" s="12">
        <f t="shared" si="132"/>
        <v>9.5308338608152994</v>
      </c>
      <c r="Y209" s="12">
        <f t="shared" si="133"/>
        <v>9.5697129819445994</v>
      </c>
      <c r="Z209" s="12">
        <f t="shared" si="134"/>
        <v>9.5677985332125992</v>
      </c>
      <c r="AA209" s="12">
        <f t="shared" si="135"/>
        <v>9.5672465205115991</v>
      </c>
      <c r="AB209" s="12" t="str">
        <f t="shared" si="136"/>
        <v/>
      </c>
      <c r="AC209" s="12" t="str">
        <f t="shared" si="137"/>
        <v/>
      </c>
      <c r="AD209" s="12" t="str">
        <f t="shared" si="138"/>
        <v/>
      </c>
      <c r="AE209" s="12" t="str">
        <f t="shared" si="139"/>
        <v/>
      </c>
      <c r="AF209" s="12" t="str">
        <f t="shared" si="140"/>
        <v/>
      </c>
      <c r="AG209" s="12"/>
      <c r="AH209" s="12">
        <f t="shared" si="141"/>
        <v>10.8917329701243</v>
      </c>
      <c r="AI209" s="12">
        <f t="shared" si="142"/>
        <v>10.9306120912536</v>
      </c>
      <c r="AJ209" s="12">
        <f t="shared" si="143"/>
        <v>10.9286976425216</v>
      </c>
      <c r="AK209" s="12">
        <f t="shared" si="144"/>
        <v>10.9281456298206</v>
      </c>
      <c r="AL209" s="12" t="str">
        <f t="shared" si="145"/>
        <v/>
      </c>
      <c r="AM209" s="12" t="str">
        <f t="shared" si="146"/>
        <v/>
      </c>
      <c r="AN209" s="12" t="str">
        <f t="shared" si="147"/>
        <v/>
      </c>
      <c r="AO209" s="12" t="str">
        <f t="shared" si="148"/>
        <v/>
      </c>
      <c r="AP209" s="12" t="str">
        <f t="shared" si="149"/>
        <v/>
      </c>
    </row>
    <row r="210" spans="1:42">
      <c r="A210" s="9">
        <f t="shared" si="150"/>
        <v>43123.821192129632</v>
      </c>
      <c r="B210" s="22">
        <f t="shared" si="151"/>
        <v>2458142.3211921295</v>
      </c>
      <c r="C210" s="23">
        <f t="shared" si="152"/>
        <v>9.5535560329792251</v>
      </c>
      <c r="D210" s="24">
        <f t="shared" ca="1" si="153"/>
        <v>5.6650034904776346E-2</v>
      </c>
      <c r="E210" s="24">
        <f t="shared" si="154"/>
        <v>1.9400696885197379E-2</v>
      </c>
      <c r="F210" s="25">
        <f t="shared" si="155"/>
        <v>10.934764381406724</v>
      </c>
      <c r="G210" s="7">
        <v>43123.821192129632</v>
      </c>
      <c r="H210" s="11">
        <v>2458142.3211920001</v>
      </c>
      <c r="I210" s="11">
        <v>-12.7585008516358</v>
      </c>
      <c r="J210" s="11">
        <v>-11.377292503208301</v>
      </c>
      <c r="K210" s="11">
        <v>-13.759336064692601</v>
      </c>
      <c r="L210" s="11">
        <v>-12.6313329610776</v>
      </c>
      <c r="M210" s="11">
        <v>-12.871325378923499</v>
      </c>
      <c r="N210" s="11">
        <v>-12.4212331337664</v>
      </c>
      <c r="O210" s="11"/>
      <c r="P210" s="11"/>
      <c r="Q210" s="11"/>
      <c r="R210" s="11"/>
      <c r="S210" s="11"/>
      <c r="T210" s="12"/>
      <c r="U210" s="12">
        <f t="shared" si="129"/>
        <v>4</v>
      </c>
      <c r="V210" s="28">
        <f t="shared" ca="1" si="130"/>
        <v>5.84</v>
      </c>
      <c r="W210" s="28">
        <f t="shared" si="131"/>
        <v>1.9400696885197379E-2</v>
      </c>
      <c r="X210" s="12">
        <f t="shared" si="132"/>
        <v>9.5268352130568008</v>
      </c>
      <c r="Y210" s="12">
        <f t="shared" si="133"/>
        <v>9.5518321094418006</v>
      </c>
      <c r="Z210" s="12">
        <f t="shared" si="134"/>
        <v>9.5658245272876989</v>
      </c>
      <c r="AA210" s="12">
        <f t="shared" si="135"/>
        <v>9.5697322821305999</v>
      </c>
      <c r="AB210" s="12" t="str">
        <f t="shared" si="136"/>
        <v/>
      </c>
      <c r="AC210" s="12" t="str">
        <f t="shared" si="137"/>
        <v/>
      </c>
      <c r="AD210" s="12" t="str">
        <f t="shared" si="138"/>
        <v/>
      </c>
      <c r="AE210" s="12" t="str">
        <f t="shared" si="139"/>
        <v/>
      </c>
      <c r="AF210" s="12" t="str">
        <f t="shared" si="140"/>
        <v/>
      </c>
      <c r="AG210" s="12"/>
      <c r="AH210" s="12">
        <f t="shared" si="141"/>
        <v>10.9080435614843</v>
      </c>
      <c r="AI210" s="12">
        <f t="shared" si="142"/>
        <v>10.9330404578693</v>
      </c>
      <c r="AJ210" s="12">
        <f t="shared" si="143"/>
        <v>10.947032875715198</v>
      </c>
      <c r="AK210" s="12">
        <f t="shared" si="144"/>
        <v>10.950940630558099</v>
      </c>
      <c r="AL210" s="12" t="str">
        <f t="shared" si="145"/>
        <v/>
      </c>
      <c r="AM210" s="12" t="str">
        <f t="shared" si="146"/>
        <v/>
      </c>
      <c r="AN210" s="12" t="str">
        <f t="shared" si="147"/>
        <v/>
      </c>
      <c r="AO210" s="12" t="str">
        <f t="shared" si="148"/>
        <v/>
      </c>
      <c r="AP210" s="12" t="str">
        <f t="shared" si="149"/>
        <v/>
      </c>
    </row>
    <row r="211" spans="1:42">
      <c r="A211" s="9">
        <f t="shared" si="150"/>
        <v>43123.821620370371</v>
      </c>
      <c r="B211" s="22">
        <f t="shared" si="151"/>
        <v>2458142.3216203703</v>
      </c>
      <c r="C211" s="23">
        <f t="shared" si="152"/>
        <v>9.5732779248630742</v>
      </c>
      <c r="D211" s="24">
        <f t="shared" ca="1" si="153"/>
        <v>5.3013639001768087E-2</v>
      </c>
      <c r="E211" s="24">
        <f t="shared" si="154"/>
        <v>1.8155355822523318E-2</v>
      </c>
      <c r="F211" s="25">
        <f t="shared" si="155"/>
        <v>10.914526631094873</v>
      </c>
      <c r="G211" s="7">
        <v>43123.821620370371</v>
      </c>
      <c r="H211" s="11">
        <v>2458142.3216200001</v>
      </c>
      <c r="I211" s="11">
        <v>-12.746073346170601</v>
      </c>
      <c r="J211" s="11">
        <v>-11.4048246399388</v>
      </c>
      <c r="K211" s="11">
        <v>-13.767423069424799</v>
      </c>
      <c r="L211" s="11">
        <v>-12.641422541689099</v>
      </c>
      <c r="M211" s="11">
        <v>-12.8769772288922</v>
      </c>
      <c r="N211" s="11">
        <v>-12.4265822441286</v>
      </c>
      <c r="O211" s="11"/>
      <c r="P211" s="11"/>
      <c r="Q211" s="11"/>
      <c r="R211" s="11"/>
      <c r="S211" s="11"/>
      <c r="T211" s="12"/>
      <c r="U211" s="12">
        <f t="shared" si="129"/>
        <v>4</v>
      </c>
      <c r="V211" s="28">
        <f t="shared" ca="1" si="130"/>
        <v>5.84</v>
      </c>
      <c r="W211" s="28">
        <f t="shared" si="131"/>
        <v>1.8155355822523318E-2</v>
      </c>
      <c r="X211" s="12">
        <f t="shared" si="132"/>
        <v>9.5473497232541984</v>
      </c>
      <c r="Y211" s="12">
        <f t="shared" si="133"/>
        <v>9.5743491955184989</v>
      </c>
      <c r="Z211" s="12">
        <f t="shared" si="134"/>
        <v>9.5839038827215983</v>
      </c>
      <c r="AA211" s="12">
        <f t="shared" si="135"/>
        <v>9.5875088979579992</v>
      </c>
      <c r="AB211" s="12" t="str">
        <f t="shared" si="136"/>
        <v/>
      </c>
      <c r="AC211" s="12" t="str">
        <f t="shared" si="137"/>
        <v/>
      </c>
      <c r="AD211" s="12" t="str">
        <f t="shared" si="138"/>
        <v/>
      </c>
      <c r="AE211" s="12" t="str">
        <f t="shared" si="139"/>
        <v/>
      </c>
      <c r="AF211" s="12" t="str">
        <f t="shared" si="140"/>
        <v/>
      </c>
      <c r="AG211" s="12"/>
      <c r="AH211" s="12">
        <f t="shared" si="141"/>
        <v>10.888598429485999</v>
      </c>
      <c r="AI211" s="12">
        <f t="shared" si="142"/>
        <v>10.915597901750299</v>
      </c>
      <c r="AJ211" s="12">
        <f t="shared" si="143"/>
        <v>10.925152588953399</v>
      </c>
      <c r="AK211" s="12">
        <f t="shared" si="144"/>
        <v>10.9287576041898</v>
      </c>
      <c r="AL211" s="12" t="str">
        <f t="shared" si="145"/>
        <v/>
      </c>
      <c r="AM211" s="12" t="str">
        <f t="shared" si="146"/>
        <v/>
      </c>
      <c r="AN211" s="12" t="str">
        <f t="shared" si="147"/>
        <v/>
      </c>
      <c r="AO211" s="12" t="str">
        <f t="shared" si="148"/>
        <v/>
      </c>
      <c r="AP211" s="12" t="str">
        <f t="shared" si="149"/>
        <v/>
      </c>
    </row>
    <row r="212" spans="1:42">
      <c r="A212" s="9">
        <f t="shared" si="150"/>
        <v>43123.82203703704</v>
      </c>
      <c r="B212" s="22">
        <f t="shared" si="151"/>
        <v>2458142.322037037</v>
      </c>
      <c r="C212" s="23">
        <f t="shared" si="152"/>
        <v>9.560036131324976</v>
      </c>
      <c r="D212" s="24">
        <f t="shared" ca="1" si="153"/>
        <v>6.3370515034541511E-2</v>
      </c>
      <c r="E212" s="24">
        <f t="shared" si="154"/>
        <v>2.1702231176212849E-2</v>
      </c>
      <c r="F212" s="25">
        <f t="shared" si="155"/>
        <v>10.932778672535475</v>
      </c>
      <c r="G212" s="7">
        <v>43123.82203703704</v>
      </c>
      <c r="H212" s="11">
        <v>2458142.3220370002</v>
      </c>
      <c r="I212" s="11">
        <v>-12.758893831027599</v>
      </c>
      <c r="J212" s="11">
        <v>-11.3861512898171</v>
      </c>
      <c r="K212" s="11">
        <v>-13.7661388756199</v>
      </c>
      <c r="L212" s="11">
        <v>-12.637220272854499</v>
      </c>
      <c r="M212" s="11">
        <v>-12.8694396238572</v>
      </c>
      <c r="N212" s="11">
        <v>-12.4379210770787</v>
      </c>
      <c r="O212" s="11"/>
      <c r="P212" s="11"/>
      <c r="Q212" s="11"/>
      <c r="R212" s="11"/>
      <c r="S212" s="11"/>
      <c r="T212" s="12"/>
      <c r="U212" s="12">
        <f t="shared" si="129"/>
        <v>4</v>
      </c>
      <c r="V212" s="28">
        <f t="shared" ca="1" si="130"/>
        <v>5.84</v>
      </c>
      <c r="W212" s="28">
        <f t="shared" si="131"/>
        <v>2.1702231176212849E-2</v>
      </c>
      <c r="X212" s="12">
        <f t="shared" si="132"/>
        <v>9.5332450445923005</v>
      </c>
      <c r="Y212" s="12">
        <f t="shared" si="133"/>
        <v>9.5573264418269002</v>
      </c>
      <c r="Z212" s="12">
        <f t="shared" si="134"/>
        <v>9.5635457928296006</v>
      </c>
      <c r="AA212" s="12">
        <f t="shared" si="135"/>
        <v>9.5860272460511009</v>
      </c>
      <c r="AB212" s="12" t="str">
        <f t="shared" si="136"/>
        <v/>
      </c>
      <c r="AC212" s="12" t="str">
        <f t="shared" si="137"/>
        <v/>
      </c>
      <c r="AD212" s="12" t="str">
        <f t="shared" si="138"/>
        <v/>
      </c>
      <c r="AE212" s="12" t="str">
        <f t="shared" si="139"/>
        <v/>
      </c>
      <c r="AF212" s="12" t="str">
        <f t="shared" si="140"/>
        <v/>
      </c>
      <c r="AG212" s="12"/>
      <c r="AH212" s="12">
        <f t="shared" si="141"/>
        <v>10.9059875858028</v>
      </c>
      <c r="AI212" s="12">
        <f t="shared" si="142"/>
        <v>10.930068983037399</v>
      </c>
      <c r="AJ212" s="12">
        <f t="shared" si="143"/>
        <v>10.9362883340401</v>
      </c>
      <c r="AK212" s="12">
        <f t="shared" si="144"/>
        <v>10.9587697872616</v>
      </c>
      <c r="AL212" s="12" t="str">
        <f t="shared" si="145"/>
        <v/>
      </c>
      <c r="AM212" s="12" t="str">
        <f t="shared" si="146"/>
        <v/>
      </c>
      <c r="AN212" s="12" t="str">
        <f t="shared" si="147"/>
        <v/>
      </c>
      <c r="AO212" s="12" t="str">
        <f t="shared" si="148"/>
        <v/>
      </c>
      <c r="AP212" s="12" t="str">
        <f t="shared" si="149"/>
        <v/>
      </c>
    </row>
    <row r="213" spans="1:42">
      <c r="A213" s="9">
        <f t="shared" si="150"/>
        <v>43123.822453703702</v>
      </c>
      <c r="B213" s="22">
        <f t="shared" si="151"/>
        <v>2458142.3224537037</v>
      </c>
      <c r="C213" s="23">
        <f t="shared" si="152"/>
        <v>9.5724755424563739</v>
      </c>
      <c r="D213" s="24">
        <f t="shared" ca="1" si="153"/>
        <v>6.7136101541808074E-2</v>
      </c>
      <c r="E213" s="24">
        <f t="shared" si="154"/>
        <v>2.2991815596509615E-2</v>
      </c>
      <c r="F213" s="25">
        <f t="shared" si="155"/>
        <v>10.929874760706475</v>
      </c>
      <c r="G213" s="7">
        <v>43123.822453703702</v>
      </c>
      <c r="H213" s="11">
        <v>2458142.3224539999</v>
      </c>
      <c r="I213" s="11">
        <v>-12.7456316988787</v>
      </c>
      <c r="J213" s="11">
        <v>-11.3882324806286</v>
      </c>
      <c r="K213" s="11">
        <v>-13.7591154169183</v>
      </c>
      <c r="L213" s="11">
        <v>-12.6470729506414</v>
      </c>
      <c r="M213" s="11">
        <v>-12.869848409435001</v>
      </c>
      <c r="N213" s="11">
        <v>-12.431392188345599</v>
      </c>
      <c r="O213" s="11"/>
      <c r="P213" s="11"/>
      <c r="Q213" s="11"/>
      <c r="R213" s="11"/>
      <c r="S213" s="11"/>
      <c r="T213" s="12"/>
      <c r="U213" s="12">
        <f t="shared" si="129"/>
        <v>4</v>
      </c>
      <c r="V213" s="28">
        <f t="shared" ca="1" si="130"/>
        <v>5.84</v>
      </c>
      <c r="W213" s="28">
        <f t="shared" si="131"/>
        <v>2.2991815596509615E-2</v>
      </c>
      <c r="X213" s="12">
        <f t="shared" si="132"/>
        <v>9.5394837180395999</v>
      </c>
      <c r="Y213" s="12">
        <f t="shared" si="133"/>
        <v>9.5804412517627</v>
      </c>
      <c r="Z213" s="12">
        <f t="shared" si="134"/>
        <v>9.5772167105563</v>
      </c>
      <c r="AA213" s="12">
        <f t="shared" si="135"/>
        <v>9.5927604894668992</v>
      </c>
      <c r="AB213" s="12" t="str">
        <f t="shared" si="136"/>
        <v/>
      </c>
      <c r="AC213" s="12" t="str">
        <f t="shared" si="137"/>
        <v/>
      </c>
      <c r="AD213" s="12" t="str">
        <f t="shared" si="138"/>
        <v/>
      </c>
      <c r="AE213" s="12" t="str">
        <f t="shared" si="139"/>
        <v/>
      </c>
      <c r="AF213" s="12" t="str">
        <f t="shared" si="140"/>
        <v/>
      </c>
      <c r="AG213" s="12"/>
      <c r="AH213" s="12">
        <f t="shared" si="141"/>
        <v>10.8968829362897</v>
      </c>
      <c r="AI213" s="12">
        <f t="shared" si="142"/>
        <v>10.9378404700128</v>
      </c>
      <c r="AJ213" s="12">
        <f t="shared" si="143"/>
        <v>10.9346159288064</v>
      </c>
      <c r="AK213" s="12">
        <f t="shared" si="144"/>
        <v>10.950159707716999</v>
      </c>
      <c r="AL213" s="12" t="str">
        <f t="shared" si="145"/>
        <v/>
      </c>
      <c r="AM213" s="12" t="str">
        <f t="shared" si="146"/>
        <v/>
      </c>
      <c r="AN213" s="12" t="str">
        <f t="shared" si="147"/>
        <v/>
      </c>
      <c r="AO213" s="12" t="str">
        <f t="shared" si="148"/>
        <v/>
      </c>
      <c r="AP213" s="12" t="str">
        <f t="shared" si="149"/>
        <v/>
      </c>
    </row>
    <row r="214" spans="1:42">
      <c r="A214" s="9">
        <f t="shared" si="150"/>
        <v>43123.822870370372</v>
      </c>
      <c r="B214" s="22">
        <f t="shared" si="151"/>
        <v>2458142.3228703705</v>
      </c>
      <c r="C214" s="23">
        <f t="shared" si="152"/>
        <v>9.5736654540975756</v>
      </c>
      <c r="D214" s="24">
        <f t="shared" ca="1" si="153"/>
        <v>6.4951103886167039E-2</v>
      </c>
      <c r="E214" s="24">
        <f t="shared" si="154"/>
        <v>2.2243528728139398E-2</v>
      </c>
      <c r="F214" s="25">
        <f t="shared" si="155"/>
        <v>10.915607952136273</v>
      </c>
      <c r="G214" s="7">
        <v>43123.822870370372</v>
      </c>
      <c r="H214" s="11">
        <v>2458142.3228699998</v>
      </c>
      <c r="I214" s="11">
        <v>-12.7496942450913</v>
      </c>
      <c r="J214" s="11">
        <v>-11.4077517470526</v>
      </c>
      <c r="K214" s="11">
        <v>-13.767107633962</v>
      </c>
      <c r="L214" s="11">
        <v>-12.642054884875099</v>
      </c>
      <c r="M214" s="11">
        <v>-12.8825242060104</v>
      </c>
      <c r="N214" s="11">
        <v>-12.436752071908</v>
      </c>
      <c r="O214" s="11"/>
      <c r="P214" s="11"/>
      <c r="Q214" s="11"/>
      <c r="R214" s="11"/>
      <c r="S214" s="11"/>
      <c r="T214" s="12"/>
      <c r="U214" s="12">
        <f t="shared" si="129"/>
        <v>4</v>
      </c>
      <c r="V214" s="28">
        <f t="shared" ca="1" si="130"/>
        <v>5.84</v>
      </c>
      <c r="W214" s="28">
        <f t="shared" si="131"/>
        <v>2.2243528728139398E-2</v>
      </c>
      <c r="X214" s="12">
        <f t="shared" si="132"/>
        <v>9.5434133888707002</v>
      </c>
      <c r="Y214" s="12">
        <f t="shared" si="133"/>
        <v>9.5713606397837996</v>
      </c>
      <c r="Z214" s="12">
        <f t="shared" si="134"/>
        <v>9.5858299609190993</v>
      </c>
      <c r="AA214" s="12">
        <f t="shared" si="135"/>
        <v>9.5940578268166998</v>
      </c>
      <c r="AB214" s="12" t="str">
        <f t="shared" si="136"/>
        <v/>
      </c>
      <c r="AC214" s="12" t="str">
        <f t="shared" si="137"/>
        <v/>
      </c>
      <c r="AD214" s="12" t="str">
        <f t="shared" si="138"/>
        <v/>
      </c>
      <c r="AE214" s="12" t="str">
        <f t="shared" si="139"/>
        <v/>
      </c>
      <c r="AF214" s="12" t="str">
        <f t="shared" si="140"/>
        <v/>
      </c>
      <c r="AG214" s="12"/>
      <c r="AH214" s="12">
        <f t="shared" si="141"/>
        <v>10.8853558869094</v>
      </c>
      <c r="AI214" s="12">
        <f t="shared" si="142"/>
        <v>10.913303137822499</v>
      </c>
      <c r="AJ214" s="12">
        <f t="shared" si="143"/>
        <v>10.927772458957799</v>
      </c>
      <c r="AK214" s="12">
        <f t="shared" si="144"/>
        <v>10.936000324855399</v>
      </c>
      <c r="AL214" s="12" t="str">
        <f t="shared" si="145"/>
        <v/>
      </c>
      <c r="AM214" s="12" t="str">
        <f t="shared" si="146"/>
        <v/>
      </c>
      <c r="AN214" s="12" t="str">
        <f t="shared" si="147"/>
        <v/>
      </c>
      <c r="AO214" s="12" t="str">
        <f t="shared" si="148"/>
        <v/>
      </c>
      <c r="AP214" s="12" t="str">
        <f t="shared" si="149"/>
        <v/>
      </c>
    </row>
    <row r="215" spans="1:42">
      <c r="A215" s="9">
        <f t="shared" si="150"/>
        <v>43123.823298611111</v>
      </c>
      <c r="B215" s="22">
        <f t="shared" si="151"/>
        <v>2458142.3232986112</v>
      </c>
      <c r="C215" s="23">
        <f t="shared" si="152"/>
        <v>9.5701042913066008</v>
      </c>
      <c r="D215" s="24">
        <f t="shared" ca="1" si="153"/>
        <v>5.5920441135928277E-2</v>
      </c>
      <c r="E215" s="24">
        <f t="shared" si="154"/>
        <v>1.9150836005454891E-2</v>
      </c>
      <c r="F215" s="25">
        <f t="shared" si="155"/>
        <v>10.894747310386601</v>
      </c>
      <c r="G215" s="7">
        <v>43123.823298611111</v>
      </c>
      <c r="H215" s="11">
        <v>2458142.323299</v>
      </c>
      <c r="I215" s="11">
        <v>-12.748637049761999</v>
      </c>
      <c r="J215" s="11">
        <v>-11.423994030682</v>
      </c>
      <c r="K215" s="11">
        <v>-13.7648102127768</v>
      </c>
      <c r="L215" s="11">
        <v>-12.644164702293599</v>
      </c>
      <c r="M215" s="11">
        <v>-12.874013705486</v>
      </c>
      <c r="N215" s="11">
        <v>-12.426976743718001</v>
      </c>
      <c r="O215" s="11"/>
      <c r="P215" s="11"/>
      <c r="Q215" s="11"/>
      <c r="R215" s="11"/>
      <c r="S215" s="11"/>
      <c r="T215" s="12"/>
      <c r="U215" s="12">
        <f t="shared" si="129"/>
        <v>4</v>
      </c>
      <c r="V215" s="28">
        <f t="shared" ca="1" si="130"/>
        <v>5.84</v>
      </c>
      <c r="W215" s="28">
        <f t="shared" si="131"/>
        <v>1.9150836005454891E-2</v>
      </c>
      <c r="X215" s="12">
        <f t="shared" si="132"/>
        <v>9.5421731630147999</v>
      </c>
      <c r="Y215" s="12">
        <f t="shared" si="133"/>
        <v>9.5745276525316001</v>
      </c>
      <c r="Z215" s="12">
        <f t="shared" si="134"/>
        <v>9.578376655724</v>
      </c>
      <c r="AA215" s="12">
        <f t="shared" si="135"/>
        <v>9.5853396939560014</v>
      </c>
      <c r="AB215" s="12" t="str">
        <f t="shared" si="136"/>
        <v/>
      </c>
      <c r="AC215" s="12" t="str">
        <f t="shared" si="137"/>
        <v/>
      </c>
      <c r="AD215" s="12" t="str">
        <f t="shared" si="138"/>
        <v/>
      </c>
      <c r="AE215" s="12" t="str">
        <f t="shared" si="139"/>
        <v/>
      </c>
      <c r="AF215" s="12" t="str">
        <f t="shared" si="140"/>
        <v/>
      </c>
      <c r="AG215" s="12"/>
      <c r="AH215" s="12">
        <f t="shared" si="141"/>
        <v>10.8668161820948</v>
      </c>
      <c r="AI215" s="12">
        <f t="shared" si="142"/>
        <v>10.8991706716116</v>
      </c>
      <c r="AJ215" s="12">
        <f t="shared" si="143"/>
        <v>10.903019674804</v>
      </c>
      <c r="AK215" s="12">
        <f t="shared" si="144"/>
        <v>10.909982713036001</v>
      </c>
      <c r="AL215" s="12" t="str">
        <f t="shared" si="145"/>
        <v/>
      </c>
      <c r="AM215" s="12" t="str">
        <f t="shared" si="146"/>
        <v/>
      </c>
      <c r="AN215" s="12" t="str">
        <f t="shared" si="147"/>
        <v/>
      </c>
      <c r="AO215" s="12" t="str">
        <f t="shared" si="148"/>
        <v/>
      </c>
      <c r="AP215" s="12" t="str">
        <f t="shared" si="149"/>
        <v/>
      </c>
    </row>
    <row r="216" spans="1:42">
      <c r="A216" s="9">
        <f t="shared" si="150"/>
        <v>43123.82371527778</v>
      </c>
      <c r="B216" s="22">
        <f t="shared" si="151"/>
        <v>2458142.3237152779</v>
      </c>
      <c r="C216" s="23">
        <f t="shared" si="152"/>
        <v>9.5688307102455994</v>
      </c>
      <c r="D216" s="24">
        <f t="shared" ca="1" si="153"/>
        <v>4.4025381496010624E-2</v>
      </c>
      <c r="E216" s="24">
        <f t="shared" si="154"/>
        <v>1.5077185443839255E-2</v>
      </c>
      <c r="F216" s="25">
        <f t="shared" si="155"/>
        <v>10.9449845440893</v>
      </c>
      <c r="G216" s="7">
        <v>43123.82371527778</v>
      </c>
      <c r="H216" s="11">
        <v>2458142.3237149999</v>
      </c>
      <c r="I216" s="11">
        <v>-12.7478011345202</v>
      </c>
      <c r="J216" s="11">
        <v>-11.3716473006765</v>
      </c>
      <c r="K216" s="11">
        <v>-13.768041822399001</v>
      </c>
      <c r="L216" s="11">
        <v>-12.6457028832126</v>
      </c>
      <c r="M216" s="11">
        <v>-12.8716374411243</v>
      </c>
      <c r="N216" s="11">
        <v>-12.416145232327301</v>
      </c>
      <c r="O216" s="11"/>
      <c r="P216" s="11"/>
      <c r="Q216" s="11"/>
      <c r="R216" s="11"/>
      <c r="S216" s="11"/>
      <c r="T216" s="12"/>
      <c r="U216" s="12">
        <f t="shared" si="129"/>
        <v>4</v>
      </c>
      <c r="V216" s="28">
        <f t="shared" ca="1" si="130"/>
        <v>5.84</v>
      </c>
      <c r="W216" s="28">
        <f t="shared" si="131"/>
        <v>1.5077185443839255E-2</v>
      </c>
      <c r="X216" s="12">
        <f t="shared" si="132"/>
        <v>9.5462406878788002</v>
      </c>
      <c r="Y216" s="12">
        <f t="shared" si="133"/>
        <v>9.5769017486924</v>
      </c>
      <c r="Z216" s="12">
        <f t="shared" si="134"/>
        <v>9.5768363066040987</v>
      </c>
      <c r="AA216" s="12">
        <f t="shared" si="135"/>
        <v>9.5753440978071005</v>
      </c>
      <c r="AB216" s="12" t="str">
        <f t="shared" si="136"/>
        <v/>
      </c>
      <c r="AC216" s="12" t="str">
        <f t="shared" si="137"/>
        <v/>
      </c>
      <c r="AD216" s="12" t="str">
        <f t="shared" si="138"/>
        <v/>
      </c>
      <c r="AE216" s="12" t="str">
        <f t="shared" si="139"/>
        <v/>
      </c>
      <c r="AF216" s="12" t="str">
        <f t="shared" si="140"/>
        <v/>
      </c>
      <c r="AG216" s="12"/>
      <c r="AH216" s="12">
        <f t="shared" si="141"/>
        <v>10.9223945217225</v>
      </c>
      <c r="AI216" s="12">
        <f t="shared" si="142"/>
        <v>10.9530555825361</v>
      </c>
      <c r="AJ216" s="12">
        <f t="shared" si="143"/>
        <v>10.952990140447799</v>
      </c>
      <c r="AK216" s="12">
        <f t="shared" si="144"/>
        <v>10.951497931650801</v>
      </c>
      <c r="AL216" s="12" t="str">
        <f t="shared" si="145"/>
        <v/>
      </c>
      <c r="AM216" s="12" t="str">
        <f t="shared" si="146"/>
        <v/>
      </c>
      <c r="AN216" s="12" t="str">
        <f t="shared" si="147"/>
        <v/>
      </c>
      <c r="AO216" s="12" t="str">
        <f t="shared" si="148"/>
        <v/>
      </c>
      <c r="AP216" s="12" t="str">
        <f t="shared" si="149"/>
        <v/>
      </c>
    </row>
    <row r="217" spans="1:42">
      <c r="A217" s="9">
        <f t="shared" si="150"/>
        <v>43123.824131944442</v>
      </c>
      <c r="B217" s="22">
        <f t="shared" si="151"/>
        <v>2458142.3241319442</v>
      </c>
      <c r="C217" s="23">
        <f t="shared" si="152"/>
        <v>9.5758006401461007</v>
      </c>
      <c r="D217" s="24">
        <f t="shared" ca="1" si="153"/>
        <v>5.6977350822082162E-2</v>
      </c>
      <c r="E217" s="24">
        <f t="shared" si="154"/>
        <v>1.9512791377425398E-2</v>
      </c>
      <c r="F217" s="25">
        <f t="shared" si="155"/>
        <v>10.9262249887887</v>
      </c>
      <c r="G217" s="7">
        <v>43123.824131944442</v>
      </c>
      <c r="H217" s="11">
        <v>2458142.3241320001</v>
      </c>
      <c r="I217" s="11">
        <v>-12.7384760325281</v>
      </c>
      <c r="J217" s="11">
        <v>-11.3880516838855</v>
      </c>
      <c r="K217" s="11">
        <v>-13.7633122170188</v>
      </c>
      <c r="L217" s="11">
        <v>-12.6307788933668</v>
      </c>
      <c r="M217" s="11">
        <v>-12.8703165085492</v>
      </c>
      <c r="N217" s="11">
        <v>-12.427699071762</v>
      </c>
      <c r="O217" s="11"/>
      <c r="P217" s="11"/>
      <c r="Q217" s="11"/>
      <c r="R217" s="11"/>
      <c r="S217" s="11"/>
      <c r="T217" s="12"/>
      <c r="U217" s="12">
        <f t="shared" si="129"/>
        <v>4</v>
      </c>
      <c r="V217" s="28">
        <f t="shared" ca="1" si="130"/>
        <v>5.84</v>
      </c>
      <c r="W217" s="28">
        <f t="shared" si="131"/>
        <v>1.9512791377425398E-2</v>
      </c>
      <c r="X217" s="12">
        <f t="shared" si="132"/>
        <v>9.5508361844907004</v>
      </c>
      <c r="Y217" s="12">
        <f t="shared" si="133"/>
        <v>9.571302860838701</v>
      </c>
      <c r="Z217" s="12">
        <f t="shared" si="134"/>
        <v>9.5848404760210997</v>
      </c>
      <c r="AA217" s="12">
        <f t="shared" si="135"/>
        <v>9.5962230392338999</v>
      </c>
      <c r="AB217" s="12" t="str">
        <f t="shared" si="136"/>
        <v/>
      </c>
      <c r="AC217" s="12" t="str">
        <f t="shared" si="137"/>
        <v/>
      </c>
      <c r="AD217" s="12" t="str">
        <f t="shared" si="138"/>
        <v/>
      </c>
      <c r="AE217" s="12" t="str">
        <f t="shared" si="139"/>
        <v/>
      </c>
      <c r="AF217" s="12" t="str">
        <f t="shared" si="140"/>
        <v/>
      </c>
      <c r="AG217" s="12"/>
      <c r="AH217" s="12">
        <f t="shared" si="141"/>
        <v>10.9012605331333</v>
      </c>
      <c r="AI217" s="12">
        <f t="shared" si="142"/>
        <v>10.9217272094813</v>
      </c>
      <c r="AJ217" s="12">
        <f t="shared" si="143"/>
        <v>10.935264824663699</v>
      </c>
      <c r="AK217" s="12">
        <f t="shared" si="144"/>
        <v>10.946647387876499</v>
      </c>
      <c r="AL217" s="12" t="str">
        <f t="shared" si="145"/>
        <v/>
      </c>
      <c r="AM217" s="12" t="str">
        <f t="shared" si="146"/>
        <v/>
      </c>
      <c r="AN217" s="12" t="str">
        <f t="shared" si="147"/>
        <v/>
      </c>
      <c r="AO217" s="12" t="str">
        <f t="shared" si="148"/>
        <v/>
      </c>
      <c r="AP217" s="12" t="str">
        <f t="shared" si="149"/>
        <v/>
      </c>
    </row>
    <row r="218" spans="1:42">
      <c r="A218" s="9">
        <f t="shared" si="150"/>
        <v>43123.824560185189</v>
      </c>
      <c r="B218" s="22">
        <f t="shared" si="151"/>
        <v>2458142.324560185</v>
      </c>
      <c r="C218" s="23">
        <f t="shared" si="152"/>
        <v>9.5818543682075745</v>
      </c>
      <c r="D218" s="24">
        <f t="shared" ca="1" si="153"/>
        <v>5.2020833945238515E-2</v>
      </c>
      <c r="E218" s="24">
        <f t="shared" si="154"/>
        <v>1.7815354090835109E-2</v>
      </c>
      <c r="F218" s="25">
        <f t="shared" si="155"/>
        <v>10.915178768209776</v>
      </c>
      <c r="G218" s="7">
        <v>43123.824560185189</v>
      </c>
      <c r="H218" s="11">
        <v>2458142.3245600001</v>
      </c>
      <c r="I218" s="11">
        <v>-12.738602721021101</v>
      </c>
      <c r="J218" s="11">
        <v>-11.405278321018899</v>
      </c>
      <c r="K218" s="11">
        <v>-13.768137110261801</v>
      </c>
      <c r="L218" s="11">
        <v>-12.646917018490599</v>
      </c>
      <c r="M218" s="11">
        <v>-12.875433793175</v>
      </c>
      <c r="N218" s="11">
        <v>-12.426340434987299</v>
      </c>
      <c r="O218" s="11"/>
      <c r="P218" s="11"/>
      <c r="Q218" s="11"/>
      <c r="R218" s="11"/>
      <c r="S218" s="11"/>
      <c r="T218" s="12"/>
      <c r="U218" s="12">
        <f t="shared" si="129"/>
        <v>4</v>
      </c>
      <c r="V218" s="28">
        <f t="shared" ca="1" si="130"/>
        <v>5.84</v>
      </c>
      <c r="W218" s="28">
        <f t="shared" si="131"/>
        <v>1.7815354090835109E-2</v>
      </c>
      <c r="X218" s="12">
        <f t="shared" si="132"/>
        <v>9.5555343892406999</v>
      </c>
      <c r="Y218" s="12">
        <f t="shared" si="133"/>
        <v>9.5873142974694989</v>
      </c>
      <c r="Z218" s="12">
        <f t="shared" si="134"/>
        <v>9.5898310721538991</v>
      </c>
      <c r="AA218" s="12">
        <f t="shared" si="135"/>
        <v>9.5947377139661985</v>
      </c>
      <c r="AB218" s="12" t="str">
        <f t="shared" si="136"/>
        <v/>
      </c>
      <c r="AC218" s="12" t="str">
        <f t="shared" si="137"/>
        <v/>
      </c>
      <c r="AD218" s="12" t="str">
        <f t="shared" si="138"/>
        <v/>
      </c>
      <c r="AE218" s="12" t="str">
        <f t="shared" si="139"/>
        <v/>
      </c>
      <c r="AF218" s="12" t="str">
        <f t="shared" si="140"/>
        <v/>
      </c>
      <c r="AG218" s="12"/>
      <c r="AH218" s="12">
        <f t="shared" si="141"/>
        <v>10.888858789242901</v>
      </c>
      <c r="AI218" s="12">
        <f t="shared" si="142"/>
        <v>10.9206386974717</v>
      </c>
      <c r="AJ218" s="12">
        <f t="shared" si="143"/>
        <v>10.9231554721561</v>
      </c>
      <c r="AK218" s="12">
        <f t="shared" si="144"/>
        <v>10.9280621139684</v>
      </c>
      <c r="AL218" s="12" t="str">
        <f t="shared" si="145"/>
        <v/>
      </c>
      <c r="AM218" s="12" t="str">
        <f t="shared" si="146"/>
        <v/>
      </c>
      <c r="AN218" s="12" t="str">
        <f t="shared" si="147"/>
        <v/>
      </c>
      <c r="AO218" s="12" t="str">
        <f t="shared" si="148"/>
        <v/>
      </c>
      <c r="AP218" s="12" t="str">
        <f t="shared" si="149"/>
        <v/>
      </c>
    </row>
    <row r="219" spans="1:42">
      <c r="A219" s="9">
        <f t="shared" si="150"/>
        <v>43123.82571759259</v>
      </c>
      <c r="B219" s="22">
        <f t="shared" si="151"/>
        <v>2458142.3257175926</v>
      </c>
      <c r="C219" s="23">
        <f t="shared" si="152"/>
        <v>9.5787779858846509</v>
      </c>
      <c r="D219" s="24">
        <f t="shared" ca="1" si="153"/>
        <v>6.2025718799089385E-2</v>
      </c>
      <c r="E219" s="24">
        <f t="shared" si="154"/>
        <v>2.1241684520236091E-2</v>
      </c>
      <c r="F219" s="25">
        <f t="shared" si="155"/>
        <v>10.92524616054385</v>
      </c>
      <c r="G219" s="7">
        <v>43123.82571759259</v>
      </c>
      <c r="H219" s="11">
        <v>2458142.3257180001</v>
      </c>
      <c r="I219" s="11">
        <v>-12.739001211754999</v>
      </c>
      <c r="J219" s="11">
        <v>-11.3925330370958</v>
      </c>
      <c r="K219" s="11">
        <v>-13.761889874796299</v>
      </c>
      <c r="L219" s="11">
        <v>-12.642320847986401</v>
      </c>
      <c r="M219" s="11">
        <v>-12.885045729199501</v>
      </c>
      <c r="N219" s="11">
        <v>-12.4168603385764</v>
      </c>
      <c r="O219" s="11"/>
      <c r="P219" s="11"/>
      <c r="Q219" s="11"/>
      <c r="R219" s="11"/>
      <c r="S219" s="11"/>
      <c r="T219" s="12"/>
      <c r="U219" s="12">
        <f t="shared" si="129"/>
        <v>4</v>
      </c>
      <c r="V219" s="28">
        <f t="shared" ca="1" si="130"/>
        <v>5.84</v>
      </c>
      <c r="W219" s="28">
        <f t="shared" si="131"/>
        <v>2.1241684520236091E-2</v>
      </c>
      <c r="X219" s="12">
        <f t="shared" si="132"/>
        <v>9.5488886630412999</v>
      </c>
      <c r="Y219" s="12">
        <f t="shared" si="133"/>
        <v>9.5823196362314018</v>
      </c>
      <c r="Z219" s="12">
        <f t="shared" si="134"/>
        <v>9.5990445174445007</v>
      </c>
      <c r="AA219" s="12">
        <f t="shared" si="135"/>
        <v>9.5848591268214012</v>
      </c>
      <c r="AB219" s="12" t="str">
        <f t="shared" si="136"/>
        <v/>
      </c>
      <c r="AC219" s="12" t="str">
        <f t="shared" si="137"/>
        <v/>
      </c>
      <c r="AD219" s="12" t="str">
        <f t="shared" si="138"/>
        <v/>
      </c>
      <c r="AE219" s="12" t="str">
        <f t="shared" si="139"/>
        <v/>
      </c>
      <c r="AF219" s="12" t="str">
        <f t="shared" si="140"/>
        <v/>
      </c>
      <c r="AG219" s="12"/>
      <c r="AH219" s="12">
        <f t="shared" si="141"/>
        <v>10.895356837700499</v>
      </c>
      <c r="AI219" s="12">
        <f t="shared" si="142"/>
        <v>10.928787810890601</v>
      </c>
      <c r="AJ219" s="12">
        <f t="shared" si="143"/>
        <v>10.9455126921037</v>
      </c>
      <c r="AK219" s="12">
        <f t="shared" si="144"/>
        <v>10.9313273014806</v>
      </c>
      <c r="AL219" s="12" t="str">
        <f t="shared" si="145"/>
        <v/>
      </c>
      <c r="AM219" s="12" t="str">
        <f t="shared" si="146"/>
        <v/>
      </c>
      <c r="AN219" s="12" t="str">
        <f t="shared" si="147"/>
        <v/>
      </c>
      <c r="AO219" s="12" t="str">
        <f t="shared" si="148"/>
        <v/>
      </c>
      <c r="AP219" s="12" t="str">
        <f t="shared" si="149"/>
        <v/>
      </c>
    </row>
    <row r="220" spans="1:42">
      <c r="A220" s="9">
        <f t="shared" si="150"/>
        <v>43123.82613425926</v>
      </c>
      <c r="B220" s="22">
        <f t="shared" si="151"/>
        <v>2458142.3261342593</v>
      </c>
      <c r="C220" s="23">
        <f t="shared" si="152"/>
        <v>9.587241997290775</v>
      </c>
      <c r="D220" s="24">
        <f t="shared" ca="1" si="153"/>
        <v>4.7559995720759952E-2</v>
      </c>
      <c r="E220" s="24">
        <f t="shared" si="154"/>
        <v>1.6287669767383547E-2</v>
      </c>
      <c r="F220" s="25">
        <f t="shared" si="155"/>
        <v>10.942501349202775</v>
      </c>
      <c r="G220" s="7">
        <v>43123.82613425926</v>
      </c>
      <c r="H220" s="11">
        <v>2458142.326134</v>
      </c>
      <c r="I220" s="11">
        <v>-12.7392453567657</v>
      </c>
      <c r="J220" s="11">
        <v>-11.3839860048537</v>
      </c>
      <c r="K220" s="11">
        <v>-13.7769857357559</v>
      </c>
      <c r="L220" s="11">
        <v>-12.6492835097628</v>
      </c>
      <c r="M220" s="11">
        <v>-12.885880988996201</v>
      </c>
      <c r="N220" s="11">
        <v>-12.428799181711</v>
      </c>
      <c r="O220" s="11"/>
      <c r="P220" s="11"/>
      <c r="Q220" s="11"/>
      <c r="R220" s="11"/>
      <c r="S220" s="11"/>
      <c r="T220" s="12"/>
      <c r="U220" s="12">
        <f t="shared" si="129"/>
        <v>4</v>
      </c>
      <c r="V220" s="28">
        <f t="shared" ca="1" si="130"/>
        <v>5.84</v>
      </c>
      <c r="W220" s="28">
        <f t="shared" si="131"/>
        <v>1.6287669767383547E-2</v>
      </c>
      <c r="X220" s="12">
        <f t="shared" si="132"/>
        <v>9.5637403789902002</v>
      </c>
      <c r="Y220" s="12">
        <f t="shared" si="133"/>
        <v>9.5890381529970998</v>
      </c>
      <c r="Z220" s="12">
        <f t="shared" si="134"/>
        <v>9.5996356322305001</v>
      </c>
      <c r="AA220" s="12">
        <f t="shared" si="135"/>
        <v>9.5965538249452997</v>
      </c>
      <c r="AB220" s="12" t="str">
        <f t="shared" si="136"/>
        <v/>
      </c>
      <c r="AC220" s="12" t="str">
        <f t="shared" si="137"/>
        <v/>
      </c>
      <c r="AD220" s="12" t="str">
        <f t="shared" si="138"/>
        <v/>
      </c>
      <c r="AE220" s="12" t="str">
        <f t="shared" si="139"/>
        <v/>
      </c>
      <c r="AF220" s="12" t="str">
        <f t="shared" si="140"/>
        <v/>
      </c>
      <c r="AG220" s="12"/>
      <c r="AH220" s="12">
        <f t="shared" si="141"/>
        <v>10.9189997309022</v>
      </c>
      <c r="AI220" s="12">
        <f t="shared" si="142"/>
        <v>10.9442975049091</v>
      </c>
      <c r="AJ220" s="12">
        <f t="shared" si="143"/>
        <v>10.9548949841425</v>
      </c>
      <c r="AK220" s="12">
        <f t="shared" si="144"/>
        <v>10.9518131768573</v>
      </c>
      <c r="AL220" s="12" t="str">
        <f t="shared" si="145"/>
        <v/>
      </c>
      <c r="AM220" s="12" t="str">
        <f t="shared" si="146"/>
        <v/>
      </c>
      <c r="AN220" s="12" t="str">
        <f t="shared" si="147"/>
        <v/>
      </c>
      <c r="AO220" s="12" t="str">
        <f t="shared" si="148"/>
        <v/>
      </c>
      <c r="AP220" s="12" t="str">
        <f t="shared" si="149"/>
        <v/>
      </c>
    </row>
    <row r="221" spans="1:42">
      <c r="A221" s="9">
        <f t="shared" si="150"/>
        <v>43123.826562499999</v>
      </c>
      <c r="B221" s="22">
        <f t="shared" si="151"/>
        <v>2458142.3265625001</v>
      </c>
      <c r="C221" s="23">
        <f t="shared" si="152"/>
        <v>9.5911808957259996</v>
      </c>
      <c r="D221" s="24">
        <f t="shared" ca="1" si="153"/>
        <v>6.4296962822745676E-2</v>
      </c>
      <c r="E221" s="24">
        <f t="shared" si="154"/>
        <v>2.2019507816008796E-2</v>
      </c>
      <c r="F221" s="25">
        <f t="shared" si="155"/>
        <v>10.9343368548878</v>
      </c>
      <c r="G221" s="7">
        <v>43123.826562499999</v>
      </c>
      <c r="H221" s="11">
        <v>2458142.326562</v>
      </c>
      <c r="I221" s="11">
        <v>-12.7348886890189</v>
      </c>
      <c r="J221" s="11">
        <v>-11.3917327298571</v>
      </c>
      <c r="K221" s="11">
        <v>-13.767824716074299</v>
      </c>
      <c r="L221" s="11">
        <v>-12.651641234660699</v>
      </c>
      <c r="M221" s="11">
        <v>-12.884556607274</v>
      </c>
      <c r="N221" s="11">
        <v>-12.4352557809706</v>
      </c>
      <c r="O221" s="11"/>
      <c r="P221" s="11"/>
      <c r="Q221" s="11"/>
      <c r="R221" s="11"/>
      <c r="S221" s="11"/>
      <c r="T221" s="12"/>
      <c r="U221" s="12">
        <f t="shared" si="129"/>
        <v>4</v>
      </c>
      <c r="V221" s="28">
        <f t="shared" ca="1" si="130"/>
        <v>5.84</v>
      </c>
      <c r="W221" s="28">
        <f t="shared" si="131"/>
        <v>2.2019507816008796E-2</v>
      </c>
      <c r="X221" s="12">
        <f t="shared" si="132"/>
        <v>9.5589360270553989</v>
      </c>
      <c r="Y221" s="12">
        <f t="shared" si="133"/>
        <v>9.5957525456417994</v>
      </c>
      <c r="Z221" s="12">
        <f t="shared" si="134"/>
        <v>9.6026679182550989</v>
      </c>
      <c r="AA221" s="12">
        <f t="shared" si="135"/>
        <v>9.6073670919516996</v>
      </c>
      <c r="AB221" s="12" t="str">
        <f t="shared" si="136"/>
        <v/>
      </c>
      <c r="AC221" s="12" t="str">
        <f t="shared" si="137"/>
        <v/>
      </c>
      <c r="AD221" s="12" t="str">
        <f t="shared" si="138"/>
        <v/>
      </c>
      <c r="AE221" s="12" t="str">
        <f t="shared" si="139"/>
        <v/>
      </c>
      <c r="AF221" s="12" t="str">
        <f t="shared" si="140"/>
        <v/>
      </c>
      <c r="AG221" s="12"/>
      <c r="AH221" s="12">
        <f t="shared" si="141"/>
        <v>10.902091986217199</v>
      </c>
      <c r="AI221" s="12">
        <f t="shared" si="142"/>
        <v>10.938908504803599</v>
      </c>
      <c r="AJ221" s="12">
        <f t="shared" si="143"/>
        <v>10.945823877416899</v>
      </c>
      <c r="AK221" s="12">
        <f t="shared" si="144"/>
        <v>10.9505230511135</v>
      </c>
      <c r="AL221" s="12" t="str">
        <f t="shared" si="145"/>
        <v/>
      </c>
      <c r="AM221" s="12" t="str">
        <f t="shared" si="146"/>
        <v/>
      </c>
      <c r="AN221" s="12" t="str">
        <f t="shared" si="147"/>
        <v/>
      </c>
      <c r="AO221" s="12" t="str">
        <f t="shared" si="148"/>
        <v/>
      </c>
      <c r="AP221" s="12" t="str">
        <f t="shared" si="149"/>
        <v/>
      </c>
    </row>
    <row r="222" spans="1:42">
      <c r="A222" s="9">
        <f t="shared" si="150"/>
        <v>43123.826979166668</v>
      </c>
      <c r="B222" s="22">
        <f t="shared" si="151"/>
        <v>2458142.3269791668</v>
      </c>
      <c r="C222" s="23">
        <f t="shared" si="152"/>
        <v>9.5908634585443018</v>
      </c>
      <c r="D222" s="24">
        <f t="shared" ca="1" si="153"/>
        <v>4.1292446594064031E-2</v>
      </c>
      <c r="E222" s="24">
        <f t="shared" si="154"/>
        <v>1.4141248833583572E-2</v>
      </c>
      <c r="F222" s="25">
        <f t="shared" si="155"/>
        <v>10.924423024986099</v>
      </c>
      <c r="G222" s="7">
        <v>43123.826979166668</v>
      </c>
      <c r="H222" s="11">
        <v>2458142.3269790001</v>
      </c>
      <c r="I222" s="11">
        <v>-12.736427000109099</v>
      </c>
      <c r="J222" s="11">
        <v>-11.4028674336673</v>
      </c>
      <c r="K222" s="11">
        <v>-13.7808231273281</v>
      </c>
      <c r="L222" s="11">
        <v>-12.651511553234901</v>
      </c>
      <c r="M222" s="11">
        <v>-12.8862242652412</v>
      </c>
      <c r="N222" s="11">
        <v>-12.425602888809401</v>
      </c>
      <c r="O222" s="11"/>
      <c r="P222" s="11"/>
      <c r="Q222" s="11"/>
      <c r="R222" s="11"/>
      <c r="S222" s="11"/>
      <c r="T222" s="12"/>
      <c r="U222" s="12">
        <f t="shared" si="129"/>
        <v>4</v>
      </c>
      <c r="V222" s="28">
        <f t="shared" ca="1" si="130"/>
        <v>5.84</v>
      </c>
      <c r="W222" s="28">
        <f t="shared" si="131"/>
        <v>1.4141248833583572E-2</v>
      </c>
      <c r="X222" s="12">
        <f t="shared" si="132"/>
        <v>9.5703961272190003</v>
      </c>
      <c r="Y222" s="12">
        <f t="shared" si="133"/>
        <v>9.5940845531258017</v>
      </c>
      <c r="Z222" s="12">
        <f t="shared" si="134"/>
        <v>9.6027972651321001</v>
      </c>
      <c r="AA222" s="12">
        <f t="shared" si="135"/>
        <v>9.5961758887003015</v>
      </c>
      <c r="AB222" s="12" t="str">
        <f t="shared" si="136"/>
        <v/>
      </c>
      <c r="AC222" s="12" t="str">
        <f t="shared" si="137"/>
        <v/>
      </c>
      <c r="AD222" s="12" t="str">
        <f t="shared" si="138"/>
        <v/>
      </c>
      <c r="AE222" s="12" t="str">
        <f t="shared" si="139"/>
        <v/>
      </c>
      <c r="AF222" s="12" t="str">
        <f t="shared" si="140"/>
        <v/>
      </c>
      <c r="AG222" s="12"/>
      <c r="AH222" s="12">
        <f t="shared" si="141"/>
        <v>10.9039556936608</v>
      </c>
      <c r="AI222" s="12">
        <f t="shared" si="142"/>
        <v>10.927644119567601</v>
      </c>
      <c r="AJ222" s="12">
        <f t="shared" si="143"/>
        <v>10.936356831573899</v>
      </c>
      <c r="AK222" s="12">
        <f t="shared" si="144"/>
        <v>10.929735455142101</v>
      </c>
      <c r="AL222" s="12" t="str">
        <f t="shared" si="145"/>
        <v/>
      </c>
      <c r="AM222" s="12" t="str">
        <f t="shared" si="146"/>
        <v/>
      </c>
      <c r="AN222" s="12" t="str">
        <f t="shared" si="147"/>
        <v/>
      </c>
      <c r="AO222" s="12" t="str">
        <f t="shared" si="148"/>
        <v/>
      </c>
      <c r="AP222" s="12" t="str">
        <f t="shared" si="149"/>
        <v/>
      </c>
    </row>
    <row r="223" spans="1:42">
      <c r="A223" s="9">
        <f t="shared" si="150"/>
        <v>43123.827407407407</v>
      </c>
      <c r="B223" s="22">
        <f t="shared" si="151"/>
        <v>2458142.3274074076</v>
      </c>
      <c r="C223" s="23">
        <f t="shared" si="152"/>
        <v>9.5798502043616995</v>
      </c>
      <c r="D223" s="24">
        <f t="shared" ca="1" si="153"/>
        <v>5.3866562099932576E-2</v>
      </c>
      <c r="E223" s="24">
        <f t="shared" si="154"/>
        <v>1.8447452773949512E-2</v>
      </c>
      <c r="F223" s="25">
        <f t="shared" si="155"/>
        <v>10.9339813599971</v>
      </c>
      <c r="G223" s="7">
        <v>43123.827407407407</v>
      </c>
      <c r="H223" s="11">
        <v>2458142.3274070001</v>
      </c>
      <c r="I223" s="11">
        <v>-12.7502905487385</v>
      </c>
      <c r="J223" s="11">
        <v>-11.396159393103099</v>
      </c>
      <c r="K223" s="11">
        <v>-13.7773480822406</v>
      </c>
      <c r="L223" s="11">
        <v>-12.653598215284299</v>
      </c>
      <c r="M223" s="11">
        <v>-12.8899932000199</v>
      </c>
      <c r="N223" s="11">
        <v>-12.434623514856</v>
      </c>
      <c r="O223" s="11"/>
      <c r="P223" s="11"/>
      <c r="Q223" s="11"/>
      <c r="R223" s="11"/>
      <c r="S223" s="11"/>
      <c r="T223" s="12"/>
      <c r="U223" s="12">
        <f t="shared" si="129"/>
        <v>4</v>
      </c>
      <c r="V223" s="28">
        <f t="shared" ca="1" si="130"/>
        <v>5.84</v>
      </c>
      <c r="W223" s="28">
        <f t="shared" si="131"/>
        <v>1.8447452773949512E-2</v>
      </c>
      <c r="X223" s="12">
        <f t="shared" si="132"/>
        <v>9.5530575335021002</v>
      </c>
      <c r="Y223" s="12">
        <f t="shared" si="133"/>
        <v>9.5823076665458</v>
      </c>
      <c r="Z223" s="12">
        <f t="shared" si="134"/>
        <v>9.5927026512813995</v>
      </c>
      <c r="AA223" s="12">
        <f t="shared" si="135"/>
        <v>9.5913329661175002</v>
      </c>
      <c r="AB223" s="12" t="str">
        <f t="shared" si="136"/>
        <v/>
      </c>
      <c r="AC223" s="12" t="str">
        <f t="shared" si="137"/>
        <v/>
      </c>
      <c r="AD223" s="12" t="str">
        <f t="shared" si="138"/>
        <v/>
      </c>
      <c r="AE223" s="12" t="str">
        <f t="shared" si="139"/>
        <v/>
      </c>
      <c r="AF223" s="12" t="str">
        <f t="shared" si="140"/>
        <v/>
      </c>
      <c r="AG223" s="12"/>
      <c r="AH223" s="12">
        <f t="shared" si="141"/>
        <v>10.907188689137501</v>
      </c>
      <c r="AI223" s="12">
        <f t="shared" si="142"/>
        <v>10.9364388221812</v>
      </c>
      <c r="AJ223" s="12">
        <f t="shared" si="143"/>
        <v>10.9468338069168</v>
      </c>
      <c r="AK223" s="12">
        <f t="shared" si="144"/>
        <v>10.945464121752901</v>
      </c>
      <c r="AL223" s="12" t="str">
        <f t="shared" si="145"/>
        <v/>
      </c>
      <c r="AM223" s="12" t="str">
        <f t="shared" si="146"/>
        <v/>
      </c>
      <c r="AN223" s="12" t="str">
        <f t="shared" si="147"/>
        <v/>
      </c>
      <c r="AO223" s="12" t="str">
        <f t="shared" si="148"/>
        <v/>
      </c>
      <c r="AP223" s="12" t="str">
        <f t="shared" si="149"/>
        <v/>
      </c>
    </row>
    <row r="224" spans="1:42">
      <c r="A224" s="9">
        <f t="shared" si="150"/>
        <v>43123.827824074076</v>
      </c>
      <c r="B224" s="22">
        <f t="shared" si="151"/>
        <v>2458142.3278240738</v>
      </c>
      <c r="C224" s="23">
        <f t="shared" si="152"/>
        <v>9.5868633428874261</v>
      </c>
      <c r="D224" s="24">
        <f t="shared" ca="1" si="153"/>
        <v>4.37125440989765E-2</v>
      </c>
      <c r="E224" s="24">
        <f t="shared" si="154"/>
        <v>1.4970049348964556E-2</v>
      </c>
      <c r="F224" s="25">
        <f t="shared" si="155"/>
        <v>10.907590078326926</v>
      </c>
      <c r="G224" s="7">
        <v>43123.827824074076</v>
      </c>
      <c r="H224" s="11">
        <v>2458142.3278239998</v>
      </c>
      <c r="I224" s="11">
        <v>-12.733997775973</v>
      </c>
      <c r="J224" s="11">
        <v>-11.4132710405335</v>
      </c>
      <c r="K224" s="11">
        <v>-13.772982238977701</v>
      </c>
      <c r="L224" s="11">
        <v>-12.6522751536183</v>
      </c>
      <c r="M224" s="11">
        <v>-12.8704751852211</v>
      </c>
      <c r="N224" s="11">
        <v>-12.4227118976246</v>
      </c>
      <c r="O224" s="11"/>
      <c r="P224" s="11"/>
      <c r="Q224" s="11"/>
      <c r="R224" s="11"/>
      <c r="S224" s="11"/>
      <c r="T224" s="12"/>
      <c r="U224" s="12">
        <f t="shared" si="129"/>
        <v>4</v>
      </c>
      <c r="V224" s="28">
        <f t="shared" ca="1" si="130"/>
        <v>5.84</v>
      </c>
      <c r="W224" s="28">
        <f t="shared" si="131"/>
        <v>1.4970049348964556E-2</v>
      </c>
      <c r="X224" s="12">
        <f t="shared" si="132"/>
        <v>9.5649844630047003</v>
      </c>
      <c r="Y224" s="12">
        <f t="shared" si="133"/>
        <v>9.5972773776453</v>
      </c>
      <c r="Z224" s="12">
        <f t="shared" si="134"/>
        <v>9.589477409248099</v>
      </c>
      <c r="AA224" s="12">
        <f t="shared" si="135"/>
        <v>9.5957141216516</v>
      </c>
      <c r="AB224" s="12" t="str">
        <f t="shared" si="136"/>
        <v/>
      </c>
      <c r="AC224" s="12" t="str">
        <f t="shared" si="137"/>
        <v/>
      </c>
      <c r="AD224" s="12" t="str">
        <f t="shared" si="138"/>
        <v/>
      </c>
      <c r="AE224" s="12" t="str">
        <f t="shared" si="139"/>
        <v/>
      </c>
      <c r="AF224" s="12" t="str">
        <f t="shared" si="140"/>
        <v/>
      </c>
      <c r="AG224" s="12"/>
      <c r="AH224" s="12">
        <f t="shared" si="141"/>
        <v>10.8857111984442</v>
      </c>
      <c r="AI224" s="12">
        <f t="shared" si="142"/>
        <v>10.9180041130848</v>
      </c>
      <c r="AJ224" s="12">
        <f t="shared" si="143"/>
        <v>10.910204144687599</v>
      </c>
      <c r="AK224" s="12">
        <f t="shared" si="144"/>
        <v>10.9164408570911</v>
      </c>
      <c r="AL224" s="12" t="str">
        <f t="shared" si="145"/>
        <v/>
      </c>
      <c r="AM224" s="12" t="str">
        <f t="shared" si="146"/>
        <v/>
      </c>
      <c r="AN224" s="12" t="str">
        <f t="shared" si="147"/>
        <v/>
      </c>
      <c r="AO224" s="12" t="str">
        <f t="shared" si="148"/>
        <v/>
      </c>
      <c r="AP224" s="12" t="str">
        <f t="shared" si="149"/>
        <v/>
      </c>
    </row>
    <row r="225" spans="1:42">
      <c r="A225" s="9">
        <f t="shared" si="150"/>
        <v>43123.828240740739</v>
      </c>
      <c r="B225" s="22">
        <f t="shared" si="151"/>
        <v>2458142.3282407406</v>
      </c>
      <c r="C225" s="23">
        <f t="shared" si="152"/>
        <v>9.5810802366549996</v>
      </c>
      <c r="D225" s="24">
        <f t="shared" ca="1" si="153"/>
        <v>5.3264398463005888E-2</v>
      </c>
      <c r="E225" s="24">
        <f t="shared" si="154"/>
        <v>1.8241232350344482E-2</v>
      </c>
      <c r="F225" s="25">
        <f t="shared" si="155"/>
        <v>10.9099904682119</v>
      </c>
      <c r="G225" s="7">
        <v>43123.828240740739</v>
      </c>
      <c r="H225" s="11">
        <v>2458142.328241</v>
      </c>
      <c r="I225" s="11">
        <v>-12.7385884781024</v>
      </c>
      <c r="J225" s="11">
        <v>-11.4096782465455</v>
      </c>
      <c r="K225" s="11">
        <v>-13.7667015378555</v>
      </c>
      <c r="L225" s="11">
        <v>-12.6508037411533</v>
      </c>
      <c r="M225" s="11">
        <v>-12.878733052442399</v>
      </c>
      <c r="N225" s="11">
        <v>-12.417436527578401</v>
      </c>
      <c r="O225" s="11"/>
      <c r="P225" s="11"/>
      <c r="Q225" s="11"/>
      <c r="R225" s="11"/>
      <c r="S225" s="11"/>
      <c r="T225" s="12"/>
      <c r="U225" s="12">
        <f t="shared" si="129"/>
        <v>4</v>
      </c>
      <c r="V225" s="28">
        <f t="shared" ca="1" si="130"/>
        <v>5.84</v>
      </c>
      <c r="W225" s="28">
        <f t="shared" si="131"/>
        <v>1.8241232350344482E-2</v>
      </c>
      <c r="X225" s="12">
        <f t="shared" si="132"/>
        <v>9.5541130597530994</v>
      </c>
      <c r="Y225" s="12">
        <f t="shared" si="133"/>
        <v>9.5912152630509002</v>
      </c>
      <c r="Z225" s="12">
        <f t="shared" si="134"/>
        <v>9.5931445743399983</v>
      </c>
      <c r="AA225" s="12">
        <f t="shared" si="135"/>
        <v>9.5858480494760006</v>
      </c>
      <c r="AB225" s="12" t="str">
        <f t="shared" si="136"/>
        <v/>
      </c>
      <c r="AC225" s="12" t="str">
        <f t="shared" si="137"/>
        <v/>
      </c>
      <c r="AD225" s="12" t="str">
        <f t="shared" si="138"/>
        <v/>
      </c>
      <c r="AE225" s="12" t="str">
        <f t="shared" si="139"/>
        <v/>
      </c>
      <c r="AF225" s="12" t="str">
        <f t="shared" si="140"/>
        <v/>
      </c>
      <c r="AG225" s="12"/>
      <c r="AH225" s="12">
        <f t="shared" si="141"/>
        <v>10.88302329131</v>
      </c>
      <c r="AI225" s="12">
        <f t="shared" si="142"/>
        <v>10.920125494607801</v>
      </c>
      <c r="AJ225" s="12">
        <f t="shared" si="143"/>
        <v>10.922054805896899</v>
      </c>
      <c r="AK225" s="12">
        <f t="shared" si="144"/>
        <v>10.914758281032901</v>
      </c>
      <c r="AL225" s="12" t="str">
        <f t="shared" si="145"/>
        <v/>
      </c>
      <c r="AM225" s="12" t="str">
        <f t="shared" si="146"/>
        <v/>
      </c>
      <c r="AN225" s="12" t="str">
        <f t="shared" si="147"/>
        <v/>
      </c>
      <c r="AO225" s="12" t="str">
        <f t="shared" si="148"/>
        <v/>
      </c>
      <c r="AP225" s="12" t="str">
        <f t="shared" si="149"/>
        <v/>
      </c>
    </row>
    <row r="226" spans="1:42">
      <c r="A226" s="9">
        <f t="shared" si="150"/>
        <v>43123.828668981485</v>
      </c>
      <c r="B226" s="22">
        <f t="shared" si="151"/>
        <v>2458142.3286689813</v>
      </c>
      <c r="C226" s="23">
        <f t="shared" si="152"/>
        <v>9.5894645021353497</v>
      </c>
      <c r="D226" s="24">
        <f t="shared" ca="1" si="153"/>
        <v>4.3884149580124522E-2</v>
      </c>
      <c r="E226" s="24">
        <f t="shared" si="154"/>
        <v>1.5028818349357712E-2</v>
      </c>
      <c r="F226" s="25">
        <f t="shared" si="155"/>
        <v>10.92655753608885</v>
      </c>
      <c r="G226" s="7">
        <v>43123.828668981485</v>
      </c>
      <c r="H226" s="11">
        <v>2458142.328669</v>
      </c>
      <c r="I226" s="11">
        <v>-12.7261478266003</v>
      </c>
      <c r="J226" s="11">
        <v>-11.3890547926468</v>
      </c>
      <c r="K226" s="11">
        <v>-13.7675317479678</v>
      </c>
      <c r="L226" s="11">
        <v>-12.643933069808501</v>
      </c>
      <c r="M226" s="11">
        <v>-12.8662825038398</v>
      </c>
      <c r="N226" s="11">
        <v>-12.4197019933265</v>
      </c>
      <c r="O226" s="11"/>
      <c r="P226" s="11"/>
      <c r="Q226" s="11"/>
      <c r="R226" s="11"/>
      <c r="S226" s="11"/>
      <c r="T226" s="12"/>
      <c r="U226" s="12">
        <f t="shared" si="129"/>
        <v>4</v>
      </c>
      <c r="V226" s="28">
        <f t="shared" ca="1" si="130"/>
        <v>5.84</v>
      </c>
      <c r="W226" s="28">
        <f t="shared" si="131"/>
        <v>1.5028818349357712E-2</v>
      </c>
      <c r="X226" s="12">
        <f t="shared" si="132"/>
        <v>9.5673839213674992</v>
      </c>
      <c r="Y226" s="12">
        <f t="shared" si="133"/>
        <v>9.5967852432082008</v>
      </c>
      <c r="Z226" s="12">
        <f t="shared" si="134"/>
        <v>9.5931346772394992</v>
      </c>
      <c r="AA226" s="12">
        <f t="shared" si="135"/>
        <v>9.6005541667261998</v>
      </c>
      <c r="AB226" s="12" t="str">
        <f t="shared" si="136"/>
        <v/>
      </c>
      <c r="AC226" s="12" t="str">
        <f t="shared" si="137"/>
        <v/>
      </c>
      <c r="AD226" s="12" t="str">
        <f t="shared" si="138"/>
        <v/>
      </c>
      <c r="AE226" s="12" t="str">
        <f t="shared" si="139"/>
        <v/>
      </c>
      <c r="AF226" s="12" t="str">
        <f t="shared" si="140"/>
        <v/>
      </c>
      <c r="AG226" s="12"/>
      <c r="AH226" s="12">
        <f t="shared" si="141"/>
        <v>10.904476955321</v>
      </c>
      <c r="AI226" s="12">
        <f t="shared" si="142"/>
        <v>10.933878277161702</v>
      </c>
      <c r="AJ226" s="12">
        <f t="shared" si="143"/>
        <v>10.930227711193</v>
      </c>
      <c r="AK226" s="12">
        <f t="shared" si="144"/>
        <v>10.937647200679701</v>
      </c>
      <c r="AL226" s="12" t="str">
        <f t="shared" si="145"/>
        <v/>
      </c>
      <c r="AM226" s="12" t="str">
        <f t="shared" si="146"/>
        <v/>
      </c>
      <c r="AN226" s="12" t="str">
        <f t="shared" si="147"/>
        <v/>
      </c>
      <c r="AO226" s="12" t="str">
        <f t="shared" si="148"/>
        <v/>
      </c>
      <c r="AP226" s="12" t="str">
        <f t="shared" si="149"/>
        <v/>
      </c>
    </row>
    <row r="227" spans="1:42">
      <c r="A227" s="9">
        <f t="shared" si="150"/>
        <v>43123.829085648147</v>
      </c>
      <c r="B227" s="22">
        <f t="shared" si="151"/>
        <v>2458142.3290856481</v>
      </c>
      <c r="C227" s="23">
        <f t="shared" si="152"/>
        <v>9.5961115892150257</v>
      </c>
      <c r="D227" s="24">
        <f t="shared" ca="1" si="153"/>
        <v>4.7804524032202818E-2</v>
      </c>
      <c r="E227" s="24">
        <f t="shared" si="154"/>
        <v>1.6371412339795485E-2</v>
      </c>
      <c r="F227" s="25">
        <f t="shared" si="155"/>
        <v>10.943111889477226</v>
      </c>
      <c r="G227" s="7">
        <v>43123.829085648147</v>
      </c>
      <c r="H227" s="11">
        <v>2458142.3290860001</v>
      </c>
      <c r="I227" s="11">
        <v>-12.7257700666351</v>
      </c>
      <c r="J227" s="11">
        <v>-11.378769766372899</v>
      </c>
      <c r="K227" s="11">
        <v>-13.7752636503769</v>
      </c>
      <c r="L227" s="11">
        <v>-12.6587650189455</v>
      </c>
      <c r="M227" s="11">
        <v>-12.8788475832883</v>
      </c>
      <c r="N227" s="11">
        <v>-12.4096503707898</v>
      </c>
      <c r="O227" s="11"/>
      <c r="P227" s="11"/>
      <c r="Q227" s="11"/>
      <c r="R227" s="11"/>
      <c r="S227" s="11"/>
      <c r="T227" s="12"/>
      <c r="U227" s="12">
        <f t="shared" si="129"/>
        <v>4</v>
      </c>
      <c r="V227" s="28">
        <f t="shared" ca="1" si="130"/>
        <v>5.84</v>
      </c>
      <c r="W227" s="28">
        <f t="shared" si="131"/>
        <v>1.6371412339795485E-2</v>
      </c>
      <c r="X227" s="12">
        <f t="shared" si="132"/>
        <v>9.5754935837417996</v>
      </c>
      <c r="Y227" s="12">
        <f t="shared" si="133"/>
        <v>9.6119949523104005</v>
      </c>
      <c r="Z227" s="12">
        <f t="shared" si="134"/>
        <v>9.6060775166531993</v>
      </c>
      <c r="AA227" s="12">
        <f t="shared" si="135"/>
        <v>9.5908803041546999</v>
      </c>
      <c r="AB227" s="12" t="str">
        <f t="shared" si="136"/>
        <v/>
      </c>
      <c r="AC227" s="12" t="str">
        <f t="shared" si="137"/>
        <v/>
      </c>
      <c r="AD227" s="12" t="str">
        <f t="shared" si="138"/>
        <v/>
      </c>
      <c r="AE227" s="12" t="str">
        <f t="shared" si="139"/>
        <v/>
      </c>
      <c r="AF227" s="12" t="str">
        <f t="shared" si="140"/>
        <v/>
      </c>
      <c r="AG227" s="12"/>
      <c r="AH227" s="12">
        <f t="shared" si="141"/>
        <v>10.922493884004</v>
      </c>
      <c r="AI227" s="12">
        <f t="shared" si="142"/>
        <v>10.958995252572601</v>
      </c>
      <c r="AJ227" s="12">
        <f t="shared" si="143"/>
        <v>10.9530778169154</v>
      </c>
      <c r="AK227" s="12">
        <f t="shared" si="144"/>
        <v>10.9378806044169</v>
      </c>
      <c r="AL227" s="12" t="str">
        <f t="shared" si="145"/>
        <v/>
      </c>
      <c r="AM227" s="12" t="str">
        <f t="shared" si="146"/>
        <v/>
      </c>
      <c r="AN227" s="12" t="str">
        <f t="shared" si="147"/>
        <v/>
      </c>
      <c r="AO227" s="12" t="str">
        <f t="shared" si="148"/>
        <v/>
      </c>
      <c r="AP227" s="12" t="str">
        <f t="shared" si="149"/>
        <v/>
      </c>
    </row>
    <row r="228" spans="1:42">
      <c r="A228" s="9">
        <f t="shared" si="150"/>
        <v>43123.829502314817</v>
      </c>
      <c r="B228" s="22">
        <f t="shared" si="151"/>
        <v>2458142.3295023148</v>
      </c>
      <c r="C228" s="23">
        <f t="shared" si="152"/>
        <v>9.5890071434745998</v>
      </c>
      <c r="D228" s="24">
        <f t="shared" ca="1" si="153"/>
        <v>5.1791172736840516E-2</v>
      </c>
      <c r="E228" s="24">
        <f t="shared" si="154"/>
        <v>1.773670299206867E-2</v>
      </c>
      <c r="F228" s="25">
        <f t="shared" si="155"/>
        <v>10.929919454311001</v>
      </c>
      <c r="G228" s="7">
        <v>43123.829502314817</v>
      </c>
      <c r="H228" s="11">
        <v>2458142.329502</v>
      </c>
      <c r="I228" s="11">
        <v>-12.736489518713199</v>
      </c>
      <c r="J228" s="11">
        <v>-11.3955772078768</v>
      </c>
      <c r="K228" s="11">
        <v>-13.778943234877101</v>
      </c>
      <c r="L228" s="11">
        <v>-12.638195032009801</v>
      </c>
      <c r="M228" s="11">
        <v>-12.882675409346801</v>
      </c>
      <c r="N228" s="11">
        <v>-12.4371729725175</v>
      </c>
      <c r="O228" s="11"/>
      <c r="P228" s="11"/>
      <c r="Q228" s="11"/>
      <c r="R228" s="11"/>
      <c r="S228" s="11"/>
      <c r="T228" s="12"/>
      <c r="U228" s="12">
        <f t="shared" si="129"/>
        <v>4</v>
      </c>
      <c r="V228" s="28">
        <f t="shared" ca="1" si="130"/>
        <v>5.84</v>
      </c>
      <c r="W228" s="28">
        <f t="shared" si="131"/>
        <v>1.773670299206867E-2</v>
      </c>
      <c r="X228" s="12">
        <f t="shared" si="132"/>
        <v>9.5684537161639014</v>
      </c>
      <c r="Y228" s="12">
        <f t="shared" si="133"/>
        <v>9.5807055132966017</v>
      </c>
      <c r="Z228" s="12">
        <f t="shared" si="134"/>
        <v>9.5991858906336009</v>
      </c>
      <c r="AA228" s="12">
        <f t="shared" si="135"/>
        <v>9.6076834538043006</v>
      </c>
      <c r="AB228" s="12" t="str">
        <f t="shared" si="136"/>
        <v/>
      </c>
      <c r="AC228" s="12" t="str">
        <f t="shared" si="137"/>
        <v/>
      </c>
      <c r="AD228" s="12" t="str">
        <f t="shared" si="138"/>
        <v/>
      </c>
      <c r="AE228" s="12" t="str">
        <f t="shared" si="139"/>
        <v/>
      </c>
      <c r="AF228" s="12" t="str">
        <f t="shared" si="140"/>
        <v/>
      </c>
      <c r="AG228" s="12"/>
      <c r="AH228" s="12">
        <f t="shared" si="141"/>
        <v>10.909366027000301</v>
      </c>
      <c r="AI228" s="12">
        <f t="shared" si="142"/>
        <v>10.921617824133001</v>
      </c>
      <c r="AJ228" s="12">
        <f t="shared" si="143"/>
        <v>10.940098201470001</v>
      </c>
      <c r="AK228" s="12">
        <f t="shared" si="144"/>
        <v>10.9485957646407</v>
      </c>
      <c r="AL228" s="12" t="str">
        <f t="shared" si="145"/>
        <v/>
      </c>
      <c r="AM228" s="12" t="str">
        <f t="shared" si="146"/>
        <v/>
      </c>
      <c r="AN228" s="12" t="str">
        <f t="shared" si="147"/>
        <v/>
      </c>
      <c r="AO228" s="12" t="str">
        <f t="shared" si="148"/>
        <v/>
      </c>
      <c r="AP228" s="12" t="str">
        <f t="shared" si="149"/>
        <v/>
      </c>
    </row>
    <row r="229" spans="1:42">
      <c r="A229" s="9">
        <f t="shared" si="150"/>
        <v>43123.829930555556</v>
      </c>
      <c r="B229" s="22">
        <f t="shared" si="151"/>
        <v>2458142.3299305555</v>
      </c>
      <c r="C229" s="23">
        <f t="shared" si="152"/>
        <v>9.5912126338953243</v>
      </c>
      <c r="D229" s="24">
        <f t="shared" ca="1" si="153"/>
        <v>5.2121645551498841E-2</v>
      </c>
      <c r="E229" s="24">
        <f t="shared" si="154"/>
        <v>1.7849878613527E-2</v>
      </c>
      <c r="F229" s="25">
        <f t="shared" si="155"/>
        <v>10.924331919097725</v>
      </c>
      <c r="G229" s="7">
        <v>43123.829930555556</v>
      </c>
      <c r="H229" s="11">
        <v>2458142.3299309998</v>
      </c>
      <c r="I229" s="11">
        <v>-12.7252849501652</v>
      </c>
      <c r="J229" s="11">
        <v>-11.3921656649628</v>
      </c>
      <c r="K229" s="11">
        <v>-13.7641800318808</v>
      </c>
      <c r="L229" s="11">
        <v>-12.6422061200802</v>
      </c>
      <c r="M229" s="11">
        <v>-12.872353266126099</v>
      </c>
      <c r="N229" s="11">
        <v>-12.422250918154999</v>
      </c>
      <c r="O229" s="11"/>
      <c r="P229" s="11"/>
      <c r="Q229" s="11"/>
      <c r="R229" s="11"/>
      <c r="S229" s="11"/>
      <c r="T229" s="12"/>
      <c r="U229" s="12">
        <f t="shared" si="129"/>
        <v>4</v>
      </c>
      <c r="V229" s="28">
        <f t="shared" ca="1" si="130"/>
        <v>5.84</v>
      </c>
      <c r="W229" s="28">
        <f t="shared" si="131"/>
        <v>1.7849878613527E-2</v>
      </c>
      <c r="X229" s="12">
        <f t="shared" si="132"/>
        <v>9.5648950817155995</v>
      </c>
      <c r="Y229" s="12">
        <f t="shared" si="133"/>
        <v>9.595921169915</v>
      </c>
      <c r="Z229" s="12">
        <f t="shared" si="134"/>
        <v>9.6000683159608986</v>
      </c>
      <c r="AA229" s="12">
        <f t="shared" si="135"/>
        <v>9.6039659679897991</v>
      </c>
      <c r="AB229" s="12" t="str">
        <f t="shared" si="136"/>
        <v/>
      </c>
      <c r="AC229" s="12" t="str">
        <f t="shared" si="137"/>
        <v/>
      </c>
      <c r="AD229" s="12" t="str">
        <f t="shared" si="138"/>
        <v/>
      </c>
      <c r="AE229" s="12" t="str">
        <f t="shared" si="139"/>
        <v/>
      </c>
      <c r="AF229" s="12" t="str">
        <f t="shared" si="140"/>
        <v/>
      </c>
      <c r="AG229" s="12"/>
      <c r="AH229" s="12">
        <f t="shared" si="141"/>
        <v>10.898014366918</v>
      </c>
      <c r="AI229" s="12">
        <f t="shared" si="142"/>
        <v>10.9290404551174</v>
      </c>
      <c r="AJ229" s="12">
        <f t="shared" si="143"/>
        <v>10.933187601163299</v>
      </c>
      <c r="AK229" s="12">
        <f t="shared" si="144"/>
        <v>10.937085253192199</v>
      </c>
      <c r="AL229" s="12" t="str">
        <f t="shared" si="145"/>
        <v/>
      </c>
      <c r="AM229" s="12" t="str">
        <f t="shared" si="146"/>
        <v/>
      </c>
      <c r="AN229" s="12" t="str">
        <f t="shared" si="147"/>
        <v/>
      </c>
      <c r="AO229" s="12" t="str">
        <f t="shared" si="148"/>
        <v/>
      </c>
      <c r="AP229" s="12" t="str">
        <f t="shared" si="149"/>
        <v/>
      </c>
    </row>
    <row r="230" spans="1:42">
      <c r="A230" s="9">
        <f t="shared" si="150"/>
        <v>43123.830347222225</v>
      </c>
      <c r="B230" s="22">
        <f t="shared" si="151"/>
        <v>2458142.3303472223</v>
      </c>
      <c r="C230" s="23">
        <f t="shared" si="152"/>
        <v>9.5908375818427238</v>
      </c>
      <c r="D230" s="24">
        <f t="shared" ca="1" si="153"/>
        <v>5.8550495530067831E-2</v>
      </c>
      <c r="E230" s="24">
        <f t="shared" si="154"/>
        <v>2.0051539565091724E-2</v>
      </c>
      <c r="F230" s="25">
        <f t="shared" si="155"/>
        <v>10.919608986096225</v>
      </c>
      <c r="G230" s="7">
        <v>43123.830347222225</v>
      </c>
      <c r="H230" s="11">
        <v>2458142.3303470002</v>
      </c>
      <c r="I230" s="11">
        <v>-12.7281483207565</v>
      </c>
      <c r="J230" s="11">
        <v>-11.399376916503</v>
      </c>
      <c r="K230" s="11">
        <v>-13.766083594575999</v>
      </c>
      <c r="L230" s="11">
        <v>-12.6578758665332</v>
      </c>
      <c r="M230" s="11">
        <v>-12.8782958095594</v>
      </c>
      <c r="N230" s="11">
        <v>-12.4086883397283</v>
      </c>
      <c r="O230" s="11"/>
      <c r="P230" s="11"/>
      <c r="Q230" s="11"/>
      <c r="R230" s="11"/>
      <c r="S230" s="11"/>
      <c r="T230" s="12"/>
      <c r="U230" s="12">
        <f t="shared" si="129"/>
        <v>4</v>
      </c>
      <c r="V230" s="28">
        <f t="shared" ca="1" si="130"/>
        <v>5.84</v>
      </c>
      <c r="W230" s="28">
        <f t="shared" si="131"/>
        <v>2.0051539565091724E-2</v>
      </c>
      <c r="X230" s="12">
        <f t="shared" si="132"/>
        <v>9.5639352738194994</v>
      </c>
      <c r="Y230" s="12">
        <f t="shared" si="133"/>
        <v>9.6087275457767003</v>
      </c>
      <c r="Z230" s="12">
        <f t="shared" si="134"/>
        <v>9.6031474888029003</v>
      </c>
      <c r="AA230" s="12">
        <f t="shared" si="135"/>
        <v>9.5875400189718007</v>
      </c>
      <c r="AB230" s="12" t="str">
        <f t="shared" si="136"/>
        <v/>
      </c>
      <c r="AC230" s="12" t="str">
        <f t="shared" si="137"/>
        <v/>
      </c>
      <c r="AD230" s="12" t="str">
        <f t="shared" si="138"/>
        <v/>
      </c>
      <c r="AE230" s="12" t="str">
        <f t="shared" si="139"/>
        <v/>
      </c>
      <c r="AF230" s="12" t="str">
        <f t="shared" si="140"/>
        <v/>
      </c>
      <c r="AG230" s="12"/>
      <c r="AH230" s="12">
        <f t="shared" si="141"/>
        <v>10.892706678072999</v>
      </c>
      <c r="AI230" s="12">
        <f t="shared" si="142"/>
        <v>10.9374989500302</v>
      </c>
      <c r="AJ230" s="12">
        <f t="shared" si="143"/>
        <v>10.9319188930564</v>
      </c>
      <c r="AK230" s="12">
        <f t="shared" si="144"/>
        <v>10.9163114232253</v>
      </c>
      <c r="AL230" s="12" t="str">
        <f t="shared" si="145"/>
        <v/>
      </c>
      <c r="AM230" s="12" t="str">
        <f t="shared" si="146"/>
        <v/>
      </c>
      <c r="AN230" s="12" t="str">
        <f t="shared" si="147"/>
        <v/>
      </c>
      <c r="AO230" s="12" t="str">
        <f t="shared" si="148"/>
        <v/>
      </c>
      <c r="AP230" s="12" t="str">
        <f t="shared" si="149"/>
        <v/>
      </c>
    </row>
    <row r="231" spans="1:42">
      <c r="A231" s="9">
        <f t="shared" si="150"/>
        <v>43123.830763888887</v>
      </c>
      <c r="B231" s="22">
        <f t="shared" si="151"/>
        <v>2458142.330763889</v>
      </c>
      <c r="C231" s="23">
        <f t="shared" si="152"/>
        <v>9.5910362569817487</v>
      </c>
      <c r="D231" s="24">
        <f t="shared" ca="1" si="153"/>
        <v>5.6631569284202175E-2</v>
      </c>
      <c r="E231" s="24">
        <f t="shared" si="154"/>
        <v>1.9394373042534992E-2</v>
      </c>
      <c r="F231" s="25">
        <f t="shared" si="155"/>
        <v>10.929186861398149</v>
      </c>
      <c r="G231" s="7">
        <v>43123.830763888887</v>
      </c>
      <c r="H231" s="11">
        <v>2458142.3307639998</v>
      </c>
      <c r="I231" s="11">
        <v>-12.725119326450301</v>
      </c>
      <c r="J231" s="11">
        <v>-11.386968722033901</v>
      </c>
      <c r="K231" s="11">
        <v>-13.762865746799701</v>
      </c>
      <c r="L231" s="11">
        <v>-12.6384026758929</v>
      </c>
      <c r="M231" s="11">
        <v>-12.8808149740668</v>
      </c>
      <c r="N231" s="11">
        <v>-12.4175389369688</v>
      </c>
      <c r="O231" s="11"/>
      <c r="P231" s="11"/>
      <c r="Q231" s="11"/>
      <c r="R231" s="11"/>
      <c r="S231" s="11"/>
      <c r="T231" s="12"/>
      <c r="U231" s="12">
        <f t="shared" si="129"/>
        <v>4</v>
      </c>
      <c r="V231" s="28">
        <f t="shared" ca="1" si="130"/>
        <v>5.84</v>
      </c>
      <c r="W231" s="28">
        <f t="shared" si="131"/>
        <v>1.9394373042534992E-2</v>
      </c>
      <c r="X231" s="12">
        <f t="shared" si="132"/>
        <v>9.5637464203493998</v>
      </c>
      <c r="Y231" s="12">
        <f t="shared" si="133"/>
        <v>9.5922833494425994</v>
      </c>
      <c r="Z231" s="12">
        <f t="shared" si="134"/>
        <v>9.6086956476164982</v>
      </c>
      <c r="AA231" s="12">
        <f t="shared" si="135"/>
        <v>9.599419610518499</v>
      </c>
      <c r="AB231" s="12" t="str">
        <f t="shared" si="136"/>
        <v/>
      </c>
      <c r="AC231" s="12" t="str">
        <f t="shared" si="137"/>
        <v/>
      </c>
      <c r="AD231" s="12" t="str">
        <f t="shared" si="138"/>
        <v/>
      </c>
      <c r="AE231" s="12" t="str">
        <f t="shared" si="139"/>
        <v/>
      </c>
      <c r="AF231" s="12" t="str">
        <f t="shared" si="140"/>
        <v/>
      </c>
      <c r="AG231" s="12"/>
      <c r="AH231" s="12">
        <f t="shared" si="141"/>
        <v>10.9018970247658</v>
      </c>
      <c r="AI231" s="12">
        <f t="shared" si="142"/>
        <v>10.930433953859</v>
      </c>
      <c r="AJ231" s="12">
        <f t="shared" si="143"/>
        <v>10.946846252032898</v>
      </c>
      <c r="AK231" s="12">
        <f t="shared" si="144"/>
        <v>10.937570214934899</v>
      </c>
      <c r="AL231" s="12" t="str">
        <f t="shared" si="145"/>
        <v/>
      </c>
      <c r="AM231" s="12" t="str">
        <f t="shared" si="146"/>
        <v/>
      </c>
      <c r="AN231" s="12" t="str">
        <f t="shared" si="147"/>
        <v/>
      </c>
      <c r="AO231" s="12" t="str">
        <f t="shared" si="148"/>
        <v/>
      </c>
      <c r="AP231" s="12" t="str">
        <f t="shared" si="149"/>
        <v/>
      </c>
    </row>
    <row r="232" spans="1:42">
      <c r="A232" s="9">
        <f t="shared" si="150"/>
        <v>43123.831192129626</v>
      </c>
      <c r="B232" s="22">
        <f t="shared" si="151"/>
        <v>2458142.3311921298</v>
      </c>
      <c r="C232" s="23">
        <f t="shared" si="152"/>
        <v>9.5916925174640237</v>
      </c>
      <c r="D232" s="24">
        <f t="shared" ca="1" si="153"/>
        <v>5.5717343487726216E-2</v>
      </c>
      <c r="E232" s="24">
        <f t="shared" si="154"/>
        <v>1.9081282016344594E-2</v>
      </c>
      <c r="F232" s="25">
        <f t="shared" si="155"/>
        <v>10.895492370088824</v>
      </c>
      <c r="G232" s="7">
        <v>43123.831192129626</v>
      </c>
      <c r="H232" s="11">
        <v>2458142.3311919998</v>
      </c>
      <c r="I232" s="11">
        <v>-12.724076930051501</v>
      </c>
      <c r="J232" s="11">
        <v>-11.4202770774267</v>
      </c>
      <c r="K232" s="11">
        <v>-13.7675287216464</v>
      </c>
      <c r="L232" s="11">
        <v>-12.629090788381101</v>
      </c>
      <c r="M232" s="11">
        <v>-12.8844778242364</v>
      </c>
      <c r="N232" s="11">
        <v>-12.4169804557982</v>
      </c>
      <c r="O232" s="11"/>
      <c r="P232" s="11"/>
      <c r="Q232" s="11"/>
      <c r="R232" s="11"/>
      <c r="S232" s="11"/>
      <c r="T232" s="12"/>
      <c r="U232" s="12">
        <f t="shared" si="129"/>
        <v>4</v>
      </c>
      <c r="V232" s="28">
        <f t="shared" ca="1" si="130"/>
        <v>5.84</v>
      </c>
      <c r="W232" s="28">
        <f t="shared" si="131"/>
        <v>1.9081282016344594E-2</v>
      </c>
      <c r="X232" s="12">
        <f t="shared" si="132"/>
        <v>9.5694517915948989</v>
      </c>
      <c r="Y232" s="12">
        <f t="shared" si="133"/>
        <v>9.5840138583296</v>
      </c>
      <c r="Z232" s="12">
        <f t="shared" si="134"/>
        <v>9.613400894184899</v>
      </c>
      <c r="AA232" s="12">
        <f t="shared" si="135"/>
        <v>9.5999035257466989</v>
      </c>
      <c r="AB232" s="12" t="str">
        <f t="shared" si="136"/>
        <v/>
      </c>
      <c r="AC232" s="12" t="str">
        <f t="shared" si="137"/>
        <v/>
      </c>
      <c r="AD232" s="12" t="str">
        <f t="shared" si="138"/>
        <v/>
      </c>
      <c r="AE232" s="12" t="str">
        <f t="shared" si="139"/>
        <v/>
      </c>
      <c r="AF232" s="12" t="str">
        <f t="shared" si="140"/>
        <v/>
      </c>
      <c r="AG232" s="12"/>
      <c r="AH232" s="12">
        <f t="shared" si="141"/>
        <v>10.8732516442197</v>
      </c>
      <c r="AI232" s="12">
        <f t="shared" si="142"/>
        <v>10.887813710954401</v>
      </c>
      <c r="AJ232" s="12">
        <f t="shared" si="143"/>
        <v>10.9172007468097</v>
      </c>
      <c r="AK232" s="12">
        <f t="shared" si="144"/>
        <v>10.9037033783715</v>
      </c>
      <c r="AL232" s="12" t="str">
        <f t="shared" si="145"/>
        <v/>
      </c>
      <c r="AM232" s="12" t="str">
        <f t="shared" si="146"/>
        <v/>
      </c>
      <c r="AN232" s="12" t="str">
        <f t="shared" si="147"/>
        <v/>
      </c>
      <c r="AO232" s="12" t="str">
        <f t="shared" si="148"/>
        <v/>
      </c>
      <c r="AP232" s="12" t="str">
        <f t="shared" si="149"/>
        <v/>
      </c>
    </row>
    <row r="233" spans="1:42">
      <c r="A233" s="9">
        <f t="shared" si="150"/>
        <v>43123.831608796296</v>
      </c>
      <c r="B233" s="22">
        <f t="shared" si="151"/>
        <v>2458142.3316087965</v>
      </c>
      <c r="C233" s="23">
        <f t="shared" si="152"/>
        <v>9.6036406364897999</v>
      </c>
      <c r="D233" s="24">
        <f t="shared" ca="1" si="153"/>
        <v>5.1170254939854921E-2</v>
      </c>
      <c r="E233" s="24">
        <f t="shared" si="154"/>
        <v>1.7524059910909221E-2</v>
      </c>
      <c r="F233" s="25">
        <f t="shared" si="155"/>
        <v>10.9207703279701</v>
      </c>
      <c r="G233" s="7">
        <v>43123.831608796296</v>
      </c>
      <c r="H233" s="11">
        <v>2458142.331609</v>
      </c>
      <c r="I233" s="11">
        <v>-12.7227367592346</v>
      </c>
      <c r="J233" s="11">
        <v>-11.4056070677543</v>
      </c>
      <c r="K233" s="11">
        <v>-13.7776270903481</v>
      </c>
      <c r="L233" s="11">
        <v>-12.6428821722475</v>
      </c>
      <c r="M233" s="11">
        <v>-12.8894836231783</v>
      </c>
      <c r="N233" s="11">
        <v>-12.4305166971237</v>
      </c>
      <c r="O233" s="11"/>
      <c r="P233" s="11"/>
      <c r="Q233" s="11"/>
      <c r="R233" s="11"/>
      <c r="S233" s="11"/>
      <c r="T233" s="12"/>
      <c r="U233" s="12">
        <f t="shared" si="129"/>
        <v>4</v>
      </c>
      <c r="V233" s="28">
        <f t="shared" ca="1" si="130"/>
        <v>5.84</v>
      </c>
      <c r="W233" s="28">
        <f t="shared" si="131"/>
        <v>1.7524059910909221E-2</v>
      </c>
      <c r="X233" s="12">
        <f t="shared" si="132"/>
        <v>9.5808903311134994</v>
      </c>
      <c r="Y233" s="12">
        <f t="shared" si="133"/>
        <v>9.5991454130129004</v>
      </c>
      <c r="Z233" s="12">
        <f t="shared" si="134"/>
        <v>9.6197468639436998</v>
      </c>
      <c r="AA233" s="12">
        <f t="shared" si="135"/>
        <v>9.6147799378891001</v>
      </c>
      <c r="AB233" s="12" t="str">
        <f t="shared" si="136"/>
        <v/>
      </c>
      <c r="AC233" s="12" t="str">
        <f t="shared" si="137"/>
        <v/>
      </c>
      <c r="AD233" s="12" t="str">
        <f t="shared" si="138"/>
        <v/>
      </c>
      <c r="AE233" s="12" t="str">
        <f t="shared" si="139"/>
        <v/>
      </c>
      <c r="AF233" s="12" t="str">
        <f t="shared" si="140"/>
        <v/>
      </c>
      <c r="AG233" s="12"/>
      <c r="AH233" s="12">
        <f t="shared" si="141"/>
        <v>10.8980200225938</v>
      </c>
      <c r="AI233" s="12">
        <f t="shared" si="142"/>
        <v>10.9162751044932</v>
      </c>
      <c r="AJ233" s="12">
        <f t="shared" si="143"/>
        <v>10.936876555424</v>
      </c>
      <c r="AK233" s="12">
        <f t="shared" si="144"/>
        <v>10.9319096293694</v>
      </c>
      <c r="AL233" s="12" t="str">
        <f t="shared" si="145"/>
        <v/>
      </c>
      <c r="AM233" s="12" t="str">
        <f t="shared" si="146"/>
        <v/>
      </c>
      <c r="AN233" s="12" t="str">
        <f t="shared" si="147"/>
        <v/>
      </c>
      <c r="AO233" s="12" t="str">
        <f t="shared" si="148"/>
        <v/>
      </c>
      <c r="AP233" s="12" t="str">
        <f t="shared" si="149"/>
        <v/>
      </c>
    </row>
    <row r="234" spans="1:42">
      <c r="A234" s="9">
        <f t="shared" si="150"/>
        <v>43123.832025462965</v>
      </c>
      <c r="B234" s="22">
        <f t="shared" si="151"/>
        <v>2458142.3320254628</v>
      </c>
      <c r="C234" s="23">
        <f t="shared" si="152"/>
        <v>9.5854073914278501</v>
      </c>
      <c r="D234" s="24">
        <f t="shared" ca="1" si="153"/>
        <v>6.3242513774354109E-2</v>
      </c>
      <c r="E234" s="24">
        <f t="shared" si="154"/>
        <v>2.1658395128203462E-2</v>
      </c>
      <c r="F234" s="25">
        <f t="shared" si="155"/>
        <v>10.937451363930151</v>
      </c>
      <c r="G234" s="7">
        <v>43123.832025462965</v>
      </c>
      <c r="H234" s="11">
        <v>2458142.3320249999</v>
      </c>
      <c r="I234" s="11">
        <v>-12.7339436109438</v>
      </c>
      <c r="J234" s="11">
        <v>-11.381899638441499</v>
      </c>
      <c r="K234" s="11">
        <v>-13.7661451726048</v>
      </c>
      <c r="L234" s="11">
        <v>-12.632721298265</v>
      </c>
      <c r="M234" s="11">
        <v>-12.882736424791201</v>
      </c>
      <c r="N234" s="11">
        <v>-12.4308011138256</v>
      </c>
      <c r="O234" s="11"/>
      <c r="P234" s="11"/>
      <c r="Q234" s="11"/>
      <c r="R234" s="11"/>
      <c r="S234" s="11"/>
      <c r="T234" s="12"/>
      <c r="U234" s="12">
        <f t="shared" si="129"/>
        <v>4</v>
      </c>
      <c r="V234" s="28">
        <f t="shared" ca="1" si="130"/>
        <v>5.84</v>
      </c>
      <c r="W234" s="28">
        <f t="shared" si="131"/>
        <v>2.1658395128203462E-2</v>
      </c>
      <c r="X234" s="12">
        <f t="shared" si="132"/>
        <v>9.558201561660999</v>
      </c>
      <c r="Y234" s="12">
        <f t="shared" si="133"/>
        <v>9.5777776873212002</v>
      </c>
      <c r="Z234" s="12">
        <f t="shared" si="134"/>
        <v>9.6017928138473998</v>
      </c>
      <c r="AA234" s="12">
        <f t="shared" si="135"/>
        <v>9.6038575028817998</v>
      </c>
      <c r="AB234" s="12" t="str">
        <f t="shared" si="136"/>
        <v/>
      </c>
      <c r="AC234" s="12" t="str">
        <f t="shared" si="137"/>
        <v/>
      </c>
      <c r="AD234" s="12" t="str">
        <f t="shared" si="138"/>
        <v/>
      </c>
      <c r="AE234" s="12" t="str">
        <f t="shared" si="139"/>
        <v/>
      </c>
      <c r="AF234" s="12" t="str">
        <f t="shared" si="140"/>
        <v/>
      </c>
      <c r="AG234" s="12"/>
      <c r="AH234" s="12">
        <f t="shared" si="141"/>
        <v>10.9102455341633</v>
      </c>
      <c r="AI234" s="12">
        <f t="shared" si="142"/>
        <v>10.929821659823501</v>
      </c>
      <c r="AJ234" s="12">
        <f t="shared" si="143"/>
        <v>10.953836786349701</v>
      </c>
      <c r="AK234" s="12">
        <f t="shared" si="144"/>
        <v>10.955901475384101</v>
      </c>
      <c r="AL234" s="12" t="str">
        <f t="shared" si="145"/>
        <v/>
      </c>
      <c r="AM234" s="12" t="str">
        <f t="shared" si="146"/>
        <v/>
      </c>
      <c r="AN234" s="12" t="str">
        <f t="shared" si="147"/>
        <v/>
      </c>
      <c r="AO234" s="12" t="str">
        <f t="shared" si="148"/>
        <v/>
      </c>
      <c r="AP234" s="12" t="str">
        <f t="shared" si="149"/>
        <v/>
      </c>
    </row>
    <row r="235" spans="1:42">
      <c r="A235" s="9">
        <f t="shared" si="150"/>
        <v>43123.832453703704</v>
      </c>
      <c r="B235" s="22">
        <f t="shared" si="151"/>
        <v>2458142.3324537035</v>
      </c>
      <c r="C235" s="23">
        <f t="shared" si="152"/>
        <v>9.5975991292812264</v>
      </c>
      <c r="D235" s="24">
        <f t="shared" ca="1" si="153"/>
        <v>4.7163909313359891E-2</v>
      </c>
      <c r="E235" s="24">
        <f t="shared" si="154"/>
        <v>1.6152023737452018E-2</v>
      </c>
      <c r="F235" s="25">
        <f t="shared" si="155"/>
        <v>10.930427573181126</v>
      </c>
      <c r="G235" s="7">
        <v>43123.832453703704</v>
      </c>
      <c r="H235" s="11">
        <v>2458142.3324540001</v>
      </c>
      <c r="I235" s="11">
        <v>-12.721502281585799</v>
      </c>
      <c r="J235" s="11">
        <v>-11.3886738376859</v>
      </c>
      <c r="K235" s="11">
        <v>-13.7705938775996</v>
      </c>
      <c r="L235" s="11">
        <v>-12.6391496721465</v>
      </c>
      <c r="M235" s="11">
        <v>-12.8778349817664</v>
      </c>
      <c r="N235" s="11">
        <v>-12.4238271119556</v>
      </c>
      <c r="O235" s="11"/>
      <c r="P235" s="11"/>
      <c r="Q235" s="11"/>
      <c r="R235" s="11"/>
      <c r="S235" s="11"/>
      <c r="T235" s="12"/>
      <c r="U235" s="12">
        <f t="shared" si="129"/>
        <v>4</v>
      </c>
      <c r="V235" s="28">
        <f t="shared" ca="1" si="130"/>
        <v>5.84</v>
      </c>
      <c r="W235" s="28">
        <f t="shared" si="131"/>
        <v>1.6152023737452018E-2</v>
      </c>
      <c r="X235" s="12">
        <f t="shared" si="132"/>
        <v>9.5750915960138006</v>
      </c>
      <c r="Y235" s="12">
        <f t="shared" si="133"/>
        <v>9.596647390560701</v>
      </c>
      <c r="Z235" s="12">
        <f t="shared" si="134"/>
        <v>9.6093327001805999</v>
      </c>
      <c r="AA235" s="12">
        <f t="shared" si="135"/>
        <v>9.6093248303698005</v>
      </c>
      <c r="AB235" s="12" t="str">
        <f t="shared" si="136"/>
        <v/>
      </c>
      <c r="AC235" s="12" t="str">
        <f t="shared" si="137"/>
        <v/>
      </c>
      <c r="AD235" s="12" t="str">
        <f t="shared" si="138"/>
        <v/>
      </c>
      <c r="AE235" s="12" t="str">
        <f t="shared" si="139"/>
        <v/>
      </c>
      <c r="AF235" s="12" t="str">
        <f t="shared" si="140"/>
        <v/>
      </c>
      <c r="AG235" s="12"/>
      <c r="AH235" s="12">
        <f t="shared" si="141"/>
        <v>10.9079200399137</v>
      </c>
      <c r="AI235" s="12">
        <f t="shared" si="142"/>
        <v>10.9294758344606</v>
      </c>
      <c r="AJ235" s="12">
        <f t="shared" si="143"/>
        <v>10.942161144080499</v>
      </c>
      <c r="AK235" s="12">
        <f t="shared" si="144"/>
        <v>10.9421532742697</v>
      </c>
      <c r="AL235" s="12" t="str">
        <f t="shared" si="145"/>
        <v/>
      </c>
      <c r="AM235" s="12" t="str">
        <f t="shared" si="146"/>
        <v/>
      </c>
      <c r="AN235" s="12" t="str">
        <f t="shared" si="147"/>
        <v/>
      </c>
      <c r="AO235" s="12" t="str">
        <f t="shared" si="148"/>
        <v/>
      </c>
      <c r="AP235" s="12" t="str">
        <f t="shared" si="149"/>
        <v/>
      </c>
    </row>
    <row r="236" spans="1:42">
      <c r="A236" s="9">
        <f t="shared" si="150"/>
        <v>43123.832870370374</v>
      </c>
      <c r="B236" s="22">
        <f t="shared" si="151"/>
        <v>2458142.3328703702</v>
      </c>
      <c r="C236" s="23">
        <f t="shared" si="152"/>
        <v>9.6032237517231493</v>
      </c>
      <c r="D236" s="24">
        <f t="shared" ca="1" si="153"/>
        <v>4.9033994745720275E-2</v>
      </c>
      <c r="E236" s="24">
        <f t="shared" si="154"/>
        <v>1.6792463954013792E-2</v>
      </c>
      <c r="F236" s="25">
        <f t="shared" si="155"/>
        <v>10.92442636035085</v>
      </c>
      <c r="G236" s="7">
        <v>43123.832870370374</v>
      </c>
      <c r="H236" s="11">
        <v>2458142.33287</v>
      </c>
      <c r="I236" s="11">
        <v>-12.717959145936</v>
      </c>
      <c r="J236" s="11">
        <v>-11.396756537308301</v>
      </c>
      <c r="K236" s="11">
        <v>-13.771030709176101</v>
      </c>
      <c r="L236" s="11">
        <v>-12.6438294892224</v>
      </c>
      <c r="M236" s="11">
        <v>-12.8776094816895</v>
      </c>
      <c r="N236" s="11">
        <v>-12.4272619105486</v>
      </c>
      <c r="O236" s="11"/>
      <c r="P236" s="11"/>
      <c r="Q236" s="11"/>
      <c r="R236" s="11"/>
      <c r="S236" s="11"/>
      <c r="T236" s="12"/>
      <c r="U236" s="12">
        <f t="shared" si="129"/>
        <v>4</v>
      </c>
      <c r="V236" s="28">
        <f t="shared" ca="1" si="130"/>
        <v>5.84</v>
      </c>
      <c r="W236" s="28">
        <f t="shared" si="131"/>
        <v>1.6792463954013792E-2</v>
      </c>
      <c r="X236" s="12">
        <f t="shared" si="132"/>
        <v>9.5790715632401007</v>
      </c>
      <c r="Y236" s="12">
        <f t="shared" si="133"/>
        <v>9.6048703432864002</v>
      </c>
      <c r="Z236" s="12">
        <f t="shared" si="134"/>
        <v>9.6126503357535</v>
      </c>
      <c r="AA236" s="12">
        <f t="shared" si="135"/>
        <v>9.6163027646126</v>
      </c>
      <c r="AB236" s="12" t="str">
        <f t="shared" si="136"/>
        <v/>
      </c>
      <c r="AC236" s="12" t="str">
        <f t="shared" si="137"/>
        <v/>
      </c>
      <c r="AD236" s="12" t="str">
        <f t="shared" si="138"/>
        <v/>
      </c>
      <c r="AE236" s="12" t="str">
        <f t="shared" si="139"/>
        <v/>
      </c>
      <c r="AF236" s="12" t="str">
        <f t="shared" si="140"/>
        <v/>
      </c>
      <c r="AG236" s="12"/>
      <c r="AH236" s="12">
        <f t="shared" si="141"/>
        <v>10.9002741718678</v>
      </c>
      <c r="AI236" s="12">
        <f t="shared" si="142"/>
        <v>10.926072951914099</v>
      </c>
      <c r="AJ236" s="12">
        <f t="shared" si="143"/>
        <v>10.933852944381199</v>
      </c>
      <c r="AK236" s="12">
        <f t="shared" si="144"/>
        <v>10.937505373240299</v>
      </c>
      <c r="AL236" s="12" t="str">
        <f t="shared" si="145"/>
        <v/>
      </c>
      <c r="AM236" s="12" t="str">
        <f t="shared" si="146"/>
        <v/>
      </c>
      <c r="AN236" s="12" t="str">
        <f t="shared" si="147"/>
        <v/>
      </c>
      <c r="AO236" s="12" t="str">
        <f t="shared" si="148"/>
        <v/>
      </c>
      <c r="AP236" s="12" t="str">
        <f t="shared" si="149"/>
        <v/>
      </c>
    </row>
    <row r="237" spans="1:42">
      <c r="A237" s="9">
        <f t="shared" si="150"/>
        <v>43123.833287037036</v>
      </c>
      <c r="B237" s="22">
        <f t="shared" si="151"/>
        <v>2458142.333287037</v>
      </c>
      <c r="C237" s="23">
        <f t="shared" si="152"/>
        <v>9.6116993572296501</v>
      </c>
      <c r="D237" s="24">
        <f t="shared" ca="1" si="153"/>
        <v>4.3108322719713196E-2</v>
      </c>
      <c r="E237" s="24">
        <f t="shared" si="154"/>
        <v>1.4763124219079863E-2</v>
      </c>
      <c r="F237" s="25">
        <f t="shared" si="155"/>
        <v>10.924866775680048</v>
      </c>
      <c r="G237" s="7">
        <v>43123.833287037036</v>
      </c>
      <c r="H237" s="11">
        <v>2458142.3332870002</v>
      </c>
      <c r="I237" s="11">
        <v>-12.7112591787775</v>
      </c>
      <c r="J237" s="11">
        <v>-11.3980917603271</v>
      </c>
      <c r="K237" s="11">
        <v>-13.776333960232201</v>
      </c>
      <c r="L237" s="11">
        <v>-12.6432332904776</v>
      </c>
      <c r="M237" s="11">
        <v>-12.8804868719649</v>
      </c>
      <c r="N237" s="11">
        <v>-12.426780021353901</v>
      </c>
      <c r="O237" s="11"/>
      <c r="P237" s="11"/>
      <c r="Q237" s="11"/>
      <c r="R237" s="11"/>
      <c r="S237" s="11"/>
      <c r="T237" s="12"/>
      <c r="U237" s="12">
        <f t="shared" si="129"/>
        <v>4</v>
      </c>
      <c r="V237" s="28">
        <f t="shared" ca="1" si="130"/>
        <v>5.84</v>
      </c>
      <c r="W237" s="28">
        <f t="shared" si="131"/>
        <v>1.4763124219079863E-2</v>
      </c>
      <c r="X237" s="12">
        <f t="shared" si="132"/>
        <v>9.5910747814547008</v>
      </c>
      <c r="Y237" s="12">
        <f t="shared" si="133"/>
        <v>9.6109741117001004</v>
      </c>
      <c r="Z237" s="12">
        <f t="shared" si="134"/>
        <v>9.6222276931873996</v>
      </c>
      <c r="AA237" s="12">
        <f t="shared" si="135"/>
        <v>9.6225208425764013</v>
      </c>
      <c r="AB237" s="12" t="str">
        <f t="shared" si="136"/>
        <v/>
      </c>
      <c r="AC237" s="12" t="str">
        <f t="shared" si="137"/>
        <v/>
      </c>
      <c r="AD237" s="12" t="str">
        <f t="shared" si="138"/>
        <v/>
      </c>
      <c r="AE237" s="12" t="str">
        <f t="shared" si="139"/>
        <v/>
      </c>
      <c r="AF237" s="12" t="str">
        <f t="shared" si="140"/>
        <v/>
      </c>
      <c r="AG237" s="12"/>
      <c r="AH237" s="12">
        <f t="shared" si="141"/>
        <v>10.9042421999051</v>
      </c>
      <c r="AI237" s="12">
        <f t="shared" si="142"/>
        <v>10.9241415301505</v>
      </c>
      <c r="AJ237" s="12">
        <f t="shared" si="143"/>
        <v>10.935395111637799</v>
      </c>
      <c r="AK237" s="12">
        <f t="shared" si="144"/>
        <v>10.935688261026801</v>
      </c>
      <c r="AL237" s="12" t="str">
        <f t="shared" si="145"/>
        <v/>
      </c>
      <c r="AM237" s="12" t="str">
        <f t="shared" si="146"/>
        <v/>
      </c>
      <c r="AN237" s="12" t="str">
        <f t="shared" si="147"/>
        <v/>
      </c>
      <c r="AO237" s="12" t="str">
        <f t="shared" si="148"/>
        <v/>
      </c>
      <c r="AP237" s="12" t="str">
        <f t="shared" si="149"/>
        <v/>
      </c>
    </row>
    <row r="238" spans="1:42">
      <c r="A238" s="9">
        <f t="shared" si="150"/>
        <v>43123.833715277775</v>
      </c>
      <c r="B238" s="22">
        <f t="shared" si="151"/>
        <v>2458142.3337152777</v>
      </c>
      <c r="C238" s="23">
        <f t="shared" si="152"/>
        <v>9.608925790987449</v>
      </c>
      <c r="D238" s="24">
        <f t="shared" ca="1" si="153"/>
        <v>6.7026586219143314E-2</v>
      </c>
      <c r="E238" s="24">
        <f t="shared" si="154"/>
        <v>2.2954310349021682E-2</v>
      </c>
      <c r="F238" s="25">
        <f t="shared" si="155"/>
        <v>10.935362078878349</v>
      </c>
      <c r="G238" s="7">
        <v>43123.833715277775</v>
      </c>
      <c r="H238" s="11">
        <v>2458142.3337150002</v>
      </c>
      <c r="I238" s="11">
        <v>-12.7152828164193</v>
      </c>
      <c r="J238" s="11">
        <v>-11.388846528528401</v>
      </c>
      <c r="K238" s="11">
        <v>-13.7736459729086</v>
      </c>
      <c r="L238" s="11">
        <v>-12.6309801791382</v>
      </c>
      <c r="M238" s="11">
        <v>-12.8872458184488</v>
      </c>
      <c r="N238" s="11">
        <v>-12.439962459131401</v>
      </c>
      <c r="O238" s="11"/>
      <c r="P238" s="11"/>
      <c r="Q238" s="11"/>
      <c r="R238" s="11"/>
      <c r="S238" s="11"/>
      <c r="T238" s="12"/>
      <c r="U238" s="12">
        <f t="shared" si="129"/>
        <v>4</v>
      </c>
      <c r="V238" s="28">
        <f t="shared" ca="1" si="130"/>
        <v>5.84</v>
      </c>
      <c r="W238" s="28">
        <f t="shared" si="131"/>
        <v>2.2954310349021682E-2</v>
      </c>
      <c r="X238" s="12">
        <f t="shared" si="132"/>
        <v>9.5843631564892995</v>
      </c>
      <c r="Y238" s="12">
        <f t="shared" si="133"/>
        <v>9.5946973627189003</v>
      </c>
      <c r="Z238" s="12">
        <f t="shared" si="134"/>
        <v>9.6249630020294994</v>
      </c>
      <c r="AA238" s="12">
        <f t="shared" si="135"/>
        <v>9.6316796427121005</v>
      </c>
      <c r="AB238" s="12" t="str">
        <f t="shared" si="136"/>
        <v/>
      </c>
      <c r="AC238" s="12" t="str">
        <f t="shared" si="137"/>
        <v/>
      </c>
      <c r="AD238" s="12" t="str">
        <f t="shared" si="138"/>
        <v/>
      </c>
      <c r="AE238" s="12" t="str">
        <f t="shared" si="139"/>
        <v/>
      </c>
      <c r="AF238" s="12" t="str">
        <f t="shared" si="140"/>
        <v/>
      </c>
      <c r="AG238" s="12"/>
      <c r="AH238" s="12">
        <f t="shared" si="141"/>
        <v>10.910799444380199</v>
      </c>
      <c r="AI238" s="12">
        <f t="shared" si="142"/>
        <v>10.9211336506098</v>
      </c>
      <c r="AJ238" s="12">
        <f t="shared" si="143"/>
        <v>10.951399289920399</v>
      </c>
      <c r="AK238" s="12">
        <f t="shared" si="144"/>
        <v>10.958115930603</v>
      </c>
      <c r="AL238" s="12" t="str">
        <f t="shared" si="145"/>
        <v/>
      </c>
      <c r="AM238" s="12" t="str">
        <f t="shared" si="146"/>
        <v/>
      </c>
      <c r="AN238" s="12" t="str">
        <f t="shared" si="147"/>
        <v/>
      </c>
      <c r="AO238" s="12" t="str">
        <f t="shared" si="148"/>
        <v/>
      </c>
      <c r="AP238" s="12" t="str">
        <f t="shared" si="149"/>
        <v/>
      </c>
    </row>
    <row r="239" spans="1:42">
      <c r="A239" s="9">
        <f t="shared" si="150"/>
        <v>43123.834131944444</v>
      </c>
      <c r="B239" s="22">
        <f t="shared" si="151"/>
        <v>2458142.3341319445</v>
      </c>
      <c r="C239" s="23">
        <f t="shared" si="152"/>
        <v>9.6040497302214245</v>
      </c>
      <c r="D239" s="24">
        <f t="shared" ca="1" si="153"/>
        <v>5.1490410227105689E-2</v>
      </c>
      <c r="E239" s="24">
        <f t="shared" si="154"/>
        <v>1.7633702132570442E-2</v>
      </c>
      <c r="F239" s="25">
        <f t="shared" si="155"/>
        <v>10.913274056845225</v>
      </c>
      <c r="G239" s="7">
        <v>43123.834131944444</v>
      </c>
      <c r="H239" s="11">
        <v>2458142.3341319999</v>
      </c>
      <c r="I239" s="11">
        <v>-12.7130225734857</v>
      </c>
      <c r="J239" s="11">
        <v>-11.4037982468619</v>
      </c>
      <c r="K239" s="11">
        <v>-13.770896898378</v>
      </c>
      <c r="L239" s="11">
        <v>-12.630261555611501</v>
      </c>
      <c r="M239" s="11">
        <v>-12.872016612159101</v>
      </c>
      <c r="N239" s="11">
        <v>-12.4301141486799</v>
      </c>
      <c r="O239" s="11"/>
      <c r="P239" s="11"/>
      <c r="Q239" s="11"/>
      <c r="R239" s="11"/>
      <c r="S239" s="11"/>
      <c r="T239" s="12"/>
      <c r="U239" s="12">
        <f t="shared" si="129"/>
        <v>4</v>
      </c>
      <c r="V239" s="28">
        <f t="shared" ca="1" si="130"/>
        <v>5.84</v>
      </c>
      <c r="W239" s="28">
        <f t="shared" si="131"/>
        <v>1.7633702132570442E-2</v>
      </c>
      <c r="X239" s="12">
        <f t="shared" si="132"/>
        <v>9.5838743248922995</v>
      </c>
      <c r="Y239" s="12">
        <f t="shared" si="133"/>
        <v>9.5962389821258007</v>
      </c>
      <c r="Z239" s="12">
        <f t="shared" si="134"/>
        <v>9.6119940386733997</v>
      </c>
      <c r="AA239" s="12">
        <f t="shared" si="135"/>
        <v>9.6240915751941998</v>
      </c>
      <c r="AB239" s="12" t="str">
        <f t="shared" si="136"/>
        <v/>
      </c>
      <c r="AC239" s="12" t="str">
        <f t="shared" si="137"/>
        <v/>
      </c>
      <c r="AD239" s="12" t="str">
        <f t="shared" si="138"/>
        <v/>
      </c>
      <c r="AE239" s="12" t="str">
        <f t="shared" si="139"/>
        <v/>
      </c>
      <c r="AF239" s="12" t="str">
        <f t="shared" si="140"/>
        <v/>
      </c>
      <c r="AG239" s="12"/>
      <c r="AH239" s="12">
        <f t="shared" si="141"/>
        <v>10.8930986515161</v>
      </c>
      <c r="AI239" s="12">
        <f t="shared" si="142"/>
        <v>10.905463308749601</v>
      </c>
      <c r="AJ239" s="12">
        <f t="shared" si="143"/>
        <v>10.9212183652972</v>
      </c>
      <c r="AK239" s="12">
        <f t="shared" si="144"/>
        <v>10.933315901818</v>
      </c>
      <c r="AL239" s="12" t="str">
        <f t="shared" si="145"/>
        <v/>
      </c>
      <c r="AM239" s="12" t="str">
        <f t="shared" si="146"/>
        <v/>
      </c>
      <c r="AN239" s="12" t="str">
        <f t="shared" si="147"/>
        <v/>
      </c>
      <c r="AO239" s="12" t="str">
        <f t="shared" si="148"/>
        <v/>
      </c>
      <c r="AP239" s="12" t="str">
        <f t="shared" si="149"/>
        <v/>
      </c>
    </row>
    <row r="240" spans="1:42">
      <c r="A240" s="9">
        <f t="shared" si="150"/>
        <v>43123.834548611114</v>
      </c>
      <c r="B240" s="22">
        <f t="shared" si="151"/>
        <v>2458142.3345486112</v>
      </c>
      <c r="C240" s="23">
        <f t="shared" si="152"/>
        <v>9.6038218878262995</v>
      </c>
      <c r="D240" s="24">
        <f t="shared" ca="1" si="153"/>
        <v>5.3009818901973399E-2</v>
      </c>
      <c r="E240" s="24">
        <f t="shared" si="154"/>
        <v>1.8154047569168972E-2</v>
      </c>
      <c r="F240" s="25">
        <f t="shared" si="155"/>
        <v>10.9012258869717</v>
      </c>
      <c r="G240" s="7">
        <v>43123.834548611114</v>
      </c>
      <c r="H240" s="11">
        <v>2458142.334549</v>
      </c>
      <c r="I240" s="11">
        <v>-12.7207528672433</v>
      </c>
      <c r="J240" s="11">
        <v>-11.4233488680979</v>
      </c>
      <c r="K240" s="11">
        <v>-13.7736951700426</v>
      </c>
      <c r="L240" s="11">
        <v>-12.6463326819672</v>
      </c>
      <c r="M240" s="11">
        <v>-12.889889100332301</v>
      </c>
      <c r="N240" s="11">
        <v>-12.4233820679363</v>
      </c>
      <c r="O240" s="11"/>
      <c r="P240" s="11"/>
      <c r="Q240" s="11"/>
      <c r="R240" s="11"/>
      <c r="S240" s="11"/>
      <c r="T240" s="12"/>
      <c r="U240" s="12">
        <f t="shared" si="129"/>
        <v>4</v>
      </c>
      <c r="V240" s="28">
        <f t="shared" ca="1" si="130"/>
        <v>5.84</v>
      </c>
      <c r="W240" s="28">
        <f t="shared" si="131"/>
        <v>1.8154047569168972E-2</v>
      </c>
      <c r="X240" s="12">
        <f t="shared" si="132"/>
        <v>9.5789423027992999</v>
      </c>
      <c r="Y240" s="12">
        <f t="shared" si="133"/>
        <v>9.6045798147239001</v>
      </c>
      <c r="Z240" s="12">
        <f t="shared" si="134"/>
        <v>9.6221362330889999</v>
      </c>
      <c r="AA240" s="12">
        <f t="shared" si="135"/>
        <v>9.609629200693</v>
      </c>
      <c r="AB240" s="12" t="str">
        <f t="shared" si="136"/>
        <v/>
      </c>
      <c r="AC240" s="12" t="str">
        <f t="shared" si="137"/>
        <v/>
      </c>
      <c r="AD240" s="12" t="str">
        <f t="shared" si="138"/>
        <v/>
      </c>
      <c r="AE240" s="12" t="str">
        <f t="shared" si="139"/>
        <v/>
      </c>
      <c r="AF240" s="12" t="str">
        <f t="shared" si="140"/>
        <v/>
      </c>
      <c r="AG240" s="12"/>
      <c r="AH240" s="12">
        <f t="shared" si="141"/>
        <v>10.8763463019447</v>
      </c>
      <c r="AI240" s="12">
        <f t="shared" si="142"/>
        <v>10.9019838138693</v>
      </c>
      <c r="AJ240" s="12">
        <f t="shared" si="143"/>
        <v>10.9195402322344</v>
      </c>
      <c r="AK240" s="12">
        <f t="shared" si="144"/>
        <v>10.9070331998384</v>
      </c>
      <c r="AL240" s="12" t="str">
        <f t="shared" si="145"/>
        <v/>
      </c>
      <c r="AM240" s="12" t="str">
        <f t="shared" si="146"/>
        <v/>
      </c>
      <c r="AN240" s="12" t="str">
        <f t="shared" si="147"/>
        <v/>
      </c>
      <c r="AO240" s="12" t="str">
        <f t="shared" si="148"/>
        <v/>
      </c>
      <c r="AP240" s="12" t="str">
        <f t="shared" si="149"/>
        <v/>
      </c>
    </row>
    <row r="241" spans="1:42">
      <c r="A241" s="9">
        <f t="shared" si="150"/>
        <v>43123.834965277776</v>
      </c>
      <c r="B241" s="22">
        <f t="shared" si="151"/>
        <v>2458142.3349652779</v>
      </c>
      <c r="C241" s="23">
        <f t="shared" si="152"/>
        <v>9.6013253473388005</v>
      </c>
      <c r="D241" s="24">
        <f t="shared" ca="1" si="153"/>
        <v>6.0952495551332656E-2</v>
      </c>
      <c r="E241" s="24">
        <f t="shared" si="154"/>
        <v>2.0874142312100226E-2</v>
      </c>
      <c r="F241" s="25">
        <f t="shared" si="155"/>
        <v>10.900864449283999</v>
      </c>
      <c r="G241" s="7">
        <v>43123.834965277776</v>
      </c>
      <c r="H241" s="11">
        <v>2458142.3349649999</v>
      </c>
      <c r="I241" s="11">
        <v>-12.718631444925199</v>
      </c>
      <c r="J241" s="11">
        <v>-11.419092342980001</v>
      </c>
      <c r="K241" s="11">
        <v>-13.766864060594299</v>
      </c>
      <c r="L241" s="11">
        <v>-12.6355458936626</v>
      </c>
      <c r="M241" s="11">
        <v>-12.8860061535025</v>
      </c>
      <c r="N241" s="11">
        <v>-12.4264110612966</v>
      </c>
      <c r="O241" s="11"/>
      <c r="P241" s="11"/>
      <c r="Q241" s="11"/>
      <c r="R241" s="11"/>
      <c r="S241" s="11"/>
      <c r="T241" s="12"/>
      <c r="U241" s="12">
        <f t="shared" si="129"/>
        <v>4</v>
      </c>
      <c r="V241" s="28">
        <f t="shared" ca="1" si="130"/>
        <v>5.84</v>
      </c>
      <c r="W241" s="28">
        <f t="shared" si="131"/>
        <v>2.0874142312100226E-2</v>
      </c>
      <c r="X241" s="12">
        <f t="shared" si="132"/>
        <v>9.5742326156691</v>
      </c>
      <c r="Y241" s="12">
        <f t="shared" si="133"/>
        <v>9.5959144487374015</v>
      </c>
      <c r="Z241" s="12">
        <f t="shared" si="134"/>
        <v>9.6203747085772999</v>
      </c>
      <c r="AA241" s="12">
        <f t="shared" si="135"/>
        <v>9.6147796163714006</v>
      </c>
      <c r="AB241" s="12" t="str">
        <f t="shared" si="136"/>
        <v/>
      </c>
      <c r="AC241" s="12" t="str">
        <f t="shared" si="137"/>
        <v/>
      </c>
      <c r="AD241" s="12" t="str">
        <f t="shared" si="138"/>
        <v/>
      </c>
      <c r="AE241" s="12" t="str">
        <f t="shared" si="139"/>
        <v/>
      </c>
      <c r="AF241" s="12" t="str">
        <f t="shared" si="140"/>
        <v/>
      </c>
      <c r="AG241" s="12"/>
      <c r="AH241" s="12">
        <f t="shared" si="141"/>
        <v>10.873771717614298</v>
      </c>
      <c r="AI241" s="12">
        <f t="shared" si="142"/>
        <v>10.8954535506826</v>
      </c>
      <c r="AJ241" s="12">
        <f t="shared" si="143"/>
        <v>10.919913810522498</v>
      </c>
      <c r="AK241" s="12">
        <f t="shared" si="144"/>
        <v>10.914318718316599</v>
      </c>
      <c r="AL241" s="12" t="str">
        <f t="shared" si="145"/>
        <v/>
      </c>
      <c r="AM241" s="12" t="str">
        <f t="shared" si="146"/>
        <v/>
      </c>
      <c r="AN241" s="12" t="str">
        <f t="shared" si="147"/>
        <v/>
      </c>
      <c r="AO241" s="12" t="str">
        <f t="shared" si="148"/>
        <v/>
      </c>
      <c r="AP241" s="12" t="str">
        <f t="shared" si="149"/>
        <v/>
      </c>
    </row>
    <row r="242" spans="1:42">
      <c r="A242" s="9">
        <f t="shared" si="150"/>
        <v>43123.835393518515</v>
      </c>
      <c r="B242" s="22">
        <f t="shared" si="151"/>
        <v>2458142.3353935187</v>
      </c>
      <c r="C242" s="23">
        <f t="shared" si="152"/>
        <v>9.6184652445978998</v>
      </c>
      <c r="D242" s="24">
        <f t="shared" ca="1" si="153"/>
        <v>5.540011650948691E-2</v>
      </c>
      <c r="E242" s="24">
        <f t="shared" si="154"/>
        <v>1.8972642640235245E-2</v>
      </c>
      <c r="F242" s="25">
        <f t="shared" si="155"/>
        <v>10.945266865389801</v>
      </c>
      <c r="G242" s="7">
        <v>43123.835393518515</v>
      </c>
      <c r="H242" s="11">
        <v>2458142.3353940002</v>
      </c>
      <c r="I242" s="11">
        <v>-12.706249922024099</v>
      </c>
      <c r="J242" s="11">
        <v>-11.3794483012322</v>
      </c>
      <c r="K242" s="11">
        <v>-13.771143957770899</v>
      </c>
      <c r="L242" s="11">
        <v>-12.648264177647601</v>
      </c>
      <c r="M242" s="11">
        <v>-12.8845084884372</v>
      </c>
      <c r="N242" s="11">
        <v>-12.4299440426323</v>
      </c>
      <c r="O242" s="11"/>
      <c r="P242" s="11"/>
      <c r="Q242" s="11"/>
      <c r="R242" s="11"/>
      <c r="S242" s="11"/>
      <c r="T242" s="12"/>
      <c r="U242" s="12">
        <f t="shared" si="129"/>
        <v>4</v>
      </c>
      <c r="V242" s="28">
        <f t="shared" ca="1" si="130"/>
        <v>5.84</v>
      </c>
      <c r="W242" s="28">
        <f t="shared" si="131"/>
        <v>1.8972642640235245E-2</v>
      </c>
      <c r="X242" s="12">
        <f t="shared" si="132"/>
        <v>9.5908940357467998</v>
      </c>
      <c r="Y242" s="12">
        <f t="shared" si="133"/>
        <v>9.6210142556235017</v>
      </c>
      <c r="Z242" s="12">
        <f t="shared" si="134"/>
        <v>9.6312585664131003</v>
      </c>
      <c r="AA242" s="12">
        <f t="shared" si="135"/>
        <v>9.6306941206082008</v>
      </c>
      <c r="AB242" s="12" t="str">
        <f t="shared" si="136"/>
        <v/>
      </c>
      <c r="AC242" s="12" t="str">
        <f t="shared" si="137"/>
        <v/>
      </c>
      <c r="AD242" s="12" t="str">
        <f t="shared" si="138"/>
        <v/>
      </c>
      <c r="AE242" s="12" t="str">
        <f t="shared" si="139"/>
        <v/>
      </c>
      <c r="AF242" s="12" t="str">
        <f t="shared" si="140"/>
        <v/>
      </c>
      <c r="AG242" s="12"/>
      <c r="AH242" s="12">
        <f t="shared" si="141"/>
        <v>10.917695656538699</v>
      </c>
      <c r="AI242" s="12">
        <f t="shared" si="142"/>
        <v>10.947815876415401</v>
      </c>
      <c r="AJ242" s="12">
        <f t="shared" si="143"/>
        <v>10.958060187205</v>
      </c>
      <c r="AK242" s="12">
        <f t="shared" si="144"/>
        <v>10.9574957414001</v>
      </c>
      <c r="AL242" s="12" t="str">
        <f t="shared" si="145"/>
        <v/>
      </c>
      <c r="AM242" s="12" t="str">
        <f t="shared" si="146"/>
        <v/>
      </c>
      <c r="AN242" s="12" t="str">
        <f t="shared" si="147"/>
        <v/>
      </c>
      <c r="AO242" s="12" t="str">
        <f t="shared" si="148"/>
        <v/>
      </c>
      <c r="AP242" s="12" t="str">
        <f t="shared" si="149"/>
        <v/>
      </c>
    </row>
    <row r="243" spans="1:42">
      <c r="A243" s="9">
        <f t="shared" si="150"/>
        <v>43123.835810185185</v>
      </c>
      <c r="B243" s="22">
        <f t="shared" si="151"/>
        <v>2458142.3358101854</v>
      </c>
      <c r="C243" s="23">
        <f t="shared" si="152"/>
        <v>9.6121063406446492</v>
      </c>
      <c r="D243" s="24">
        <f t="shared" ca="1" si="153"/>
        <v>4.6128122911854107E-2</v>
      </c>
      <c r="E243" s="24">
        <f t="shared" si="154"/>
        <v>1.5797302367073326E-2</v>
      </c>
      <c r="F243" s="25">
        <f t="shared" si="155"/>
        <v>10.90807328359535</v>
      </c>
      <c r="G243" s="7">
        <v>43123.835810185185</v>
      </c>
      <c r="H243" s="11">
        <v>2458142.3358100001</v>
      </c>
      <c r="I243" s="11">
        <v>-12.7050020620671</v>
      </c>
      <c r="J243" s="11">
        <v>-11.4090351191164</v>
      </c>
      <c r="K243" s="11">
        <v>-13.7706598993889</v>
      </c>
      <c r="L243" s="11">
        <v>-12.633641252505599</v>
      </c>
      <c r="M243" s="11">
        <v>-12.8762723998209</v>
      </c>
      <c r="N243" s="11">
        <v>-12.422860059131599</v>
      </c>
      <c r="O243" s="11"/>
      <c r="P243" s="11"/>
      <c r="Q243" s="11"/>
      <c r="R243" s="11"/>
      <c r="S243" s="11"/>
      <c r="T243" s="12"/>
      <c r="U243" s="12">
        <f t="shared" si="129"/>
        <v>4</v>
      </c>
      <c r="V243" s="28">
        <f t="shared" ca="1" si="130"/>
        <v>5.84</v>
      </c>
      <c r="W243" s="28">
        <f t="shared" si="131"/>
        <v>1.5797302367073326E-2</v>
      </c>
      <c r="X243" s="12">
        <f t="shared" si="132"/>
        <v>9.5916578373217991</v>
      </c>
      <c r="Y243" s="12">
        <f t="shared" si="133"/>
        <v>9.6076391904384995</v>
      </c>
      <c r="Z243" s="12">
        <f t="shared" si="134"/>
        <v>9.6242703377537993</v>
      </c>
      <c r="AA243" s="12">
        <f t="shared" si="135"/>
        <v>9.624857997064499</v>
      </c>
      <c r="AB243" s="12" t="str">
        <f t="shared" si="136"/>
        <v/>
      </c>
      <c r="AC243" s="12" t="str">
        <f t="shared" si="137"/>
        <v/>
      </c>
      <c r="AD243" s="12" t="str">
        <f t="shared" si="138"/>
        <v/>
      </c>
      <c r="AE243" s="12" t="str">
        <f t="shared" si="139"/>
        <v/>
      </c>
      <c r="AF243" s="12" t="str">
        <f t="shared" si="140"/>
        <v/>
      </c>
      <c r="AG243" s="12"/>
      <c r="AH243" s="12">
        <f t="shared" si="141"/>
        <v>10.8876247802725</v>
      </c>
      <c r="AI243" s="12">
        <f t="shared" si="142"/>
        <v>10.9036061333892</v>
      </c>
      <c r="AJ243" s="12">
        <f t="shared" si="143"/>
        <v>10.9202372807045</v>
      </c>
      <c r="AK243" s="12">
        <f t="shared" si="144"/>
        <v>10.9208249400152</v>
      </c>
      <c r="AL243" s="12" t="str">
        <f t="shared" si="145"/>
        <v/>
      </c>
      <c r="AM243" s="12" t="str">
        <f t="shared" si="146"/>
        <v/>
      </c>
      <c r="AN243" s="12" t="str">
        <f t="shared" si="147"/>
        <v/>
      </c>
      <c r="AO243" s="12" t="str">
        <f t="shared" si="148"/>
        <v/>
      </c>
      <c r="AP243" s="12" t="str">
        <f t="shared" si="149"/>
        <v/>
      </c>
    </row>
    <row r="244" spans="1:42">
      <c r="A244" s="9">
        <f t="shared" si="150"/>
        <v>43123.836226851854</v>
      </c>
      <c r="B244" s="22">
        <f t="shared" si="151"/>
        <v>2458142.3362268517</v>
      </c>
      <c r="C244" s="23">
        <f t="shared" si="152"/>
        <v>9.6085898919850496</v>
      </c>
      <c r="D244" s="24">
        <f t="shared" ca="1" si="153"/>
        <v>5.9465655202208492E-2</v>
      </c>
      <c r="E244" s="24">
        <f t="shared" si="154"/>
        <v>2.0364950411715238E-2</v>
      </c>
      <c r="F244" s="25">
        <f t="shared" si="155"/>
        <v>10.92647592209795</v>
      </c>
      <c r="G244" s="7">
        <v>43123.836226851854</v>
      </c>
      <c r="H244" s="11">
        <v>2458142.3362270002</v>
      </c>
      <c r="I244" s="11">
        <v>-12.714185792293501</v>
      </c>
      <c r="J244" s="11">
        <v>-11.3962997621806</v>
      </c>
      <c r="K244" s="11">
        <v>-13.767980469811</v>
      </c>
      <c r="L244" s="11">
        <v>-12.648618281740299</v>
      </c>
      <c r="M244" s="11">
        <v>-12.8889878257913</v>
      </c>
      <c r="N244" s="11">
        <v>-12.4205161597716</v>
      </c>
      <c r="O244" s="11"/>
      <c r="P244" s="11"/>
      <c r="Q244" s="11"/>
      <c r="R244" s="11"/>
      <c r="S244" s="11"/>
      <c r="T244" s="12"/>
      <c r="U244" s="12">
        <f t="shared" si="129"/>
        <v>4</v>
      </c>
      <c r="V244" s="28">
        <f t="shared" ca="1" si="130"/>
        <v>5.84</v>
      </c>
      <c r="W244" s="28">
        <f t="shared" si="131"/>
        <v>2.0364950411715238E-2</v>
      </c>
      <c r="X244" s="12">
        <f t="shared" si="132"/>
        <v>9.5797946775174996</v>
      </c>
      <c r="Y244" s="12">
        <f t="shared" si="133"/>
        <v>9.6134324894467991</v>
      </c>
      <c r="Z244" s="12">
        <f t="shared" si="134"/>
        <v>9.6278020334977992</v>
      </c>
      <c r="AA244" s="12">
        <f t="shared" si="135"/>
        <v>9.613330367478099</v>
      </c>
      <c r="AB244" s="12" t="str">
        <f t="shared" si="136"/>
        <v/>
      </c>
      <c r="AC244" s="12" t="str">
        <f t="shared" si="137"/>
        <v/>
      </c>
      <c r="AD244" s="12" t="str">
        <f t="shared" si="138"/>
        <v/>
      </c>
      <c r="AE244" s="12" t="str">
        <f t="shared" si="139"/>
        <v/>
      </c>
      <c r="AF244" s="12" t="str">
        <f t="shared" si="140"/>
        <v/>
      </c>
      <c r="AG244" s="12"/>
      <c r="AH244" s="12">
        <f t="shared" si="141"/>
        <v>10.8976807076304</v>
      </c>
      <c r="AI244" s="12">
        <f t="shared" si="142"/>
        <v>10.931318519559699</v>
      </c>
      <c r="AJ244" s="12">
        <f t="shared" si="143"/>
        <v>10.945688063610699</v>
      </c>
      <c r="AK244" s="12">
        <f t="shared" si="144"/>
        <v>10.931216397590999</v>
      </c>
      <c r="AL244" s="12" t="str">
        <f t="shared" si="145"/>
        <v/>
      </c>
      <c r="AM244" s="12" t="str">
        <f t="shared" si="146"/>
        <v/>
      </c>
      <c r="AN244" s="12" t="str">
        <f t="shared" si="147"/>
        <v/>
      </c>
      <c r="AO244" s="12" t="str">
        <f t="shared" si="148"/>
        <v/>
      </c>
      <c r="AP244" s="12" t="str">
        <f t="shared" si="149"/>
        <v/>
      </c>
    </row>
    <row r="245" spans="1:42">
      <c r="A245" s="9">
        <f t="shared" si="150"/>
        <v>43123.836655092593</v>
      </c>
      <c r="B245" s="22">
        <f t="shared" si="151"/>
        <v>2458142.3366550924</v>
      </c>
      <c r="C245" s="23">
        <f t="shared" si="152"/>
        <v>9.6165039120329006</v>
      </c>
      <c r="D245" s="24">
        <f t="shared" ca="1" si="153"/>
        <v>5.5600041665741992E-2</v>
      </c>
      <c r="E245" s="24">
        <f t="shared" si="154"/>
        <v>1.9041110159500683E-2</v>
      </c>
      <c r="F245" s="25">
        <f t="shared" si="155"/>
        <v>10.920722244319101</v>
      </c>
      <c r="G245" s="7">
        <v>43123.836655092593</v>
      </c>
      <c r="H245" s="11">
        <v>2458142.3366550002</v>
      </c>
      <c r="I245" s="11">
        <v>-12.7052749291223</v>
      </c>
      <c r="J245" s="11">
        <v>-11.401056596836099</v>
      </c>
      <c r="K245" s="11">
        <v>-13.769736995405999</v>
      </c>
      <c r="L245" s="11">
        <v>-12.641145976105999</v>
      </c>
      <c r="M245" s="11">
        <v>-12.8791591138871</v>
      </c>
      <c r="N245" s="11">
        <v>-12.432073279221701</v>
      </c>
      <c r="O245" s="11"/>
      <c r="P245" s="11"/>
      <c r="Q245" s="11"/>
      <c r="R245" s="11"/>
      <c r="S245" s="11"/>
      <c r="T245" s="12"/>
      <c r="U245" s="12">
        <f t="shared" si="129"/>
        <v>4</v>
      </c>
      <c r="V245" s="28">
        <f t="shared" ca="1" si="130"/>
        <v>5.84</v>
      </c>
      <c r="W245" s="28">
        <f t="shared" si="131"/>
        <v>1.9041110159500683E-2</v>
      </c>
      <c r="X245" s="12">
        <f t="shared" si="132"/>
        <v>9.590462066283699</v>
      </c>
      <c r="Y245" s="12">
        <f t="shared" si="133"/>
        <v>9.6148710469836995</v>
      </c>
      <c r="Z245" s="12">
        <f t="shared" si="134"/>
        <v>9.6268841847647995</v>
      </c>
      <c r="AA245" s="12">
        <f t="shared" si="135"/>
        <v>9.6337983500994007</v>
      </c>
      <c r="AB245" s="12" t="str">
        <f t="shared" si="136"/>
        <v/>
      </c>
      <c r="AC245" s="12" t="str">
        <f t="shared" si="137"/>
        <v/>
      </c>
      <c r="AD245" s="12" t="str">
        <f t="shared" si="138"/>
        <v/>
      </c>
      <c r="AE245" s="12" t="str">
        <f t="shared" si="139"/>
        <v/>
      </c>
      <c r="AF245" s="12" t="str">
        <f t="shared" si="140"/>
        <v/>
      </c>
      <c r="AG245" s="12"/>
      <c r="AH245" s="12">
        <f t="shared" si="141"/>
        <v>10.8946803985699</v>
      </c>
      <c r="AI245" s="12">
        <f t="shared" si="142"/>
        <v>10.9190893792699</v>
      </c>
      <c r="AJ245" s="12">
        <f t="shared" si="143"/>
        <v>10.931102517051</v>
      </c>
      <c r="AK245" s="12">
        <f t="shared" si="144"/>
        <v>10.938016682385602</v>
      </c>
      <c r="AL245" s="12" t="str">
        <f t="shared" si="145"/>
        <v/>
      </c>
      <c r="AM245" s="12" t="str">
        <f t="shared" si="146"/>
        <v/>
      </c>
      <c r="AN245" s="12" t="str">
        <f t="shared" si="147"/>
        <v/>
      </c>
      <c r="AO245" s="12" t="str">
        <f t="shared" si="148"/>
        <v/>
      </c>
      <c r="AP245" s="12" t="str">
        <f t="shared" si="149"/>
        <v/>
      </c>
    </row>
    <row r="246" spans="1:42">
      <c r="A246" s="9">
        <f t="shared" si="150"/>
        <v>43123.837071759262</v>
      </c>
      <c r="B246" s="22">
        <f t="shared" si="151"/>
        <v>2458142.3370717592</v>
      </c>
      <c r="C246" s="23">
        <f t="shared" si="152"/>
        <v>9.6055102755182755</v>
      </c>
      <c r="D246" s="24">
        <f t="shared" ca="1" si="153"/>
        <v>2.5184055958570806E-2</v>
      </c>
      <c r="E246" s="24">
        <f t="shared" si="154"/>
        <v>8.6246766981406871E-3</v>
      </c>
      <c r="F246" s="25">
        <f t="shared" si="155"/>
        <v>10.902309264776573</v>
      </c>
      <c r="G246" s="7">
        <v>43123.837071759262</v>
      </c>
      <c r="H246" s="11">
        <v>2458142.3370719999</v>
      </c>
      <c r="I246" s="11">
        <v>-12.713660526418399</v>
      </c>
      <c r="J246" s="11">
        <v>-11.4168615371601</v>
      </c>
      <c r="K246" s="11">
        <v>-13.7832949759024</v>
      </c>
      <c r="L246" s="11">
        <v>-12.6355939451791</v>
      </c>
      <c r="M246" s="11">
        <v>-12.873053947424401</v>
      </c>
      <c r="N246" s="11">
        <v>-12.4197403392408</v>
      </c>
      <c r="O246" s="11"/>
      <c r="P246" s="11"/>
      <c r="Q246" s="11"/>
      <c r="R246" s="11"/>
      <c r="S246" s="11"/>
      <c r="T246" s="12"/>
      <c r="U246" s="12">
        <f t="shared" si="129"/>
        <v>4</v>
      </c>
      <c r="V246" s="28">
        <f t="shared" ca="1" si="130"/>
        <v>5.84</v>
      </c>
      <c r="W246" s="28">
        <f t="shared" si="131"/>
        <v>8.6246766981406871E-3</v>
      </c>
      <c r="X246" s="12">
        <f t="shared" si="132"/>
        <v>9.5956344494840007</v>
      </c>
      <c r="Y246" s="12">
        <f t="shared" si="133"/>
        <v>9.6009334187607003</v>
      </c>
      <c r="Z246" s="12">
        <f t="shared" si="134"/>
        <v>9.6123934210060007</v>
      </c>
      <c r="AA246" s="12">
        <f t="shared" si="135"/>
        <v>9.6130798128224004</v>
      </c>
      <c r="AB246" s="12" t="str">
        <f t="shared" si="136"/>
        <v/>
      </c>
      <c r="AC246" s="12" t="str">
        <f t="shared" si="137"/>
        <v/>
      </c>
      <c r="AD246" s="12" t="str">
        <f t="shared" si="138"/>
        <v/>
      </c>
      <c r="AE246" s="12" t="str">
        <f t="shared" si="139"/>
        <v/>
      </c>
      <c r="AF246" s="12" t="str">
        <f t="shared" si="140"/>
        <v/>
      </c>
      <c r="AG246" s="12"/>
      <c r="AH246" s="12">
        <f t="shared" si="141"/>
        <v>10.8924334387423</v>
      </c>
      <c r="AI246" s="12">
        <f t="shared" si="142"/>
        <v>10.897732408018999</v>
      </c>
      <c r="AJ246" s="12">
        <f t="shared" si="143"/>
        <v>10.9091924102643</v>
      </c>
      <c r="AK246" s="12">
        <f t="shared" si="144"/>
        <v>10.9098788020807</v>
      </c>
      <c r="AL246" s="12" t="str">
        <f t="shared" si="145"/>
        <v/>
      </c>
      <c r="AM246" s="12" t="str">
        <f t="shared" si="146"/>
        <v/>
      </c>
      <c r="AN246" s="12" t="str">
        <f t="shared" si="147"/>
        <v/>
      </c>
      <c r="AO246" s="12" t="str">
        <f t="shared" si="148"/>
        <v/>
      </c>
      <c r="AP246" s="12" t="str">
        <f t="shared" si="149"/>
        <v/>
      </c>
    </row>
    <row r="247" spans="1:42">
      <c r="A247" s="9">
        <f t="shared" si="150"/>
        <v>43123.837488425925</v>
      </c>
      <c r="B247" s="22">
        <f t="shared" si="151"/>
        <v>2458142.3374884259</v>
      </c>
      <c r="C247" s="23">
        <f t="shared" si="152"/>
        <v>9.6082417183726996</v>
      </c>
      <c r="D247" s="24">
        <f t="shared" ca="1" si="153"/>
        <v>5.8631092154924493E-2</v>
      </c>
      <c r="E247" s="24">
        <f t="shared" si="154"/>
        <v>2.0079141148946746E-2</v>
      </c>
      <c r="F247" s="25">
        <f t="shared" si="155"/>
        <v>10.906314648444999</v>
      </c>
      <c r="G247" s="7">
        <v>43123.837488425925</v>
      </c>
      <c r="H247" s="11">
        <v>2458142.3374879998</v>
      </c>
      <c r="I247" s="11">
        <v>-12.7105065142971</v>
      </c>
      <c r="J247" s="11">
        <v>-11.4124335842248</v>
      </c>
      <c r="K247" s="11">
        <v>-13.7689366359537</v>
      </c>
      <c r="L247" s="11">
        <v>-12.6316482347079</v>
      </c>
      <c r="M247" s="11">
        <v>-12.8875237673413</v>
      </c>
      <c r="N247" s="11">
        <v>-12.4218842926763</v>
      </c>
      <c r="O247" s="11"/>
      <c r="P247" s="11"/>
      <c r="Q247" s="11"/>
      <c r="R247" s="11"/>
      <c r="S247" s="11"/>
      <c r="T247" s="12"/>
      <c r="U247" s="12">
        <f t="shared" si="129"/>
        <v>4</v>
      </c>
      <c r="V247" s="28">
        <f t="shared" ca="1" si="130"/>
        <v>5.84</v>
      </c>
      <c r="W247" s="28">
        <f t="shared" si="131"/>
        <v>2.0079141148946746E-2</v>
      </c>
      <c r="X247" s="12">
        <f t="shared" si="132"/>
        <v>9.5844301216566006</v>
      </c>
      <c r="Y247" s="12">
        <f t="shared" si="133"/>
        <v>9.6001417204108002</v>
      </c>
      <c r="Z247" s="12">
        <f t="shared" si="134"/>
        <v>9.6300172530441994</v>
      </c>
      <c r="AA247" s="12">
        <f t="shared" si="135"/>
        <v>9.6183777783791999</v>
      </c>
      <c r="AB247" s="12" t="str">
        <f t="shared" si="136"/>
        <v/>
      </c>
      <c r="AC247" s="12" t="str">
        <f t="shared" si="137"/>
        <v/>
      </c>
      <c r="AD247" s="12" t="str">
        <f t="shared" si="138"/>
        <v/>
      </c>
      <c r="AE247" s="12" t="str">
        <f t="shared" si="139"/>
        <v/>
      </c>
      <c r="AF247" s="12" t="str">
        <f t="shared" si="140"/>
        <v/>
      </c>
      <c r="AG247" s="12"/>
      <c r="AH247" s="12">
        <f t="shared" si="141"/>
        <v>10.8825030517289</v>
      </c>
      <c r="AI247" s="12">
        <f t="shared" si="142"/>
        <v>10.8982146504831</v>
      </c>
      <c r="AJ247" s="12">
        <f t="shared" si="143"/>
        <v>10.928090183116499</v>
      </c>
      <c r="AK247" s="12">
        <f t="shared" si="144"/>
        <v>10.916450708451499</v>
      </c>
      <c r="AL247" s="12" t="str">
        <f t="shared" si="145"/>
        <v/>
      </c>
      <c r="AM247" s="12" t="str">
        <f t="shared" si="146"/>
        <v/>
      </c>
      <c r="AN247" s="12" t="str">
        <f t="shared" si="147"/>
        <v/>
      </c>
      <c r="AO247" s="12" t="str">
        <f t="shared" si="148"/>
        <v/>
      </c>
      <c r="AP247" s="12" t="str">
        <f t="shared" si="149"/>
        <v/>
      </c>
    </row>
    <row r="248" spans="1:42">
      <c r="A248" s="9">
        <f t="shared" si="150"/>
        <v>43123.837916666664</v>
      </c>
      <c r="B248" s="22">
        <f t="shared" si="151"/>
        <v>2458142.3379166666</v>
      </c>
      <c r="C248" s="23">
        <f t="shared" si="152"/>
        <v>9.6194097879123746</v>
      </c>
      <c r="D248" s="24">
        <f t="shared" ca="1" si="153"/>
        <v>5.2194450385764118E-2</v>
      </c>
      <c r="E248" s="24">
        <f t="shared" si="154"/>
        <v>1.7874811775946617E-2</v>
      </c>
      <c r="F248" s="25">
        <f t="shared" si="155"/>
        <v>10.932387737097475</v>
      </c>
      <c r="G248" s="7">
        <v>43123.837916666664</v>
      </c>
      <c r="H248" s="11">
        <v>2458142.3379170001</v>
      </c>
      <c r="I248" s="11">
        <v>-12.7026270808518</v>
      </c>
      <c r="J248" s="11">
        <v>-11.389649131666699</v>
      </c>
      <c r="K248" s="11">
        <v>-13.7695080445671</v>
      </c>
      <c r="L248" s="11">
        <v>-12.648337320764901</v>
      </c>
      <c r="M248" s="11">
        <v>-12.878835122778201</v>
      </c>
      <c r="N248" s="11">
        <v>-12.426466986946499</v>
      </c>
      <c r="O248" s="11"/>
      <c r="P248" s="11"/>
      <c r="Q248" s="11"/>
      <c r="R248" s="11"/>
      <c r="S248" s="11"/>
      <c r="T248" s="12"/>
      <c r="U248" s="12">
        <f t="shared" si="129"/>
        <v>4</v>
      </c>
      <c r="V248" s="28">
        <f t="shared" ca="1" si="130"/>
        <v>5.84</v>
      </c>
      <c r="W248" s="28">
        <f t="shared" si="131"/>
        <v>1.7874811775946617E-2</v>
      </c>
      <c r="X248" s="12">
        <f t="shared" si="132"/>
        <v>9.5928809637153005</v>
      </c>
      <c r="Y248" s="12">
        <f t="shared" si="133"/>
        <v>9.6247102399131013</v>
      </c>
      <c r="Z248" s="12">
        <f t="shared" si="134"/>
        <v>9.6292080419264003</v>
      </c>
      <c r="AA248" s="12">
        <f t="shared" si="135"/>
        <v>9.6308399060946996</v>
      </c>
      <c r="AB248" s="12" t="str">
        <f t="shared" si="136"/>
        <v/>
      </c>
      <c r="AC248" s="12" t="str">
        <f t="shared" si="137"/>
        <v/>
      </c>
      <c r="AD248" s="12" t="str">
        <f t="shared" si="138"/>
        <v/>
      </c>
      <c r="AE248" s="12" t="str">
        <f t="shared" si="139"/>
        <v/>
      </c>
      <c r="AF248" s="12" t="str">
        <f t="shared" si="140"/>
        <v/>
      </c>
      <c r="AG248" s="12"/>
      <c r="AH248" s="12">
        <f t="shared" si="141"/>
        <v>10.905858912900401</v>
      </c>
      <c r="AI248" s="12">
        <f t="shared" si="142"/>
        <v>10.937688189098202</v>
      </c>
      <c r="AJ248" s="12">
        <f t="shared" si="143"/>
        <v>10.942185991111501</v>
      </c>
      <c r="AK248" s="12">
        <f t="shared" si="144"/>
        <v>10.9438178552798</v>
      </c>
      <c r="AL248" s="12" t="str">
        <f t="shared" si="145"/>
        <v/>
      </c>
      <c r="AM248" s="12" t="str">
        <f t="shared" si="146"/>
        <v/>
      </c>
      <c r="AN248" s="12" t="str">
        <f t="shared" si="147"/>
        <v/>
      </c>
      <c r="AO248" s="12" t="str">
        <f t="shared" si="148"/>
        <v/>
      </c>
      <c r="AP248" s="12" t="str">
        <f t="shared" si="149"/>
        <v/>
      </c>
    </row>
    <row r="249" spans="1:42">
      <c r="A249" s="9">
        <f t="shared" si="150"/>
        <v>43123.838333333333</v>
      </c>
      <c r="B249" s="22">
        <f t="shared" si="151"/>
        <v>2458142.3383333334</v>
      </c>
      <c r="C249" s="23">
        <f t="shared" si="152"/>
        <v>9.6178734075290233</v>
      </c>
      <c r="D249" s="24">
        <f t="shared" ca="1" si="153"/>
        <v>6.2725823914412351E-2</v>
      </c>
      <c r="E249" s="24">
        <f t="shared" si="154"/>
        <v>2.1481446546031627E-2</v>
      </c>
      <c r="F249" s="25">
        <f t="shared" si="155"/>
        <v>10.925229642297724</v>
      </c>
      <c r="G249" s="7">
        <v>43123.838333333333</v>
      </c>
      <c r="H249" s="11">
        <v>2458142.338333</v>
      </c>
      <c r="I249" s="11">
        <v>-12.708956153493901</v>
      </c>
      <c r="J249" s="11">
        <v>-11.4015999187252</v>
      </c>
      <c r="K249" s="11">
        <v>-13.769808551890399</v>
      </c>
      <c r="L249" s="11">
        <v>-12.650338552114199</v>
      </c>
      <c r="M249" s="11">
        <v>-12.890241029025001</v>
      </c>
      <c r="N249" s="11">
        <v>-12.431930111062099</v>
      </c>
      <c r="O249" s="11"/>
      <c r="P249" s="11"/>
      <c r="Q249" s="11"/>
      <c r="R249" s="11"/>
      <c r="S249" s="11"/>
      <c r="T249" s="12"/>
      <c r="U249" s="12">
        <f t="shared" si="129"/>
        <v>4</v>
      </c>
      <c r="V249" s="28">
        <f t="shared" ca="1" si="130"/>
        <v>5.84</v>
      </c>
      <c r="W249" s="28">
        <f t="shared" si="131"/>
        <v>2.1481446546031627E-2</v>
      </c>
      <c r="X249" s="12">
        <f t="shared" si="132"/>
        <v>9.5868523983964984</v>
      </c>
      <c r="Y249" s="12">
        <f t="shared" si="133"/>
        <v>9.6203823986202988</v>
      </c>
      <c r="Z249" s="12">
        <f t="shared" si="134"/>
        <v>9.6342848755310992</v>
      </c>
      <c r="AA249" s="12">
        <f t="shared" si="135"/>
        <v>9.6299739575681986</v>
      </c>
      <c r="AB249" s="12" t="str">
        <f t="shared" si="136"/>
        <v/>
      </c>
      <c r="AC249" s="12" t="str">
        <f t="shared" si="137"/>
        <v/>
      </c>
      <c r="AD249" s="12" t="str">
        <f t="shared" si="138"/>
        <v/>
      </c>
      <c r="AE249" s="12" t="str">
        <f t="shared" si="139"/>
        <v/>
      </c>
      <c r="AF249" s="12" t="str">
        <f t="shared" si="140"/>
        <v/>
      </c>
      <c r="AG249" s="12"/>
      <c r="AH249" s="12">
        <f t="shared" si="141"/>
        <v>10.894208633165199</v>
      </c>
      <c r="AI249" s="12">
        <f t="shared" si="142"/>
        <v>10.927738633389</v>
      </c>
      <c r="AJ249" s="12">
        <f t="shared" si="143"/>
        <v>10.9416411102998</v>
      </c>
      <c r="AK249" s="12">
        <f t="shared" si="144"/>
        <v>10.9373301923369</v>
      </c>
      <c r="AL249" s="12" t="str">
        <f t="shared" si="145"/>
        <v/>
      </c>
      <c r="AM249" s="12" t="str">
        <f t="shared" si="146"/>
        <v/>
      </c>
      <c r="AN249" s="12" t="str">
        <f t="shared" si="147"/>
        <v/>
      </c>
      <c r="AO249" s="12" t="str">
        <f t="shared" si="148"/>
        <v/>
      </c>
      <c r="AP249" s="12" t="str">
        <f t="shared" si="149"/>
        <v/>
      </c>
    </row>
    <row r="250" spans="1:42">
      <c r="A250" s="9">
        <f t="shared" si="150"/>
        <v>43123.838761574072</v>
      </c>
      <c r="B250" s="22">
        <f t="shared" si="151"/>
        <v>2458142.3387615741</v>
      </c>
      <c r="C250" s="23">
        <f t="shared" si="152"/>
        <v>9.6332748628546501</v>
      </c>
      <c r="D250" s="24">
        <f t="shared" ca="1" si="153"/>
        <v>6.812292463513199E-2</v>
      </c>
      <c r="E250" s="24">
        <f t="shared" si="154"/>
        <v>2.3329768710661641E-2</v>
      </c>
      <c r="F250" s="25">
        <f t="shared" si="155"/>
        <v>10.93189578270745</v>
      </c>
      <c r="G250" s="7">
        <v>43123.838761574072</v>
      </c>
      <c r="H250" s="11">
        <v>2458142.3387620002</v>
      </c>
      <c r="I250" s="11">
        <v>-12.6909195370588</v>
      </c>
      <c r="J250" s="11">
        <v>-11.392298617206</v>
      </c>
      <c r="K250" s="11">
        <v>-13.7654480671684</v>
      </c>
      <c r="L250" s="11">
        <v>-12.6446474809596</v>
      </c>
      <c r="M250" s="11">
        <v>-12.886110044633</v>
      </c>
      <c r="N250" s="11">
        <v>-12.4355720068928</v>
      </c>
      <c r="O250" s="11"/>
      <c r="P250" s="11"/>
      <c r="Q250" s="11"/>
      <c r="R250" s="11"/>
      <c r="S250" s="11"/>
      <c r="T250" s="12"/>
      <c r="U250" s="12">
        <f t="shared" si="129"/>
        <v>4</v>
      </c>
      <c r="V250" s="28">
        <f t="shared" ca="1" si="130"/>
        <v>5.84</v>
      </c>
      <c r="W250" s="28">
        <f t="shared" si="131"/>
        <v>2.3329768710661641E-2</v>
      </c>
      <c r="X250" s="12">
        <f t="shared" si="132"/>
        <v>9.6005285301095995</v>
      </c>
      <c r="Y250" s="12">
        <f t="shared" si="133"/>
        <v>9.6327279439008002</v>
      </c>
      <c r="Z250" s="12">
        <f t="shared" si="134"/>
        <v>9.6481905075741992</v>
      </c>
      <c r="AA250" s="12">
        <f t="shared" si="135"/>
        <v>9.6516524698339996</v>
      </c>
      <c r="AB250" s="12" t="str">
        <f t="shared" si="136"/>
        <v/>
      </c>
      <c r="AC250" s="12" t="str">
        <f t="shared" si="137"/>
        <v/>
      </c>
      <c r="AD250" s="12" t="str">
        <f t="shared" si="138"/>
        <v/>
      </c>
      <c r="AE250" s="12" t="str">
        <f t="shared" si="139"/>
        <v/>
      </c>
      <c r="AF250" s="12" t="str">
        <f t="shared" si="140"/>
        <v/>
      </c>
      <c r="AG250" s="12"/>
      <c r="AH250" s="12">
        <f t="shared" si="141"/>
        <v>10.899149449962399</v>
      </c>
      <c r="AI250" s="12">
        <f t="shared" si="142"/>
        <v>10.9313488637536</v>
      </c>
      <c r="AJ250" s="12">
        <f t="shared" si="143"/>
        <v>10.946811427426999</v>
      </c>
      <c r="AK250" s="12">
        <f t="shared" si="144"/>
        <v>10.950273389686799</v>
      </c>
      <c r="AL250" s="12" t="str">
        <f t="shared" si="145"/>
        <v/>
      </c>
      <c r="AM250" s="12" t="str">
        <f t="shared" si="146"/>
        <v/>
      </c>
      <c r="AN250" s="12" t="str">
        <f t="shared" si="147"/>
        <v/>
      </c>
      <c r="AO250" s="12" t="str">
        <f t="shared" si="148"/>
        <v/>
      </c>
      <c r="AP250" s="12" t="str">
        <f t="shared" si="149"/>
        <v/>
      </c>
    </row>
    <row r="251" spans="1:42">
      <c r="A251" s="9">
        <f t="shared" si="150"/>
        <v>43123.839178240742</v>
      </c>
      <c r="B251" s="22">
        <f t="shared" si="151"/>
        <v>2458142.3391782409</v>
      </c>
      <c r="C251" s="23">
        <f t="shared" si="152"/>
        <v>9.6359045534082508</v>
      </c>
      <c r="D251" s="24">
        <f t="shared" ca="1" si="153"/>
        <v>6.5819544584113904E-2</v>
      </c>
      <c r="E251" s="24">
        <f t="shared" si="154"/>
        <v>2.2540939926066407E-2</v>
      </c>
      <c r="F251" s="25">
        <f t="shared" si="155"/>
        <v>10.937789066825751</v>
      </c>
      <c r="G251" s="7">
        <v>43123.839178240742</v>
      </c>
      <c r="H251" s="11">
        <v>2458142.3391780001</v>
      </c>
      <c r="I251" s="11">
        <v>-12.679899451608399</v>
      </c>
      <c r="J251" s="11">
        <v>-11.378014938190899</v>
      </c>
      <c r="K251" s="11">
        <v>-13.757415762565</v>
      </c>
      <c r="L251" s="11">
        <v>-12.638468973429701</v>
      </c>
      <c r="M251" s="11">
        <v>-12.8786908874561</v>
      </c>
      <c r="N251" s="11">
        <v>-12.4236403966158</v>
      </c>
      <c r="O251" s="11"/>
      <c r="P251" s="11"/>
      <c r="Q251" s="11"/>
      <c r="R251" s="11"/>
      <c r="S251" s="11"/>
      <c r="T251" s="12"/>
      <c r="U251" s="12">
        <f t="shared" si="129"/>
        <v>4</v>
      </c>
      <c r="V251" s="28">
        <f t="shared" ca="1" si="130"/>
        <v>5.84</v>
      </c>
      <c r="W251" s="28">
        <f t="shared" si="131"/>
        <v>2.2540939926066407E-2</v>
      </c>
      <c r="X251" s="12">
        <f t="shared" si="132"/>
        <v>9.6035163109566</v>
      </c>
      <c r="Y251" s="12">
        <f t="shared" si="133"/>
        <v>9.6375695218213018</v>
      </c>
      <c r="Z251" s="12">
        <f t="shared" si="134"/>
        <v>9.6517914358477004</v>
      </c>
      <c r="AA251" s="12">
        <f t="shared" si="135"/>
        <v>9.6507409450074011</v>
      </c>
      <c r="AB251" s="12" t="str">
        <f t="shared" si="136"/>
        <v/>
      </c>
      <c r="AC251" s="12" t="str">
        <f t="shared" si="137"/>
        <v/>
      </c>
      <c r="AD251" s="12" t="str">
        <f t="shared" si="138"/>
        <v/>
      </c>
      <c r="AE251" s="12" t="str">
        <f t="shared" si="139"/>
        <v/>
      </c>
      <c r="AF251" s="12" t="str">
        <f t="shared" si="140"/>
        <v/>
      </c>
      <c r="AG251" s="12"/>
      <c r="AH251" s="12">
        <f t="shared" si="141"/>
        <v>10.9054008243741</v>
      </c>
      <c r="AI251" s="12">
        <f t="shared" si="142"/>
        <v>10.939454035238802</v>
      </c>
      <c r="AJ251" s="12">
        <f t="shared" si="143"/>
        <v>10.9536759492652</v>
      </c>
      <c r="AK251" s="12">
        <f t="shared" si="144"/>
        <v>10.952625458424901</v>
      </c>
      <c r="AL251" s="12" t="str">
        <f t="shared" si="145"/>
        <v/>
      </c>
      <c r="AM251" s="12" t="str">
        <f t="shared" si="146"/>
        <v/>
      </c>
      <c r="AN251" s="12" t="str">
        <f t="shared" si="147"/>
        <v/>
      </c>
      <c r="AO251" s="12" t="str">
        <f t="shared" si="148"/>
        <v/>
      </c>
      <c r="AP251" s="12" t="str">
        <f t="shared" si="149"/>
        <v/>
      </c>
    </row>
    <row r="252" spans="1:42">
      <c r="A252" s="9">
        <f t="shared" si="150"/>
        <v>43123.839594907404</v>
      </c>
      <c r="B252" s="22">
        <f t="shared" si="151"/>
        <v>2458142.3395949076</v>
      </c>
      <c r="C252" s="23">
        <f t="shared" si="152"/>
        <v>9.6072046344647255</v>
      </c>
      <c r="D252" s="24">
        <f t="shared" ca="1" si="153"/>
        <v>5.3514012317463534E-2</v>
      </c>
      <c r="E252" s="24">
        <f t="shared" si="154"/>
        <v>1.8326716547076554E-2</v>
      </c>
      <c r="F252" s="25">
        <f t="shared" si="155"/>
        <v>10.923319295513426</v>
      </c>
      <c r="G252" s="7">
        <v>43123.839594907404</v>
      </c>
      <c r="H252" s="11">
        <v>2458142.3395949998</v>
      </c>
      <c r="I252" s="11">
        <v>-12.7122698641399</v>
      </c>
      <c r="J252" s="11">
        <v>-11.396155203091199</v>
      </c>
      <c r="K252" s="11">
        <v>-13.766639108648899</v>
      </c>
      <c r="L252" s="11">
        <v>-12.648374346932099</v>
      </c>
      <c r="M252" s="11">
        <v>-12.880726749126101</v>
      </c>
      <c r="N252" s="11">
        <v>-12.4171577897114</v>
      </c>
      <c r="O252" s="11"/>
      <c r="P252" s="11"/>
      <c r="Q252" s="11"/>
      <c r="R252" s="11"/>
      <c r="S252" s="11"/>
      <c r="T252" s="12"/>
      <c r="U252" s="12">
        <f t="shared" si="129"/>
        <v>4</v>
      </c>
      <c r="V252" s="28">
        <f t="shared" ca="1" si="130"/>
        <v>5.84</v>
      </c>
      <c r="W252" s="28">
        <f t="shared" si="131"/>
        <v>1.8326716547076554E-2</v>
      </c>
      <c r="X252" s="12">
        <f t="shared" si="132"/>
        <v>9.580369244508999</v>
      </c>
      <c r="Y252" s="12">
        <f t="shared" si="133"/>
        <v>9.6151044827921996</v>
      </c>
      <c r="Z252" s="12">
        <f t="shared" si="134"/>
        <v>9.6214568849862001</v>
      </c>
      <c r="AA252" s="12">
        <f t="shared" si="135"/>
        <v>9.6118879255714997</v>
      </c>
      <c r="AB252" s="12" t="str">
        <f t="shared" si="136"/>
        <v/>
      </c>
      <c r="AC252" s="12" t="str">
        <f t="shared" si="137"/>
        <v/>
      </c>
      <c r="AD252" s="12" t="str">
        <f t="shared" si="138"/>
        <v/>
      </c>
      <c r="AE252" s="12" t="str">
        <f t="shared" si="139"/>
        <v/>
      </c>
      <c r="AF252" s="12" t="str">
        <f t="shared" si="140"/>
        <v/>
      </c>
      <c r="AG252" s="12"/>
      <c r="AH252" s="12">
        <f t="shared" si="141"/>
        <v>10.8964839055577</v>
      </c>
      <c r="AI252" s="12">
        <f t="shared" si="142"/>
        <v>10.931219143840901</v>
      </c>
      <c r="AJ252" s="12">
        <f t="shared" si="143"/>
        <v>10.937571546034901</v>
      </c>
      <c r="AK252" s="12">
        <f t="shared" si="144"/>
        <v>10.928002586620201</v>
      </c>
      <c r="AL252" s="12" t="str">
        <f t="shared" si="145"/>
        <v/>
      </c>
      <c r="AM252" s="12" t="str">
        <f t="shared" si="146"/>
        <v/>
      </c>
      <c r="AN252" s="12" t="str">
        <f t="shared" si="147"/>
        <v/>
      </c>
      <c r="AO252" s="12" t="str">
        <f t="shared" si="148"/>
        <v/>
      </c>
      <c r="AP252" s="12" t="str">
        <f t="shared" si="149"/>
        <v/>
      </c>
    </row>
    <row r="253" spans="1:42">
      <c r="A253" s="9">
        <f t="shared" si="150"/>
        <v>43123.84002314815</v>
      </c>
      <c r="B253" s="22">
        <f t="shared" si="151"/>
        <v>2458142.3400231483</v>
      </c>
      <c r="C253" s="23">
        <f t="shared" si="152"/>
        <v>9.6180116658239747</v>
      </c>
      <c r="D253" s="24">
        <f t="shared" ca="1" si="153"/>
        <v>5.1020164582611029E-2</v>
      </c>
      <c r="E253" s="24">
        <f t="shared" si="154"/>
        <v>1.7472659103633915E-2</v>
      </c>
      <c r="F253" s="25">
        <f t="shared" si="155"/>
        <v>10.924969725233575</v>
      </c>
      <c r="G253" s="7">
        <v>43123.84002314815</v>
      </c>
      <c r="H253" s="11">
        <v>2458142.3400229998</v>
      </c>
      <c r="I253" s="11">
        <v>-12.6978021562586</v>
      </c>
      <c r="J253" s="11">
        <v>-11.390844096848999</v>
      </c>
      <c r="K253" s="11">
        <v>-13.765355087073599</v>
      </c>
      <c r="L253" s="11">
        <v>-12.6403586924761</v>
      </c>
      <c r="M253" s="11">
        <v>-12.879843073521799</v>
      </c>
      <c r="N253" s="11">
        <v>-12.4126984352588</v>
      </c>
      <c r="O253" s="11"/>
      <c r="P253" s="11"/>
      <c r="Q253" s="11"/>
      <c r="R253" s="11"/>
      <c r="S253" s="11"/>
      <c r="T253" s="12"/>
      <c r="U253" s="12">
        <f t="shared" si="129"/>
        <v>4</v>
      </c>
      <c r="V253" s="28">
        <f t="shared" ca="1" si="130"/>
        <v>5.84</v>
      </c>
      <c r="W253" s="28">
        <f t="shared" si="131"/>
        <v>1.7472659103633915E-2</v>
      </c>
      <c r="X253" s="12">
        <f t="shared" si="132"/>
        <v>9.5935529308149992</v>
      </c>
      <c r="Y253" s="12">
        <f t="shared" si="133"/>
        <v>9.6215565362175006</v>
      </c>
      <c r="Z253" s="12">
        <f t="shared" si="134"/>
        <v>9.6350409172631988</v>
      </c>
      <c r="AA253" s="12">
        <f t="shared" si="135"/>
        <v>9.6218962790002003</v>
      </c>
      <c r="AB253" s="12" t="str">
        <f t="shared" si="136"/>
        <v/>
      </c>
      <c r="AC253" s="12" t="str">
        <f t="shared" si="137"/>
        <v/>
      </c>
      <c r="AD253" s="12" t="str">
        <f t="shared" si="138"/>
        <v/>
      </c>
      <c r="AE253" s="12" t="str">
        <f t="shared" si="139"/>
        <v/>
      </c>
      <c r="AF253" s="12" t="str">
        <f t="shared" si="140"/>
        <v/>
      </c>
      <c r="AG253" s="12"/>
      <c r="AH253" s="12">
        <f t="shared" si="141"/>
        <v>10.9005109902246</v>
      </c>
      <c r="AI253" s="12">
        <f t="shared" si="142"/>
        <v>10.928514595627101</v>
      </c>
      <c r="AJ253" s="12">
        <f t="shared" si="143"/>
        <v>10.941998976672799</v>
      </c>
      <c r="AK253" s="12">
        <f t="shared" si="144"/>
        <v>10.928854338409801</v>
      </c>
      <c r="AL253" s="12" t="str">
        <f t="shared" si="145"/>
        <v/>
      </c>
      <c r="AM253" s="12" t="str">
        <f t="shared" si="146"/>
        <v/>
      </c>
      <c r="AN253" s="12" t="str">
        <f t="shared" si="147"/>
        <v/>
      </c>
      <c r="AO253" s="12" t="str">
        <f t="shared" si="148"/>
        <v/>
      </c>
      <c r="AP253" s="12" t="str">
        <f t="shared" si="149"/>
        <v/>
      </c>
    </row>
    <row r="254" spans="1:42">
      <c r="A254" s="9">
        <f t="shared" si="150"/>
        <v>43123.840439814812</v>
      </c>
      <c r="B254" s="22">
        <f t="shared" si="151"/>
        <v>2458142.3404398146</v>
      </c>
      <c r="C254" s="23">
        <f t="shared" si="152"/>
        <v>9.6170399518947747</v>
      </c>
      <c r="D254" s="24">
        <f t="shared" ca="1" si="153"/>
        <v>5.0179117926578878E-2</v>
      </c>
      <c r="E254" s="24">
        <f t="shared" si="154"/>
        <v>1.7184629426910576E-2</v>
      </c>
      <c r="F254" s="25">
        <f t="shared" si="155"/>
        <v>10.934534203738373</v>
      </c>
      <c r="G254" s="7">
        <v>43123.840439814812</v>
      </c>
      <c r="H254" s="11">
        <v>2458142.3404399999</v>
      </c>
      <c r="I254" s="11">
        <v>-12.700506926536301</v>
      </c>
      <c r="J254" s="11">
        <v>-11.383012674692701</v>
      </c>
      <c r="K254" s="11">
        <v>-13.7665680329227</v>
      </c>
      <c r="L254" s="11">
        <v>-12.641010144971901</v>
      </c>
      <c r="M254" s="11">
        <v>-12.876911106461799</v>
      </c>
      <c r="N254" s="11">
        <v>-12.4206982293679</v>
      </c>
      <c r="O254" s="11"/>
      <c r="P254" s="11"/>
      <c r="Q254" s="11"/>
      <c r="R254" s="11"/>
      <c r="S254" s="11"/>
      <c r="T254" s="12"/>
      <c r="U254" s="12">
        <f t="shared" si="129"/>
        <v>4</v>
      </c>
      <c r="V254" s="28">
        <f t="shared" ca="1" si="130"/>
        <v>5.84</v>
      </c>
      <c r="W254" s="28">
        <f t="shared" si="131"/>
        <v>1.7184629426910576E-2</v>
      </c>
      <c r="X254" s="12">
        <f t="shared" si="132"/>
        <v>9.5920611063863994</v>
      </c>
      <c r="Y254" s="12">
        <f t="shared" si="133"/>
        <v>9.6195032184356002</v>
      </c>
      <c r="Z254" s="12">
        <f t="shared" si="134"/>
        <v>9.6294041799254977</v>
      </c>
      <c r="AA254" s="12">
        <f t="shared" si="135"/>
        <v>9.6271913028315996</v>
      </c>
      <c r="AB254" s="12" t="str">
        <f t="shared" si="136"/>
        <v/>
      </c>
      <c r="AC254" s="12" t="str">
        <f t="shared" si="137"/>
        <v/>
      </c>
      <c r="AD254" s="12" t="str">
        <f t="shared" si="138"/>
        <v/>
      </c>
      <c r="AE254" s="12" t="str">
        <f t="shared" si="139"/>
        <v/>
      </c>
      <c r="AF254" s="12" t="str">
        <f t="shared" si="140"/>
        <v/>
      </c>
      <c r="AG254" s="12"/>
      <c r="AH254" s="12">
        <f t="shared" si="141"/>
        <v>10.90955535823</v>
      </c>
      <c r="AI254" s="12">
        <f t="shared" si="142"/>
        <v>10.9369974702792</v>
      </c>
      <c r="AJ254" s="12">
        <f t="shared" si="143"/>
        <v>10.946898431769098</v>
      </c>
      <c r="AK254" s="12">
        <f t="shared" si="144"/>
        <v>10.9446855546752</v>
      </c>
      <c r="AL254" s="12" t="str">
        <f t="shared" si="145"/>
        <v/>
      </c>
      <c r="AM254" s="12" t="str">
        <f t="shared" si="146"/>
        <v/>
      </c>
      <c r="AN254" s="12" t="str">
        <f t="shared" si="147"/>
        <v/>
      </c>
      <c r="AO254" s="12" t="str">
        <f t="shared" si="148"/>
        <v/>
      </c>
      <c r="AP254" s="12" t="str">
        <f t="shared" si="149"/>
        <v/>
      </c>
    </row>
    <row r="255" spans="1:42">
      <c r="A255" s="9">
        <f t="shared" si="150"/>
        <v>43123.840856481482</v>
      </c>
      <c r="B255" s="22">
        <f t="shared" si="151"/>
        <v>2458142.3408564813</v>
      </c>
      <c r="C255" s="23">
        <f t="shared" si="152"/>
        <v>9.6172241927918485</v>
      </c>
      <c r="D255" s="24">
        <f t="shared" ca="1" si="153"/>
        <v>5.970815591411955E-2</v>
      </c>
      <c r="E255" s="24">
        <f t="shared" si="154"/>
        <v>2.0447998600725874E-2</v>
      </c>
      <c r="F255" s="25">
        <f t="shared" si="155"/>
        <v>10.911224489778949</v>
      </c>
      <c r="G255" s="7">
        <v>43123.840856481482</v>
      </c>
      <c r="H255" s="11">
        <v>2458142.3408559998</v>
      </c>
      <c r="I255" s="11">
        <v>-12.697890814729201</v>
      </c>
      <c r="J255" s="11">
        <v>-11.4038905177421</v>
      </c>
      <c r="K255" s="11">
        <v>-13.759716106934601</v>
      </c>
      <c r="L255" s="11">
        <v>-12.638326683694</v>
      </c>
      <c r="M255" s="11">
        <v>-12.8785016903933</v>
      </c>
      <c r="N255" s="11">
        <v>-12.4189155490623</v>
      </c>
      <c r="O255" s="11"/>
      <c r="P255" s="11"/>
      <c r="Q255" s="11"/>
      <c r="R255" s="11"/>
      <c r="S255" s="11"/>
      <c r="T255" s="12"/>
      <c r="U255" s="12">
        <f t="shared" ref="U255:U318" si="156">MIN(COUNTA(K$25:S$25),COUNTA(K255:S255))</f>
        <v>4</v>
      </c>
      <c r="V255" s="28">
        <f t="shared" ref="V255:V318" ca="1" si="157">IF(U255&gt;1,INDIRECT(ADDRESS(U255+1,3,1,1,"Student")),"")</f>
        <v>5.84</v>
      </c>
      <c r="W255" s="28">
        <f t="shared" ref="W255:W318" si="158">IF(U255&gt;0,STDEV(X255:AF255),"")</f>
        <v>2.0447998600725874E-2</v>
      </c>
      <c r="X255" s="12">
        <f t="shared" ref="X255:X318" si="159">IF(OR(ISBLANK(K$25),ISBLANK(K255),ISBLANK($I255)),"",$I255-K255+K$25)</f>
        <v>9.5878252922053999</v>
      </c>
      <c r="Y255" s="12">
        <f t="shared" ref="Y255:Y318" si="160">IF(OR(ISBLANK(L$25),ISBLANK(L255),ISBLANK($I255)),"",$I255-L255+L$25)</f>
        <v>9.6194358689647999</v>
      </c>
      <c r="Z255" s="12">
        <f t="shared" ref="Z255:Z318" si="161">IF(OR(ISBLANK(M$25),ISBLANK(M255),ISBLANK($I255)),"",$I255-M255+M$25)</f>
        <v>9.6336108756640986</v>
      </c>
      <c r="AA255" s="12">
        <f t="shared" ref="AA255:AA318" si="162">IF(OR(ISBLANK(N$25),ISBLANK(N255),ISBLANK($I255)),"",$I255-N255+N$25)</f>
        <v>9.6280247343330991</v>
      </c>
      <c r="AB255" s="12" t="str">
        <f t="shared" ref="AB255:AB318" si="163">IF(OR(ISBLANK(O$25),ISBLANK(O255),ISBLANK($I255)),"",$I255-O255+O$25)</f>
        <v/>
      </c>
      <c r="AC255" s="12" t="str">
        <f t="shared" ref="AC255:AC318" si="164">IF(OR(ISBLANK(P$25),ISBLANK(P255),ISBLANK($I255)),"",$I255-P255+P$25)</f>
        <v/>
      </c>
      <c r="AD255" s="12" t="str">
        <f t="shared" ref="AD255:AD318" si="165">IF(OR(ISBLANK(Q$25),ISBLANK(Q255),ISBLANK($I255)),"",$I255-Q255+Q$25)</f>
        <v/>
      </c>
      <c r="AE255" s="12" t="str">
        <f t="shared" ref="AE255:AE318" si="166">IF(OR(ISBLANK(R$25),ISBLANK(R255),ISBLANK($I255)),"",$I255-R255+R$25)</f>
        <v/>
      </c>
      <c r="AF255" s="12" t="str">
        <f t="shared" ref="AF255:AF318" si="167">IF(OR(ISBLANK(S$25),ISBLANK(S255),ISBLANK($I255)),"",$I255-S255+S$25)</f>
        <v/>
      </c>
      <c r="AG255" s="12"/>
      <c r="AH255" s="12">
        <f t="shared" ref="AH255:AH318" si="168">IF(OR(ISBLANK(K$25),ISBLANK(K255),ISBLANK($J255)),"",$J255-K255+K$25)</f>
        <v>10.8818255891925</v>
      </c>
      <c r="AI255" s="12">
        <f t="shared" ref="AI255:AI318" si="169">IF(OR(ISBLANK(L$25),ISBLANK(L255),ISBLANK($J255)),"",$J255-L255+L$25)</f>
        <v>10.9134361659519</v>
      </c>
      <c r="AJ255" s="12">
        <f t="shared" ref="AJ255:AJ318" si="170">IF(OR(ISBLANK(M$25),ISBLANK(M255),ISBLANK($J255)),"",$J255-M255+M$25)</f>
        <v>10.927611172651199</v>
      </c>
      <c r="AK255" s="12">
        <f t="shared" ref="AK255:AK318" si="171">IF(OR(ISBLANK(N$25),ISBLANK(N255),ISBLANK($J255)),"",$J255-N255+N$25)</f>
        <v>10.922025031320199</v>
      </c>
      <c r="AL255" s="12" t="str">
        <f t="shared" ref="AL255:AL318" si="172">IF(OR(ISBLANK(O$25),ISBLANK(O255),ISBLANK($J255)),"",$J255-O255+O$25)</f>
        <v/>
      </c>
      <c r="AM255" s="12" t="str">
        <f t="shared" ref="AM255:AM318" si="173">IF(OR(ISBLANK(P$25),ISBLANK(P255),ISBLANK($J255)),"",$J255-P255+P$25)</f>
        <v/>
      </c>
      <c r="AN255" s="12" t="str">
        <f t="shared" ref="AN255:AN318" si="174">IF(OR(ISBLANK(Q$25),ISBLANK(Q255),ISBLANK($J255)),"",$J255-Q255+Q$25)</f>
        <v/>
      </c>
      <c r="AO255" s="12" t="str">
        <f t="shared" ref="AO255:AO318" si="175">IF(OR(ISBLANK(R$25),ISBLANK(R255),ISBLANK($J255)),"",$J255-R255+R$25)</f>
        <v/>
      </c>
      <c r="AP255" s="12" t="str">
        <f t="shared" ref="AP255:AP318" si="176">IF(OR(ISBLANK(S$25),ISBLANK(S255),ISBLANK($J255)),"",$J255-S255+S$25)</f>
        <v/>
      </c>
    </row>
    <row r="256" spans="1:42">
      <c r="A256" s="9">
        <f t="shared" si="150"/>
        <v>43123.841284722221</v>
      </c>
      <c r="B256" s="22">
        <f t="shared" si="151"/>
        <v>2458142.3412847221</v>
      </c>
      <c r="C256" s="23">
        <f t="shared" si="152"/>
        <v>9.624154818601026</v>
      </c>
      <c r="D256" s="24">
        <f t="shared" ca="1" si="153"/>
        <v>4.7925213882215288E-2</v>
      </c>
      <c r="E256" s="24">
        <f t="shared" si="154"/>
        <v>1.6412744480210715E-2</v>
      </c>
      <c r="F256" s="25">
        <f t="shared" si="155"/>
        <v>10.944334662234226</v>
      </c>
      <c r="G256" s="7">
        <v>43123.841284722221</v>
      </c>
      <c r="H256" s="11">
        <v>2458142.3412850001</v>
      </c>
      <c r="I256" s="11">
        <v>-12.6893910772553</v>
      </c>
      <c r="J256" s="11">
        <v>-11.369211233622099</v>
      </c>
      <c r="K256" s="11">
        <v>-13.763175916649899</v>
      </c>
      <c r="L256" s="11">
        <v>-12.645131723121301</v>
      </c>
      <c r="M256" s="11">
        <v>-12.865543572669001</v>
      </c>
      <c r="N256" s="11">
        <v>-12.4153323709851</v>
      </c>
      <c r="O256" s="11"/>
      <c r="P256" s="11"/>
      <c r="Q256" s="11"/>
      <c r="R256" s="11"/>
      <c r="S256" s="11"/>
      <c r="T256" s="12"/>
      <c r="U256" s="12">
        <f t="shared" si="156"/>
        <v>4</v>
      </c>
      <c r="V256" s="28">
        <f t="shared" ca="1" si="157"/>
        <v>5.84</v>
      </c>
      <c r="W256" s="28">
        <f t="shared" si="158"/>
        <v>1.6412744480210715E-2</v>
      </c>
      <c r="X256" s="12">
        <f t="shared" si="159"/>
        <v>9.5997848393945997</v>
      </c>
      <c r="Y256" s="12">
        <f t="shared" si="160"/>
        <v>9.6347406458660014</v>
      </c>
      <c r="Z256" s="12">
        <f t="shared" si="161"/>
        <v>9.6291524954137007</v>
      </c>
      <c r="AA256" s="12">
        <f t="shared" si="162"/>
        <v>9.6329412937298002</v>
      </c>
      <c r="AB256" s="12" t="str">
        <f t="shared" si="163"/>
        <v/>
      </c>
      <c r="AC256" s="12" t="str">
        <f t="shared" si="164"/>
        <v/>
      </c>
      <c r="AD256" s="12" t="str">
        <f t="shared" si="165"/>
        <v/>
      </c>
      <c r="AE256" s="12" t="str">
        <f t="shared" si="166"/>
        <v/>
      </c>
      <c r="AF256" s="12" t="str">
        <f t="shared" si="167"/>
        <v/>
      </c>
      <c r="AG256" s="12"/>
      <c r="AH256" s="12">
        <f t="shared" si="168"/>
        <v>10.9199646830278</v>
      </c>
      <c r="AI256" s="12">
        <f t="shared" si="169"/>
        <v>10.954920489499202</v>
      </c>
      <c r="AJ256" s="12">
        <f t="shared" si="170"/>
        <v>10.949332339046901</v>
      </c>
      <c r="AK256" s="12">
        <f t="shared" si="171"/>
        <v>10.953121137363</v>
      </c>
      <c r="AL256" s="12" t="str">
        <f t="shared" si="172"/>
        <v/>
      </c>
      <c r="AM256" s="12" t="str">
        <f t="shared" si="173"/>
        <v/>
      </c>
      <c r="AN256" s="12" t="str">
        <f t="shared" si="174"/>
        <v/>
      </c>
      <c r="AO256" s="12" t="str">
        <f t="shared" si="175"/>
        <v/>
      </c>
      <c r="AP256" s="12" t="str">
        <f t="shared" si="176"/>
        <v/>
      </c>
    </row>
    <row r="257" spans="1:42">
      <c r="A257" s="9">
        <f t="shared" ref="A257:A320" si="177">IF(ISBLANK(G257),"",G257)</f>
        <v>43123.84170138889</v>
      </c>
      <c r="B257" s="22">
        <f t="shared" ref="B257:B320" si="178">IF(ISBLANK(G257),"",G257+2415018.5)</f>
        <v>2458142.3417013888</v>
      </c>
      <c r="C257" s="23">
        <f t="shared" ref="C257:C320" si="179">IF(U257&gt;0,AVERAGE(X257:AF257),"")</f>
        <v>9.6396742263014517</v>
      </c>
      <c r="D257" s="24">
        <f t="shared" ref="D257:D320" ca="1" si="180">IF(U257&gt;0,STDEV(X257:AF257)/SQRT(U257)*V257,"")</f>
        <v>5.1816754762228502E-2</v>
      </c>
      <c r="E257" s="24">
        <f t="shared" ref="E257:E320" si="181">IF(ISBLANK(W257),"",W257)</f>
        <v>1.7745463959667297E-2</v>
      </c>
      <c r="F257" s="25">
        <f t="shared" ref="F257:F320" si="182">IF(U257&gt;0,AVERAGE(AH257:AP257),"")</f>
        <v>10.955297023479652</v>
      </c>
      <c r="G257" s="7">
        <v>43123.84170138889</v>
      </c>
      <c r="H257" s="11">
        <v>2458142.341701</v>
      </c>
      <c r="I257" s="11">
        <v>-12.680456508494499</v>
      </c>
      <c r="J257" s="11">
        <v>-11.364833711316299</v>
      </c>
      <c r="K257" s="11">
        <v>-13.7678651852766</v>
      </c>
      <c r="L257" s="11">
        <v>-12.6467496275176</v>
      </c>
      <c r="M257" s="11">
        <v>-12.8752055961615</v>
      </c>
      <c r="N257" s="11">
        <v>-12.425702530228101</v>
      </c>
      <c r="O257" s="11"/>
      <c r="P257" s="11"/>
      <c r="Q257" s="11"/>
      <c r="R257" s="11"/>
      <c r="S257" s="11"/>
      <c r="T257" s="12"/>
      <c r="U257" s="12">
        <f t="shared" si="156"/>
        <v>4</v>
      </c>
      <c r="V257" s="28">
        <f t="shared" ca="1" si="157"/>
        <v>5.84</v>
      </c>
      <c r="W257" s="28">
        <f t="shared" si="158"/>
        <v>1.7745463959667297E-2</v>
      </c>
      <c r="X257" s="12">
        <f t="shared" si="159"/>
        <v>9.6134086767821003</v>
      </c>
      <c r="Y257" s="12">
        <f t="shared" si="160"/>
        <v>9.6452931190231013</v>
      </c>
      <c r="Z257" s="12">
        <f t="shared" si="161"/>
        <v>9.647749087667</v>
      </c>
      <c r="AA257" s="12">
        <f t="shared" si="162"/>
        <v>9.6522460217336015</v>
      </c>
      <c r="AB257" s="12" t="str">
        <f t="shared" si="163"/>
        <v/>
      </c>
      <c r="AC257" s="12" t="str">
        <f t="shared" si="164"/>
        <v/>
      </c>
      <c r="AD257" s="12" t="str">
        <f t="shared" si="165"/>
        <v/>
      </c>
      <c r="AE257" s="12" t="str">
        <f t="shared" si="166"/>
        <v/>
      </c>
      <c r="AF257" s="12" t="str">
        <f t="shared" si="167"/>
        <v/>
      </c>
      <c r="AG257" s="12"/>
      <c r="AH257" s="12">
        <f t="shared" si="168"/>
        <v>10.929031473960301</v>
      </c>
      <c r="AI257" s="12">
        <f t="shared" si="169"/>
        <v>10.960915916201301</v>
      </c>
      <c r="AJ257" s="12">
        <f t="shared" si="170"/>
        <v>10.9633718848452</v>
      </c>
      <c r="AK257" s="12">
        <f t="shared" si="171"/>
        <v>10.967868818911802</v>
      </c>
      <c r="AL257" s="12" t="str">
        <f t="shared" si="172"/>
        <v/>
      </c>
      <c r="AM257" s="12" t="str">
        <f t="shared" si="173"/>
        <v/>
      </c>
      <c r="AN257" s="12" t="str">
        <f t="shared" si="174"/>
        <v/>
      </c>
      <c r="AO257" s="12" t="str">
        <f t="shared" si="175"/>
        <v/>
      </c>
      <c r="AP257" s="12" t="str">
        <f t="shared" si="176"/>
        <v/>
      </c>
    </row>
    <row r="258" spans="1:42">
      <c r="A258" s="9">
        <f t="shared" si="177"/>
        <v>43123.842118055552</v>
      </c>
      <c r="B258" s="22">
        <f t="shared" si="178"/>
        <v>2458142.3421180556</v>
      </c>
      <c r="C258" s="23">
        <f t="shared" si="179"/>
        <v>9.6245989333378752</v>
      </c>
      <c r="D258" s="24">
        <f t="shared" ca="1" si="180"/>
        <v>5.0066249213091385E-2</v>
      </c>
      <c r="E258" s="24">
        <f t="shared" si="181"/>
        <v>1.7145975757908008E-2</v>
      </c>
      <c r="F258" s="25">
        <f t="shared" si="182"/>
        <v>10.914247476817874</v>
      </c>
      <c r="G258" s="7">
        <v>43123.842118055552</v>
      </c>
      <c r="H258" s="11">
        <v>2458142.3421180001</v>
      </c>
      <c r="I258" s="11">
        <v>-12.680825297190401</v>
      </c>
      <c r="J258" s="11">
        <v>-11.391176753710401</v>
      </c>
      <c r="K258" s="11">
        <v>-13.754185234948</v>
      </c>
      <c r="L258" s="11">
        <v>-12.631095811043</v>
      </c>
      <c r="M258" s="11">
        <v>-12.860298206704</v>
      </c>
      <c r="N258" s="11">
        <v>-12.4111176694181</v>
      </c>
      <c r="O258" s="11"/>
      <c r="P258" s="11"/>
      <c r="Q258" s="11"/>
      <c r="R258" s="11"/>
      <c r="S258" s="11"/>
      <c r="T258" s="12"/>
      <c r="U258" s="12">
        <f t="shared" si="156"/>
        <v>4</v>
      </c>
      <c r="V258" s="28">
        <f t="shared" ca="1" si="157"/>
        <v>5.84</v>
      </c>
      <c r="W258" s="28">
        <f t="shared" si="158"/>
        <v>1.7145975757908008E-2</v>
      </c>
      <c r="X258" s="12">
        <f t="shared" si="159"/>
        <v>9.5993599377575993</v>
      </c>
      <c r="Y258" s="12">
        <f t="shared" si="160"/>
        <v>9.6292705138525996</v>
      </c>
      <c r="Z258" s="12">
        <f t="shared" si="161"/>
        <v>9.6324729095135986</v>
      </c>
      <c r="AA258" s="12">
        <f t="shared" si="162"/>
        <v>9.6372923722276997</v>
      </c>
      <c r="AB258" s="12" t="str">
        <f t="shared" si="163"/>
        <v/>
      </c>
      <c r="AC258" s="12" t="str">
        <f t="shared" si="164"/>
        <v/>
      </c>
      <c r="AD258" s="12" t="str">
        <f t="shared" si="165"/>
        <v/>
      </c>
      <c r="AE258" s="12" t="str">
        <f t="shared" si="166"/>
        <v/>
      </c>
      <c r="AF258" s="12" t="str">
        <f t="shared" si="167"/>
        <v/>
      </c>
      <c r="AG258" s="12"/>
      <c r="AH258" s="12">
        <f t="shared" si="168"/>
        <v>10.8890084812376</v>
      </c>
      <c r="AI258" s="12">
        <f t="shared" si="169"/>
        <v>10.9189190573326</v>
      </c>
      <c r="AJ258" s="12">
        <f t="shared" si="170"/>
        <v>10.922121452993599</v>
      </c>
      <c r="AK258" s="12">
        <f t="shared" si="171"/>
        <v>10.9269409157077</v>
      </c>
      <c r="AL258" s="12" t="str">
        <f t="shared" si="172"/>
        <v/>
      </c>
      <c r="AM258" s="12" t="str">
        <f t="shared" si="173"/>
        <v/>
      </c>
      <c r="AN258" s="12" t="str">
        <f t="shared" si="174"/>
        <v/>
      </c>
      <c r="AO258" s="12" t="str">
        <f t="shared" si="175"/>
        <v/>
      </c>
      <c r="AP258" s="12" t="str">
        <f t="shared" si="176"/>
        <v/>
      </c>
    </row>
    <row r="259" spans="1:42">
      <c r="A259" s="9">
        <f t="shared" si="177"/>
        <v>43123.842546296299</v>
      </c>
      <c r="B259" s="22">
        <f t="shared" si="178"/>
        <v>2458142.3425462963</v>
      </c>
      <c r="C259" s="23">
        <f t="shared" si="179"/>
        <v>9.6342367275575498</v>
      </c>
      <c r="D259" s="24">
        <f t="shared" ca="1" si="180"/>
        <v>6.0294443283466718E-2</v>
      </c>
      <c r="E259" s="24">
        <f t="shared" si="181"/>
        <v>2.0648781946392712E-2</v>
      </c>
      <c r="F259" s="25">
        <f t="shared" si="182"/>
        <v>10.925585148509549</v>
      </c>
      <c r="G259" s="7">
        <v>43123.842546296299</v>
      </c>
      <c r="H259" s="11">
        <v>2458142.3425460001</v>
      </c>
      <c r="I259" s="11">
        <v>-12.6732132620991</v>
      </c>
      <c r="J259" s="11">
        <v>-11.381864841147101</v>
      </c>
      <c r="K259" s="11">
        <v>-13.7522533079282</v>
      </c>
      <c r="L259" s="11">
        <v>-12.6309356531061</v>
      </c>
      <c r="M259" s="11">
        <v>-12.8621595891209</v>
      </c>
      <c r="N259" s="11">
        <v>-12.419451408471399</v>
      </c>
      <c r="O259" s="11"/>
      <c r="P259" s="11"/>
      <c r="Q259" s="11"/>
      <c r="R259" s="11"/>
      <c r="S259" s="11"/>
      <c r="T259" s="12"/>
      <c r="U259" s="12">
        <f t="shared" si="156"/>
        <v>4</v>
      </c>
      <c r="V259" s="28">
        <f t="shared" ca="1" si="157"/>
        <v>5.84</v>
      </c>
      <c r="W259" s="28">
        <f t="shared" si="158"/>
        <v>2.0648781946392712E-2</v>
      </c>
      <c r="X259" s="12">
        <f t="shared" si="159"/>
        <v>9.6050400458290994</v>
      </c>
      <c r="Y259" s="12">
        <f t="shared" si="160"/>
        <v>9.6367223910069999</v>
      </c>
      <c r="Z259" s="12">
        <f t="shared" si="161"/>
        <v>9.6419463270217989</v>
      </c>
      <c r="AA259" s="12">
        <f t="shared" si="162"/>
        <v>9.6532381463722992</v>
      </c>
      <c r="AB259" s="12" t="str">
        <f t="shared" si="163"/>
        <v/>
      </c>
      <c r="AC259" s="12" t="str">
        <f t="shared" si="164"/>
        <v/>
      </c>
      <c r="AD259" s="12" t="str">
        <f t="shared" si="165"/>
        <v/>
      </c>
      <c r="AE259" s="12" t="str">
        <f t="shared" si="166"/>
        <v/>
      </c>
      <c r="AF259" s="12" t="str">
        <f t="shared" si="167"/>
        <v/>
      </c>
      <c r="AG259" s="12"/>
      <c r="AH259" s="12">
        <f t="shared" si="168"/>
        <v>10.896388466781099</v>
      </c>
      <c r="AI259" s="12">
        <f t="shared" si="169"/>
        <v>10.928070811959</v>
      </c>
      <c r="AJ259" s="12">
        <f t="shared" si="170"/>
        <v>10.933294747973799</v>
      </c>
      <c r="AK259" s="12">
        <f t="shared" si="171"/>
        <v>10.944586567324299</v>
      </c>
      <c r="AL259" s="12" t="str">
        <f t="shared" si="172"/>
        <v/>
      </c>
      <c r="AM259" s="12" t="str">
        <f t="shared" si="173"/>
        <v/>
      </c>
      <c r="AN259" s="12" t="str">
        <f t="shared" si="174"/>
        <v/>
      </c>
      <c r="AO259" s="12" t="str">
        <f t="shared" si="175"/>
        <v/>
      </c>
      <c r="AP259" s="12" t="str">
        <f t="shared" si="176"/>
        <v/>
      </c>
    </row>
    <row r="260" spans="1:42">
      <c r="A260" s="9">
        <f t="shared" si="177"/>
        <v>43123.842962962961</v>
      </c>
      <c r="B260" s="22">
        <f t="shared" si="178"/>
        <v>2458142.342962963</v>
      </c>
      <c r="C260" s="23">
        <f t="shared" si="179"/>
        <v>9.6222474608356752</v>
      </c>
      <c r="D260" s="24">
        <f t="shared" ca="1" si="180"/>
        <v>5.9354056089987332E-2</v>
      </c>
      <c r="E260" s="24">
        <f t="shared" si="181"/>
        <v>2.0326731537666894E-2</v>
      </c>
      <c r="F260" s="25">
        <f t="shared" si="182"/>
        <v>10.910412381407674</v>
      </c>
      <c r="G260" s="7">
        <v>43123.842962962961</v>
      </c>
      <c r="H260" s="11">
        <v>2458142.3429629998</v>
      </c>
      <c r="I260" s="11">
        <v>-12.6925645092394</v>
      </c>
      <c r="J260" s="11">
        <v>-11.404399588667401</v>
      </c>
      <c r="K260" s="11">
        <v>-13.7599966345686</v>
      </c>
      <c r="L260" s="11">
        <v>-12.6364075858428</v>
      </c>
      <c r="M260" s="11">
        <v>-12.8736116962413</v>
      </c>
      <c r="N260" s="11">
        <v>-12.4242319636476</v>
      </c>
      <c r="O260" s="11"/>
      <c r="P260" s="11"/>
      <c r="Q260" s="11"/>
      <c r="R260" s="11"/>
      <c r="S260" s="11"/>
      <c r="T260" s="12"/>
      <c r="U260" s="12">
        <f t="shared" si="156"/>
        <v>4</v>
      </c>
      <c r="V260" s="28">
        <f t="shared" ca="1" si="157"/>
        <v>5.84</v>
      </c>
      <c r="W260" s="28">
        <f t="shared" si="158"/>
        <v>2.0326731537666894E-2</v>
      </c>
      <c r="X260" s="12">
        <f t="shared" si="159"/>
        <v>9.5934321253291994</v>
      </c>
      <c r="Y260" s="12">
        <f t="shared" si="160"/>
        <v>9.6228430766034005</v>
      </c>
      <c r="Z260" s="12">
        <f t="shared" si="161"/>
        <v>9.6340471870018991</v>
      </c>
      <c r="AA260" s="12">
        <f t="shared" si="162"/>
        <v>9.6386674544081998</v>
      </c>
      <c r="AB260" s="12" t="str">
        <f t="shared" si="163"/>
        <v/>
      </c>
      <c r="AC260" s="12" t="str">
        <f t="shared" si="164"/>
        <v/>
      </c>
      <c r="AD260" s="12" t="str">
        <f t="shared" si="165"/>
        <v/>
      </c>
      <c r="AE260" s="12" t="str">
        <f t="shared" si="166"/>
        <v/>
      </c>
      <c r="AF260" s="12" t="str">
        <f t="shared" si="167"/>
        <v/>
      </c>
      <c r="AG260" s="12"/>
      <c r="AH260" s="12">
        <f t="shared" si="168"/>
        <v>10.881597045901199</v>
      </c>
      <c r="AI260" s="12">
        <f t="shared" si="169"/>
        <v>10.9110079971754</v>
      </c>
      <c r="AJ260" s="12">
        <f t="shared" si="170"/>
        <v>10.922212107573898</v>
      </c>
      <c r="AK260" s="12">
        <f t="shared" si="171"/>
        <v>10.926832374980199</v>
      </c>
      <c r="AL260" s="12" t="str">
        <f t="shared" si="172"/>
        <v/>
      </c>
      <c r="AM260" s="12" t="str">
        <f t="shared" si="173"/>
        <v/>
      </c>
      <c r="AN260" s="12" t="str">
        <f t="shared" si="174"/>
        <v/>
      </c>
      <c r="AO260" s="12" t="str">
        <f t="shared" si="175"/>
        <v/>
      </c>
      <c r="AP260" s="12" t="str">
        <f t="shared" si="176"/>
        <v/>
      </c>
    </row>
    <row r="261" spans="1:42">
      <c r="A261" s="9">
        <f t="shared" si="177"/>
        <v>43123.84337962963</v>
      </c>
      <c r="B261" s="22">
        <f t="shared" si="178"/>
        <v>2458142.3433796298</v>
      </c>
      <c r="C261" s="23">
        <f t="shared" si="179"/>
        <v>9.6242893083090504</v>
      </c>
      <c r="D261" s="24">
        <f t="shared" ca="1" si="180"/>
        <v>5.2988758360875965E-2</v>
      </c>
      <c r="E261" s="24">
        <f t="shared" si="181"/>
        <v>1.8146835055094509E-2</v>
      </c>
      <c r="F261" s="25">
        <f t="shared" si="182"/>
        <v>10.924771222807749</v>
      </c>
      <c r="G261" s="7">
        <v>43123.84337962963</v>
      </c>
      <c r="H261" s="11">
        <v>2458142.34338</v>
      </c>
      <c r="I261" s="11">
        <v>-12.688189961376899</v>
      </c>
      <c r="J261" s="11">
        <v>-11.387708046878201</v>
      </c>
      <c r="K261" s="11">
        <v>-13.7606576418048</v>
      </c>
      <c r="L261" s="11">
        <v>-12.6362336512749</v>
      </c>
      <c r="M261" s="11">
        <v>-12.875887872700099</v>
      </c>
      <c r="N261" s="11">
        <v>-12.412137912964001</v>
      </c>
      <c r="O261" s="11"/>
      <c r="P261" s="11"/>
      <c r="Q261" s="11"/>
      <c r="R261" s="11"/>
      <c r="S261" s="11"/>
      <c r="T261" s="12"/>
      <c r="U261" s="12">
        <f t="shared" si="156"/>
        <v>4</v>
      </c>
      <c r="V261" s="28">
        <f t="shared" ca="1" si="157"/>
        <v>5.84</v>
      </c>
      <c r="W261" s="28">
        <f t="shared" si="158"/>
        <v>1.8146835055094509E-2</v>
      </c>
      <c r="X261" s="12">
        <f t="shared" si="159"/>
        <v>9.5984676804279001</v>
      </c>
      <c r="Y261" s="12">
        <f t="shared" si="160"/>
        <v>9.6270436898980005</v>
      </c>
      <c r="Z261" s="12">
        <f t="shared" si="161"/>
        <v>9.6406979113231994</v>
      </c>
      <c r="AA261" s="12">
        <f t="shared" si="162"/>
        <v>9.6309479515871015</v>
      </c>
      <c r="AB261" s="12" t="str">
        <f t="shared" si="163"/>
        <v/>
      </c>
      <c r="AC261" s="12" t="str">
        <f t="shared" si="164"/>
        <v/>
      </c>
      <c r="AD261" s="12" t="str">
        <f t="shared" si="165"/>
        <v/>
      </c>
      <c r="AE261" s="12" t="str">
        <f t="shared" si="166"/>
        <v/>
      </c>
      <c r="AF261" s="12" t="str">
        <f t="shared" si="167"/>
        <v/>
      </c>
      <c r="AG261" s="12"/>
      <c r="AH261" s="12">
        <f t="shared" si="168"/>
        <v>10.898949594926599</v>
      </c>
      <c r="AI261" s="12">
        <f t="shared" si="169"/>
        <v>10.927525604396699</v>
      </c>
      <c r="AJ261" s="12">
        <f t="shared" si="170"/>
        <v>10.941179825821898</v>
      </c>
      <c r="AK261" s="12">
        <f t="shared" si="171"/>
        <v>10.9314298660858</v>
      </c>
      <c r="AL261" s="12" t="str">
        <f t="shared" si="172"/>
        <v/>
      </c>
      <c r="AM261" s="12" t="str">
        <f t="shared" si="173"/>
        <v/>
      </c>
      <c r="AN261" s="12" t="str">
        <f t="shared" si="174"/>
        <v/>
      </c>
      <c r="AO261" s="12" t="str">
        <f t="shared" si="175"/>
        <v/>
      </c>
      <c r="AP261" s="12" t="str">
        <f t="shared" si="176"/>
        <v/>
      </c>
    </row>
    <row r="262" spans="1:42">
      <c r="A262" s="9">
        <f t="shared" si="177"/>
        <v>43123.8437962963</v>
      </c>
      <c r="B262" s="22">
        <f t="shared" si="178"/>
        <v>2458142.3437962965</v>
      </c>
      <c r="C262" s="23">
        <f t="shared" si="179"/>
        <v>9.6071785906713245</v>
      </c>
      <c r="D262" s="24">
        <f t="shared" ca="1" si="180"/>
        <v>5.495905265286756E-2</v>
      </c>
      <c r="E262" s="24">
        <f t="shared" si="181"/>
        <v>1.8821593374269713E-2</v>
      </c>
      <c r="F262" s="25">
        <f t="shared" si="182"/>
        <v>10.934506043811124</v>
      </c>
      <c r="G262" s="7">
        <v>43123.8437962963</v>
      </c>
      <c r="H262" s="11">
        <v>2458142.3437959999</v>
      </c>
      <c r="I262" s="11">
        <v>-12.7061122558869</v>
      </c>
      <c r="J262" s="11">
        <v>-11.3787848027471</v>
      </c>
      <c r="K262" s="11">
        <v>-13.759353466308401</v>
      </c>
      <c r="L262" s="11">
        <v>-12.6398846556517</v>
      </c>
      <c r="M262" s="11">
        <v>-12.872284711826</v>
      </c>
      <c r="N262" s="11">
        <v>-12.4166405524468</v>
      </c>
      <c r="O262" s="11"/>
      <c r="P262" s="11"/>
      <c r="Q262" s="11"/>
      <c r="R262" s="11"/>
      <c r="S262" s="11"/>
      <c r="T262" s="12"/>
      <c r="U262" s="12">
        <f t="shared" si="156"/>
        <v>4</v>
      </c>
      <c r="V262" s="28">
        <f t="shared" ca="1" si="157"/>
        <v>5.84</v>
      </c>
      <c r="W262" s="28">
        <f t="shared" si="158"/>
        <v>1.8821593374269713E-2</v>
      </c>
      <c r="X262" s="12">
        <f t="shared" si="159"/>
        <v>9.5792412104215003</v>
      </c>
      <c r="Y262" s="12">
        <f t="shared" si="160"/>
        <v>9.6127723997648005</v>
      </c>
      <c r="Z262" s="12">
        <f t="shared" si="161"/>
        <v>9.6191724559390988</v>
      </c>
      <c r="AA262" s="12">
        <f t="shared" si="162"/>
        <v>9.6175282965599003</v>
      </c>
      <c r="AB262" s="12" t="str">
        <f t="shared" si="163"/>
        <v/>
      </c>
      <c r="AC262" s="12" t="str">
        <f t="shared" si="164"/>
        <v/>
      </c>
      <c r="AD262" s="12" t="str">
        <f t="shared" si="165"/>
        <v/>
      </c>
      <c r="AE262" s="12" t="str">
        <f t="shared" si="166"/>
        <v/>
      </c>
      <c r="AF262" s="12" t="str">
        <f t="shared" si="167"/>
        <v/>
      </c>
      <c r="AG262" s="12"/>
      <c r="AH262" s="12">
        <f t="shared" si="168"/>
        <v>10.9065686635613</v>
      </c>
      <c r="AI262" s="12">
        <f t="shared" si="169"/>
        <v>10.9400998529046</v>
      </c>
      <c r="AJ262" s="12">
        <f t="shared" si="170"/>
        <v>10.946499909078899</v>
      </c>
      <c r="AK262" s="12">
        <f t="shared" si="171"/>
        <v>10.9448557496997</v>
      </c>
      <c r="AL262" s="12" t="str">
        <f t="shared" si="172"/>
        <v/>
      </c>
      <c r="AM262" s="12" t="str">
        <f t="shared" si="173"/>
        <v/>
      </c>
      <c r="AN262" s="12" t="str">
        <f t="shared" si="174"/>
        <v/>
      </c>
      <c r="AO262" s="12" t="str">
        <f t="shared" si="175"/>
        <v/>
      </c>
      <c r="AP262" s="12" t="str">
        <f t="shared" si="176"/>
        <v/>
      </c>
    </row>
    <row r="263" spans="1:42">
      <c r="A263" s="9">
        <f t="shared" si="177"/>
        <v>43123.844224537039</v>
      </c>
      <c r="B263" s="22">
        <f t="shared" si="178"/>
        <v>2458142.3442245373</v>
      </c>
      <c r="C263" s="23">
        <f t="shared" si="179"/>
        <v>9.6166382879135508</v>
      </c>
      <c r="D263" s="24">
        <f t="shared" ca="1" si="180"/>
        <v>5.9522443588407963E-2</v>
      </c>
      <c r="E263" s="24">
        <f t="shared" si="181"/>
        <v>2.0384398489180808E-2</v>
      </c>
      <c r="F263" s="25">
        <f t="shared" si="182"/>
        <v>10.936589511602451</v>
      </c>
      <c r="G263" s="7">
        <v>43123.844224537039</v>
      </c>
      <c r="H263" s="11">
        <v>2458142.3442250001</v>
      </c>
      <c r="I263" s="11">
        <v>-12.6961959685685</v>
      </c>
      <c r="J263" s="11">
        <v>-11.3762447448796</v>
      </c>
      <c r="K263" s="11">
        <v>-13.7580480012727</v>
      </c>
      <c r="L263" s="11">
        <v>-12.6383158930579</v>
      </c>
      <c r="M263" s="11">
        <v>-12.8648283430284</v>
      </c>
      <c r="N263" s="11">
        <v>-12.425144788569201</v>
      </c>
      <c r="O263" s="11"/>
      <c r="P263" s="11"/>
      <c r="Q263" s="11"/>
      <c r="R263" s="11"/>
      <c r="S263" s="11"/>
      <c r="T263" s="12"/>
      <c r="U263" s="12">
        <f t="shared" si="156"/>
        <v>4</v>
      </c>
      <c r="V263" s="28">
        <f t="shared" ca="1" si="157"/>
        <v>5.84</v>
      </c>
      <c r="W263" s="28">
        <f t="shared" si="158"/>
        <v>2.0384398489180808E-2</v>
      </c>
      <c r="X263" s="12">
        <f t="shared" si="159"/>
        <v>9.5878520327042001</v>
      </c>
      <c r="Y263" s="12">
        <f t="shared" si="160"/>
        <v>9.6211199244894008</v>
      </c>
      <c r="Z263" s="12">
        <f t="shared" si="161"/>
        <v>9.6216323744598995</v>
      </c>
      <c r="AA263" s="12">
        <f t="shared" si="162"/>
        <v>9.6359488200007011</v>
      </c>
      <c r="AB263" s="12" t="str">
        <f t="shared" si="163"/>
        <v/>
      </c>
      <c r="AC263" s="12" t="str">
        <f t="shared" si="164"/>
        <v/>
      </c>
      <c r="AD263" s="12" t="str">
        <f t="shared" si="165"/>
        <v/>
      </c>
      <c r="AE263" s="12" t="str">
        <f t="shared" si="166"/>
        <v/>
      </c>
      <c r="AF263" s="12" t="str">
        <f t="shared" si="167"/>
        <v/>
      </c>
      <c r="AG263" s="12"/>
      <c r="AH263" s="12">
        <f t="shared" si="168"/>
        <v>10.9078032563931</v>
      </c>
      <c r="AI263" s="12">
        <f t="shared" si="169"/>
        <v>10.941071148178301</v>
      </c>
      <c r="AJ263" s="12">
        <f t="shared" si="170"/>
        <v>10.941583598148799</v>
      </c>
      <c r="AK263" s="12">
        <f t="shared" si="171"/>
        <v>10.955900043689601</v>
      </c>
      <c r="AL263" s="12" t="str">
        <f t="shared" si="172"/>
        <v/>
      </c>
      <c r="AM263" s="12" t="str">
        <f t="shared" si="173"/>
        <v/>
      </c>
      <c r="AN263" s="12" t="str">
        <f t="shared" si="174"/>
        <v/>
      </c>
      <c r="AO263" s="12" t="str">
        <f t="shared" si="175"/>
        <v/>
      </c>
      <c r="AP263" s="12" t="str">
        <f t="shared" si="176"/>
        <v/>
      </c>
    </row>
    <row r="264" spans="1:42">
      <c r="A264" s="9">
        <f t="shared" si="177"/>
        <v>43123.845937500002</v>
      </c>
      <c r="B264" s="22">
        <f t="shared" si="178"/>
        <v>2458142.3459374998</v>
      </c>
      <c r="C264" s="23">
        <f t="shared" si="179"/>
        <v>9.5948133667652247</v>
      </c>
      <c r="D264" s="24">
        <f t="shared" ca="1" si="180"/>
        <v>5.755102870085723E-2</v>
      </c>
      <c r="E264" s="24">
        <f t="shared" si="181"/>
        <v>1.9709256404403162E-2</v>
      </c>
      <c r="F264" s="25">
        <f t="shared" si="182"/>
        <v>10.938308827322825</v>
      </c>
      <c r="G264" s="7">
        <v>43123.845937500002</v>
      </c>
      <c r="H264" s="11">
        <v>2458142.3459379999</v>
      </c>
      <c r="I264" s="11">
        <v>-12.7152107928689</v>
      </c>
      <c r="J264" s="11">
        <v>-11.3717153323113</v>
      </c>
      <c r="K264" s="11">
        <v>-13.7580026938356</v>
      </c>
      <c r="L264" s="11">
        <v>-12.6344686631216</v>
      </c>
      <c r="M264" s="11">
        <v>-12.8577883008135</v>
      </c>
      <c r="N264" s="11">
        <v>-12.4248369807658</v>
      </c>
      <c r="O264" s="11"/>
      <c r="P264" s="11"/>
      <c r="Q264" s="11"/>
      <c r="R264" s="11"/>
      <c r="S264" s="11"/>
      <c r="T264" s="12"/>
      <c r="U264" s="12">
        <f t="shared" si="156"/>
        <v>4</v>
      </c>
      <c r="V264" s="28">
        <f t="shared" ca="1" si="157"/>
        <v>5.84</v>
      </c>
      <c r="W264" s="28">
        <f t="shared" si="158"/>
        <v>1.9709256404403162E-2</v>
      </c>
      <c r="X264" s="12">
        <f t="shared" si="159"/>
        <v>9.5687919009666995</v>
      </c>
      <c r="Y264" s="12">
        <f t="shared" si="160"/>
        <v>9.5982578702527004</v>
      </c>
      <c r="Z264" s="12">
        <f t="shared" si="161"/>
        <v>9.5955775079445988</v>
      </c>
      <c r="AA264" s="12">
        <f t="shared" si="162"/>
        <v>9.6166261878968999</v>
      </c>
      <c r="AB264" s="12" t="str">
        <f t="shared" si="163"/>
        <v/>
      </c>
      <c r="AC264" s="12" t="str">
        <f t="shared" si="164"/>
        <v/>
      </c>
      <c r="AD264" s="12" t="str">
        <f t="shared" si="165"/>
        <v/>
      </c>
      <c r="AE264" s="12" t="str">
        <f t="shared" si="166"/>
        <v/>
      </c>
      <c r="AF264" s="12" t="str">
        <f t="shared" si="167"/>
        <v/>
      </c>
      <c r="AG264" s="12"/>
      <c r="AH264" s="12">
        <f t="shared" si="168"/>
        <v>10.912287361524299</v>
      </c>
      <c r="AI264" s="12">
        <f t="shared" si="169"/>
        <v>10.9417533308103</v>
      </c>
      <c r="AJ264" s="12">
        <f t="shared" si="170"/>
        <v>10.939072968502199</v>
      </c>
      <c r="AK264" s="12">
        <f t="shared" si="171"/>
        <v>10.9601216484545</v>
      </c>
      <c r="AL264" s="12" t="str">
        <f t="shared" si="172"/>
        <v/>
      </c>
      <c r="AM264" s="12" t="str">
        <f t="shared" si="173"/>
        <v/>
      </c>
      <c r="AN264" s="12" t="str">
        <f t="shared" si="174"/>
        <v/>
      </c>
      <c r="AO264" s="12" t="str">
        <f t="shared" si="175"/>
        <v/>
      </c>
      <c r="AP264" s="12" t="str">
        <f t="shared" si="176"/>
        <v/>
      </c>
    </row>
    <row r="265" spans="1:42">
      <c r="A265" s="9">
        <f t="shared" si="177"/>
        <v>43123.846365740741</v>
      </c>
      <c r="B265" s="22">
        <f t="shared" si="178"/>
        <v>2458142.3463657405</v>
      </c>
      <c r="C265" s="23">
        <f t="shared" si="179"/>
        <v>9.6195011674231985</v>
      </c>
      <c r="D265" s="24">
        <f t="shared" ca="1" si="180"/>
        <v>4.9293717409835694E-2</v>
      </c>
      <c r="E265" s="24">
        <f t="shared" si="181"/>
        <v>1.688141007186154E-2</v>
      </c>
      <c r="F265" s="25">
        <f t="shared" si="182"/>
        <v>10.9538035735698</v>
      </c>
      <c r="G265" s="7">
        <v>43123.846365740741</v>
      </c>
      <c r="H265" s="11">
        <v>2458142.3463659999</v>
      </c>
      <c r="I265" s="11">
        <v>-12.690945325866</v>
      </c>
      <c r="J265" s="11">
        <v>-11.3566429197194</v>
      </c>
      <c r="K265" s="11">
        <v>-13.759402916259999</v>
      </c>
      <c r="L265" s="11">
        <v>-12.6428501054249</v>
      </c>
      <c r="M265" s="11">
        <v>-12.865799214581299</v>
      </c>
      <c r="N265" s="11">
        <v>-12.4087337368906</v>
      </c>
      <c r="O265" s="11"/>
      <c r="P265" s="11"/>
      <c r="Q265" s="11"/>
      <c r="R265" s="11"/>
      <c r="S265" s="11"/>
      <c r="T265" s="12"/>
      <c r="U265" s="12">
        <f t="shared" si="156"/>
        <v>4</v>
      </c>
      <c r="V265" s="28">
        <f t="shared" ca="1" si="157"/>
        <v>5.84</v>
      </c>
      <c r="W265" s="28">
        <f t="shared" si="158"/>
        <v>1.688141007186154E-2</v>
      </c>
      <c r="X265" s="12">
        <f t="shared" si="159"/>
        <v>9.5944575903939988</v>
      </c>
      <c r="Y265" s="12">
        <f t="shared" si="160"/>
        <v>9.6309047795589002</v>
      </c>
      <c r="Z265" s="12">
        <f t="shared" si="161"/>
        <v>9.6278538887152987</v>
      </c>
      <c r="AA265" s="12">
        <f t="shared" si="162"/>
        <v>9.6247884110245998</v>
      </c>
      <c r="AB265" s="12" t="str">
        <f t="shared" si="163"/>
        <v/>
      </c>
      <c r="AC265" s="12" t="str">
        <f t="shared" si="164"/>
        <v/>
      </c>
      <c r="AD265" s="12" t="str">
        <f t="shared" si="165"/>
        <v/>
      </c>
      <c r="AE265" s="12" t="str">
        <f t="shared" si="166"/>
        <v/>
      </c>
      <c r="AF265" s="12" t="str">
        <f t="shared" si="167"/>
        <v/>
      </c>
      <c r="AG265" s="12"/>
      <c r="AH265" s="12">
        <f t="shared" si="168"/>
        <v>10.928759996540599</v>
      </c>
      <c r="AI265" s="12">
        <f t="shared" si="169"/>
        <v>10.9652071857055</v>
      </c>
      <c r="AJ265" s="12">
        <f t="shared" si="170"/>
        <v>10.962156294861899</v>
      </c>
      <c r="AK265" s="12">
        <f t="shared" si="171"/>
        <v>10.9590908171712</v>
      </c>
      <c r="AL265" s="12" t="str">
        <f t="shared" si="172"/>
        <v/>
      </c>
      <c r="AM265" s="12" t="str">
        <f t="shared" si="173"/>
        <v/>
      </c>
      <c r="AN265" s="12" t="str">
        <f t="shared" si="174"/>
        <v/>
      </c>
      <c r="AO265" s="12" t="str">
        <f t="shared" si="175"/>
        <v/>
      </c>
      <c r="AP265" s="12" t="str">
        <f t="shared" si="176"/>
        <v/>
      </c>
    </row>
    <row r="266" spans="1:42">
      <c r="A266" s="9">
        <f t="shared" si="177"/>
        <v>43123.846782407411</v>
      </c>
      <c r="B266" s="22">
        <f t="shared" si="178"/>
        <v>2458142.3467824073</v>
      </c>
      <c r="C266" s="23">
        <f t="shared" si="179"/>
        <v>9.6218137867789491</v>
      </c>
      <c r="D266" s="24">
        <f t="shared" ca="1" si="180"/>
        <v>6.0325644297672051E-2</v>
      </c>
      <c r="E266" s="24">
        <f t="shared" si="181"/>
        <v>2.0659467225230155E-2</v>
      </c>
      <c r="F266" s="25">
        <f t="shared" si="182"/>
        <v>10.92036766078375</v>
      </c>
      <c r="G266" s="7">
        <v>43123.846782407411</v>
      </c>
      <c r="H266" s="11">
        <v>2458142.3467819998</v>
      </c>
      <c r="I266" s="11">
        <v>-12.690650012871901</v>
      </c>
      <c r="J266" s="11">
        <v>-11.3920961388671</v>
      </c>
      <c r="K266" s="11">
        <v>-13.756192321952099</v>
      </c>
      <c r="L266" s="11">
        <v>-12.638165190502001</v>
      </c>
      <c r="M266" s="11">
        <v>-12.8695046993655</v>
      </c>
      <c r="N266" s="11">
        <v>-12.4209929867838</v>
      </c>
      <c r="O266" s="11"/>
      <c r="P266" s="11"/>
      <c r="Q266" s="11"/>
      <c r="R266" s="11"/>
      <c r="S266" s="11"/>
      <c r="T266" s="12"/>
      <c r="U266" s="12">
        <f t="shared" si="156"/>
        <v>4</v>
      </c>
      <c r="V266" s="28">
        <f t="shared" ca="1" si="157"/>
        <v>5.84</v>
      </c>
      <c r="W266" s="28">
        <f t="shared" si="158"/>
        <v>2.0659467225230155E-2</v>
      </c>
      <c r="X266" s="12">
        <f t="shared" si="159"/>
        <v>9.5915423090801983</v>
      </c>
      <c r="Y266" s="12">
        <f t="shared" si="160"/>
        <v>9.6265151776301003</v>
      </c>
      <c r="Z266" s="12">
        <f t="shared" si="161"/>
        <v>9.6318546864935985</v>
      </c>
      <c r="AA266" s="12">
        <f t="shared" si="162"/>
        <v>9.637342973911899</v>
      </c>
      <c r="AB266" s="12" t="str">
        <f t="shared" si="163"/>
        <v/>
      </c>
      <c r="AC266" s="12" t="str">
        <f t="shared" si="164"/>
        <v/>
      </c>
      <c r="AD266" s="12" t="str">
        <f t="shared" si="165"/>
        <v/>
      </c>
      <c r="AE266" s="12" t="str">
        <f t="shared" si="166"/>
        <v/>
      </c>
      <c r="AF266" s="12" t="str">
        <f t="shared" si="167"/>
        <v/>
      </c>
      <c r="AG266" s="12"/>
      <c r="AH266" s="12">
        <f t="shared" si="168"/>
        <v>10.890096183084999</v>
      </c>
      <c r="AI266" s="12">
        <f t="shared" si="169"/>
        <v>10.925069051634901</v>
      </c>
      <c r="AJ266" s="12">
        <f t="shared" si="170"/>
        <v>10.9304085604984</v>
      </c>
      <c r="AK266" s="12">
        <f t="shared" si="171"/>
        <v>10.9358968479167</v>
      </c>
      <c r="AL266" s="12" t="str">
        <f t="shared" si="172"/>
        <v/>
      </c>
      <c r="AM266" s="12" t="str">
        <f t="shared" si="173"/>
        <v/>
      </c>
      <c r="AN266" s="12" t="str">
        <f t="shared" si="174"/>
        <v/>
      </c>
      <c r="AO266" s="12" t="str">
        <f t="shared" si="175"/>
        <v/>
      </c>
      <c r="AP266" s="12" t="str">
        <f t="shared" si="176"/>
        <v/>
      </c>
    </row>
    <row r="267" spans="1:42">
      <c r="A267" s="9">
        <f t="shared" si="177"/>
        <v>43123.847199074073</v>
      </c>
      <c r="B267" s="22">
        <f t="shared" si="178"/>
        <v>2458142.347199074</v>
      </c>
      <c r="C267" s="23">
        <f t="shared" si="179"/>
        <v>9.6211842254809756</v>
      </c>
      <c r="D267" s="24">
        <f t="shared" ca="1" si="180"/>
        <v>5.4807655431695461E-2</v>
      </c>
      <c r="E267" s="24">
        <f t="shared" si="181"/>
        <v>1.876974501085461E-2</v>
      </c>
      <c r="F267" s="25">
        <f t="shared" si="182"/>
        <v>10.927287380449574</v>
      </c>
      <c r="G267" s="7">
        <v>43123.847199074073</v>
      </c>
      <c r="H267" s="11">
        <v>2458142.347199</v>
      </c>
      <c r="I267" s="11">
        <v>-12.6949442902621</v>
      </c>
      <c r="J267" s="11">
        <v>-11.3888411352935</v>
      </c>
      <c r="K267" s="11">
        <v>-13.7620373444583</v>
      </c>
      <c r="L267" s="11">
        <v>-12.645717263041799</v>
      </c>
      <c r="M267" s="11">
        <v>-12.8714909821979</v>
      </c>
      <c r="N267" s="11">
        <v>-12.4202684732743</v>
      </c>
      <c r="O267" s="11"/>
      <c r="P267" s="11"/>
      <c r="Q267" s="11"/>
      <c r="R267" s="11"/>
      <c r="S267" s="11"/>
      <c r="T267" s="12"/>
      <c r="U267" s="12">
        <f t="shared" si="156"/>
        <v>4</v>
      </c>
      <c r="V267" s="28">
        <f t="shared" ca="1" si="157"/>
        <v>5.84</v>
      </c>
      <c r="W267" s="28">
        <f t="shared" si="158"/>
        <v>1.876974501085461E-2</v>
      </c>
      <c r="X267" s="12">
        <f t="shared" si="159"/>
        <v>9.5930930541961992</v>
      </c>
      <c r="Y267" s="12">
        <f t="shared" si="160"/>
        <v>9.6297729727796995</v>
      </c>
      <c r="Z267" s="12">
        <f t="shared" si="161"/>
        <v>9.6295466919357988</v>
      </c>
      <c r="AA267" s="12">
        <f t="shared" si="162"/>
        <v>9.6323241830121997</v>
      </c>
      <c r="AB267" s="12" t="str">
        <f t="shared" si="163"/>
        <v/>
      </c>
      <c r="AC267" s="12" t="str">
        <f t="shared" si="164"/>
        <v/>
      </c>
      <c r="AD267" s="12" t="str">
        <f t="shared" si="165"/>
        <v/>
      </c>
      <c r="AE267" s="12" t="str">
        <f t="shared" si="166"/>
        <v/>
      </c>
      <c r="AF267" s="12" t="str">
        <f t="shared" si="167"/>
        <v/>
      </c>
      <c r="AG267" s="12"/>
      <c r="AH267" s="12">
        <f t="shared" si="168"/>
        <v>10.899196209164799</v>
      </c>
      <c r="AI267" s="12">
        <f t="shared" si="169"/>
        <v>10.935876127748299</v>
      </c>
      <c r="AJ267" s="12">
        <f t="shared" si="170"/>
        <v>10.935649846904399</v>
      </c>
      <c r="AK267" s="12">
        <f t="shared" si="171"/>
        <v>10.9384273379808</v>
      </c>
      <c r="AL267" s="12" t="str">
        <f t="shared" si="172"/>
        <v/>
      </c>
      <c r="AM267" s="12" t="str">
        <f t="shared" si="173"/>
        <v/>
      </c>
      <c r="AN267" s="12" t="str">
        <f t="shared" si="174"/>
        <v/>
      </c>
      <c r="AO267" s="12" t="str">
        <f t="shared" si="175"/>
        <v/>
      </c>
      <c r="AP267" s="12" t="str">
        <f t="shared" si="176"/>
        <v/>
      </c>
    </row>
    <row r="268" spans="1:42">
      <c r="A268" s="9">
        <f t="shared" si="177"/>
        <v>43123.847627314812</v>
      </c>
      <c r="B268" s="22">
        <f t="shared" si="178"/>
        <v>2458142.3476273147</v>
      </c>
      <c r="C268" s="23">
        <f t="shared" si="179"/>
        <v>9.6227529140231507</v>
      </c>
      <c r="D268" s="24">
        <f t="shared" ca="1" si="180"/>
        <v>5.5571086698071571E-2</v>
      </c>
      <c r="E268" s="24">
        <f t="shared" si="181"/>
        <v>1.9031194074682047E-2</v>
      </c>
      <c r="F268" s="25">
        <f t="shared" si="182"/>
        <v>10.92693616115835</v>
      </c>
      <c r="G268" s="7">
        <v>43123.847627314812</v>
      </c>
      <c r="H268" s="11">
        <v>2458142.347627</v>
      </c>
      <c r="I268" s="11">
        <v>-12.6936643434777</v>
      </c>
      <c r="J268" s="11">
        <v>-11.3894810963425</v>
      </c>
      <c r="K268" s="11">
        <v>-13.7635965986602</v>
      </c>
      <c r="L268" s="11">
        <v>-12.645923434663199</v>
      </c>
      <c r="M268" s="11">
        <v>-12.880547770365601</v>
      </c>
      <c r="N268" s="11">
        <v>-12.4106012263144</v>
      </c>
      <c r="O268" s="11"/>
      <c r="P268" s="11"/>
      <c r="Q268" s="11"/>
      <c r="R268" s="11"/>
      <c r="S268" s="11"/>
      <c r="T268" s="12"/>
      <c r="U268" s="12">
        <f t="shared" si="156"/>
        <v>4</v>
      </c>
      <c r="V268" s="28">
        <f t="shared" ca="1" si="157"/>
        <v>5.84</v>
      </c>
      <c r="W268" s="28">
        <f t="shared" si="158"/>
        <v>1.9031194074682047E-2</v>
      </c>
      <c r="X268" s="12">
        <f t="shared" si="159"/>
        <v>9.5959322551825004</v>
      </c>
      <c r="Y268" s="12">
        <f t="shared" si="160"/>
        <v>9.6312590911855001</v>
      </c>
      <c r="Z268" s="12">
        <f t="shared" si="161"/>
        <v>9.6398834268879003</v>
      </c>
      <c r="AA268" s="12">
        <f t="shared" si="162"/>
        <v>9.6239368828367002</v>
      </c>
      <c r="AB268" s="12" t="str">
        <f t="shared" si="163"/>
        <v/>
      </c>
      <c r="AC268" s="12" t="str">
        <f t="shared" si="164"/>
        <v/>
      </c>
      <c r="AD268" s="12" t="str">
        <f t="shared" si="165"/>
        <v/>
      </c>
      <c r="AE268" s="12" t="str">
        <f t="shared" si="166"/>
        <v/>
      </c>
      <c r="AF268" s="12" t="str">
        <f t="shared" si="167"/>
        <v/>
      </c>
      <c r="AG268" s="12"/>
      <c r="AH268" s="12">
        <f t="shared" si="168"/>
        <v>10.9001155023177</v>
      </c>
      <c r="AI268" s="12">
        <f t="shared" si="169"/>
        <v>10.9354423383207</v>
      </c>
      <c r="AJ268" s="12">
        <f t="shared" si="170"/>
        <v>10.9440666740231</v>
      </c>
      <c r="AK268" s="12">
        <f t="shared" si="171"/>
        <v>10.9281201299719</v>
      </c>
      <c r="AL268" s="12" t="str">
        <f t="shared" si="172"/>
        <v/>
      </c>
      <c r="AM268" s="12" t="str">
        <f t="shared" si="173"/>
        <v/>
      </c>
      <c r="AN268" s="12" t="str">
        <f t="shared" si="174"/>
        <v/>
      </c>
      <c r="AO268" s="12" t="str">
        <f t="shared" si="175"/>
        <v/>
      </c>
      <c r="AP268" s="12" t="str">
        <f t="shared" si="176"/>
        <v/>
      </c>
    </row>
    <row r="269" spans="1:42">
      <c r="A269" s="9">
        <f t="shared" si="177"/>
        <v>43123.848043981481</v>
      </c>
      <c r="B269" s="22">
        <f t="shared" si="178"/>
        <v>2458142.3480439815</v>
      </c>
      <c r="C269" s="23">
        <f t="shared" si="179"/>
        <v>9.6028970613928983</v>
      </c>
      <c r="D269" s="24">
        <f t="shared" ca="1" si="180"/>
        <v>4.7833232190081863E-2</v>
      </c>
      <c r="E269" s="24">
        <f t="shared" si="181"/>
        <v>1.6381243900712966E-2</v>
      </c>
      <c r="F269" s="25">
        <f t="shared" si="182"/>
        <v>10.9489440579844</v>
      </c>
      <c r="G269" s="7">
        <v>43123.848043981481</v>
      </c>
      <c r="H269" s="11">
        <v>2458142.3480440001</v>
      </c>
      <c r="I269" s="11">
        <v>-12.7106072977178</v>
      </c>
      <c r="J269" s="11">
        <v>-11.3645603011263</v>
      </c>
      <c r="K269" s="11">
        <v>-13.762965146954</v>
      </c>
      <c r="L269" s="11">
        <v>-12.6436156054819</v>
      </c>
      <c r="M269" s="11">
        <v>-12.867571562537</v>
      </c>
      <c r="N269" s="11">
        <v>-12.4148651214699</v>
      </c>
      <c r="O269" s="11"/>
      <c r="P269" s="11"/>
      <c r="Q269" s="11"/>
      <c r="R269" s="11"/>
      <c r="S269" s="11"/>
      <c r="T269" s="12"/>
      <c r="U269" s="12">
        <f t="shared" si="156"/>
        <v>4</v>
      </c>
      <c r="V269" s="28">
        <f t="shared" ca="1" si="157"/>
        <v>5.84</v>
      </c>
      <c r="W269" s="28">
        <f t="shared" si="158"/>
        <v>1.6381243900712966E-2</v>
      </c>
      <c r="X269" s="12">
        <f t="shared" si="159"/>
        <v>9.5783578492362</v>
      </c>
      <c r="Y269" s="12">
        <f t="shared" si="160"/>
        <v>9.6120083077640999</v>
      </c>
      <c r="Z269" s="12">
        <f t="shared" si="161"/>
        <v>9.6099642648191992</v>
      </c>
      <c r="AA269" s="12">
        <f t="shared" si="162"/>
        <v>9.6112578237520996</v>
      </c>
      <c r="AB269" s="12" t="str">
        <f t="shared" si="163"/>
        <v/>
      </c>
      <c r="AC269" s="12" t="str">
        <f t="shared" si="164"/>
        <v/>
      </c>
      <c r="AD269" s="12" t="str">
        <f t="shared" si="165"/>
        <v/>
      </c>
      <c r="AE269" s="12" t="str">
        <f t="shared" si="166"/>
        <v/>
      </c>
      <c r="AF269" s="12" t="str">
        <f t="shared" si="167"/>
        <v/>
      </c>
      <c r="AG269" s="12"/>
      <c r="AH269" s="12">
        <f t="shared" si="168"/>
        <v>10.9244048458277</v>
      </c>
      <c r="AI269" s="12">
        <f t="shared" si="169"/>
        <v>10.9580553043556</v>
      </c>
      <c r="AJ269" s="12">
        <f t="shared" si="170"/>
        <v>10.956011261410699</v>
      </c>
      <c r="AK269" s="12">
        <f t="shared" si="171"/>
        <v>10.9573048203436</v>
      </c>
      <c r="AL269" s="12" t="str">
        <f t="shared" si="172"/>
        <v/>
      </c>
      <c r="AM269" s="12" t="str">
        <f t="shared" si="173"/>
        <v/>
      </c>
      <c r="AN269" s="12" t="str">
        <f t="shared" si="174"/>
        <v/>
      </c>
      <c r="AO269" s="12" t="str">
        <f t="shared" si="175"/>
        <v/>
      </c>
      <c r="AP269" s="12" t="str">
        <f t="shared" si="176"/>
        <v/>
      </c>
    </row>
    <row r="270" spans="1:42">
      <c r="A270" s="9">
        <f t="shared" si="177"/>
        <v>43123.84847222222</v>
      </c>
      <c r="B270" s="22">
        <f t="shared" si="178"/>
        <v>2458142.3484722222</v>
      </c>
      <c r="C270" s="23">
        <f t="shared" si="179"/>
        <v>9.6086114366822493</v>
      </c>
      <c r="D270" s="24">
        <f t="shared" ca="1" si="180"/>
        <v>6.0277745953186218E-2</v>
      </c>
      <c r="E270" s="24">
        <f t="shared" si="181"/>
        <v>2.0643063682598019E-2</v>
      </c>
      <c r="F270" s="25">
        <f t="shared" si="182"/>
        <v>10.929332124233152</v>
      </c>
      <c r="G270" s="7">
        <v>43123.84847222222</v>
      </c>
      <c r="H270" s="11">
        <v>2458142.3484720001</v>
      </c>
      <c r="I270" s="11">
        <v>-12.7009110789994</v>
      </c>
      <c r="J270" s="11">
        <v>-11.380190391448499</v>
      </c>
      <c r="K270" s="11">
        <v>-13.753780250496</v>
      </c>
      <c r="L270" s="11">
        <v>-12.632333753296701</v>
      </c>
      <c r="M270" s="11">
        <v>-12.8700114982692</v>
      </c>
      <c r="N270" s="11">
        <v>-12.416964560664701</v>
      </c>
      <c r="O270" s="11"/>
      <c r="P270" s="11"/>
      <c r="Q270" s="11"/>
      <c r="R270" s="11"/>
      <c r="S270" s="11"/>
      <c r="T270" s="12"/>
      <c r="U270" s="12">
        <f t="shared" si="156"/>
        <v>4</v>
      </c>
      <c r="V270" s="28">
        <f t="shared" ca="1" si="157"/>
        <v>5.84</v>
      </c>
      <c r="W270" s="28">
        <f t="shared" si="158"/>
        <v>2.0643063682598019E-2</v>
      </c>
      <c r="X270" s="12">
        <f t="shared" si="159"/>
        <v>9.5788691714965992</v>
      </c>
      <c r="Y270" s="12">
        <f t="shared" si="160"/>
        <v>9.6104226742973005</v>
      </c>
      <c r="Z270" s="12">
        <f t="shared" si="161"/>
        <v>9.622100419269799</v>
      </c>
      <c r="AA270" s="12">
        <f t="shared" si="162"/>
        <v>9.6230534816653002</v>
      </c>
      <c r="AB270" s="12" t="str">
        <f t="shared" si="163"/>
        <v/>
      </c>
      <c r="AC270" s="12" t="str">
        <f t="shared" si="164"/>
        <v/>
      </c>
      <c r="AD270" s="12" t="str">
        <f t="shared" si="165"/>
        <v/>
      </c>
      <c r="AE270" s="12" t="str">
        <f t="shared" si="166"/>
        <v/>
      </c>
      <c r="AF270" s="12" t="str">
        <f t="shared" si="167"/>
        <v/>
      </c>
      <c r="AG270" s="12"/>
      <c r="AH270" s="12">
        <f t="shared" si="168"/>
        <v>10.8995898590475</v>
      </c>
      <c r="AI270" s="12">
        <f t="shared" si="169"/>
        <v>10.931143361848202</v>
      </c>
      <c r="AJ270" s="12">
        <f t="shared" si="170"/>
        <v>10.9428211068207</v>
      </c>
      <c r="AK270" s="12">
        <f t="shared" si="171"/>
        <v>10.943774169216201</v>
      </c>
      <c r="AL270" s="12" t="str">
        <f t="shared" si="172"/>
        <v/>
      </c>
      <c r="AM270" s="12" t="str">
        <f t="shared" si="173"/>
        <v/>
      </c>
      <c r="AN270" s="12" t="str">
        <f t="shared" si="174"/>
        <v/>
      </c>
      <c r="AO270" s="12" t="str">
        <f t="shared" si="175"/>
        <v/>
      </c>
      <c r="AP270" s="12" t="str">
        <f t="shared" si="176"/>
        <v/>
      </c>
    </row>
    <row r="271" spans="1:42">
      <c r="A271" s="9">
        <f t="shared" si="177"/>
        <v>43123.84888888889</v>
      </c>
      <c r="B271" s="22">
        <f t="shared" si="178"/>
        <v>2458142.348888889</v>
      </c>
      <c r="C271" s="23">
        <f t="shared" si="179"/>
        <v>9.6004510580523235</v>
      </c>
      <c r="D271" s="24">
        <f t="shared" ca="1" si="180"/>
        <v>5.826862043465305E-2</v>
      </c>
      <c r="E271" s="24">
        <f t="shared" si="181"/>
        <v>1.9955006998168854E-2</v>
      </c>
      <c r="F271" s="25">
        <f t="shared" si="182"/>
        <v>10.950677165912923</v>
      </c>
      <c r="G271" s="7">
        <v>43123.84888888889</v>
      </c>
      <c r="H271" s="11">
        <v>2458142.3488889998</v>
      </c>
      <c r="I271" s="11">
        <v>-12.710085226052501</v>
      </c>
      <c r="J271" s="11">
        <v>-11.359859118191901</v>
      </c>
      <c r="K271" s="11">
        <v>-13.755555157295699</v>
      </c>
      <c r="L271" s="11">
        <v>-12.635084632720799</v>
      </c>
      <c r="M271" s="11">
        <v>-12.867195115307201</v>
      </c>
      <c r="N271" s="11">
        <v>-12.419310231095601</v>
      </c>
      <c r="O271" s="11"/>
      <c r="P271" s="11"/>
      <c r="Q271" s="11"/>
      <c r="R271" s="11"/>
      <c r="S271" s="11"/>
      <c r="T271" s="12"/>
      <c r="U271" s="12">
        <f t="shared" si="156"/>
        <v>4</v>
      </c>
      <c r="V271" s="28">
        <f t="shared" ca="1" si="157"/>
        <v>5.84</v>
      </c>
      <c r="W271" s="28">
        <f t="shared" si="158"/>
        <v>1.9955006998168854E-2</v>
      </c>
      <c r="X271" s="12">
        <f t="shared" si="159"/>
        <v>9.5714699312431986</v>
      </c>
      <c r="Y271" s="12">
        <f t="shared" si="160"/>
        <v>9.603999406668299</v>
      </c>
      <c r="Z271" s="12">
        <f t="shared" si="161"/>
        <v>9.6101098892546997</v>
      </c>
      <c r="AA271" s="12">
        <f t="shared" si="162"/>
        <v>9.6162250050431002</v>
      </c>
      <c r="AB271" s="12" t="str">
        <f t="shared" si="163"/>
        <v/>
      </c>
      <c r="AC271" s="12" t="str">
        <f t="shared" si="164"/>
        <v/>
      </c>
      <c r="AD271" s="12" t="str">
        <f t="shared" si="165"/>
        <v/>
      </c>
      <c r="AE271" s="12" t="str">
        <f t="shared" si="166"/>
        <v/>
      </c>
      <c r="AF271" s="12" t="str">
        <f t="shared" si="167"/>
        <v/>
      </c>
      <c r="AG271" s="12"/>
      <c r="AH271" s="12">
        <f t="shared" si="168"/>
        <v>10.921696039103798</v>
      </c>
      <c r="AI271" s="12">
        <f t="shared" si="169"/>
        <v>10.954225514528899</v>
      </c>
      <c r="AJ271" s="12">
        <f t="shared" si="170"/>
        <v>10.960335997115299</v>
      </c>
      <c r="AK271" s="12">
        <f t="shared" si="171"/>
        <v>10.9664511129037</v>
      </c>
      <c r="AL271" s="12" t="str">
        <f t="shared" si="172"/>
        <v/>
      </c>
      <c r="AM271" s="12" t="str">
        <f t="shared" si="173"/>
        <v/>
      </c>
      <c r="AN271" s="12" t="str">
        <f t="shared" si="174"/>
        <v/>
      </c>
      <c r="AO271" s="12" t="str">
        <f t="shared" si="175"/>
        <v/>
      </c>
      <c r="AP271" s="12" t="str">
        <f t="shared" si="176"/>
        <v/>
      </c>
    </row>
    <row r="272" spans="1:42">
      <c r="A272" s="9">
        <f t="shared" si="177"/>
        <v>43123.849317129629</v>
      </c>
      <c r="B272" s="22">
        <f t="shared" si="178"/>
        <v>2458142.3493171297</v>
      </c>
      <c r="C272" s="23">
        <f t="shared" si="179"/>
        <v>9.5943354722500231</v>
      </c>
      <c r="D272" s="24">
        <f t="shared" ca="1" si="180"/>
        <v>4.1325920670473471E-2</v>
      </c>
      <c r="E272" s="24">
        <f t="shared" si="181"/>
        <v>1.4152712558381327E-2</v>
      </c>
      <c r="F272" s="25">
        <f t="shared" si="182"/>
        <v>10.894834739405326</v>
      </c>
      <c r="G272" s="7">
        <v>43123.849317129629</v>
      </c>
      <c r="H272" s="11">
        <v>2458142.3493169998</v>
      </c>
      <c r="I272" s="11">
        <v>-12.708709118332701</v>
      </c>
      <c r="J272" s="11">
        <v>-11.4082098511774</v>
      </c>
      <c r="K272" s="11">
        <v>-13.758831097281799</v>
      </c>
      <c r="L272" s="11">
        <v>-12.6283314354153</v>
      </c>
      <c r="M272" s="11">
        <v>-12.8657775691048</v>
      </c>
      <c r="N272" s="11">
        <v>-12.394238260529001</v>
      </c>
      <c r="O272" s="11"/>
      <c r="P272" s="11"/>
      <c r="Q272" s="11"/>
      <c r="R272" s="11"/>
      <c r="S272" s="11"/>
      <c r="T272" s="12"/>
      <c r="U272" s="12">
        <f t="shared" si="156"/>
        <v>4</v>
      </c>
      <c r="V272" s="28">
        <f t="shared" ca="1" si="157"/>
        <v>5.84</v>
      </c>
      <c r="W272" s="28">
        <f t="shared" si="158"/>
        <v>1.4152712558381327E-2</v>
      </c>
      <c r="X272" s="12">
        <f t="shared" si="159"/>
        <v>9.5761219789490983</v>
      </c>
      <c r="Y272" s="12">
        <f t="shared" si="160"/>
        <v>9.5986223170825991</v>
      </c>
      <c r="Z272" s="12">
        <f t="shared" si="161"/>
        <v>9.6100684507720988</v>
      </c>
      <c r="AA272" s="12">
        <f t="shared" si="162"/>
        <v>9.5925291421962999</v>
      </c>
      <c r="AB272" s="12" t="str">
        <f t="shared" si="163"/>
        <v/>
      </c>
      <c r="AC272" s="12" t="str">
        <f t="shared" si="164"/>
        <v/>
      </c>
      <c r="AD272" s="12" t="str">
        <f t="shared" si="165"/>
        <v/>
      </c>
      <c r="AE272" s="12" t="str">
        <f t="shared" si="166"/>
        <v/>
      </c>
      <c r="AF272" s="12" t="str">
        <f t="shared" si="167"/>
        <v/>
      </c>
      <c r="AG272" s="12"/>
      <c r="AH272" s="12">
        <f t="shared" si="168"/>
        <v>10.876621246104399</v>
      </c>
      <c r="AI272" s="12">
        <f t="shared" si="169"/>
        <v>10.8991215842379</v>
      </c>
      <c r="AJ272" s="12">
        <f t="shared" si="170"/>
        <v>10.9105677179274</v>
      </c>
      <c r="AK272" s="12">
        <f t="shared" si="171"/>
        <v>10.893028409351601</v>
      </c>
      <c r="AL272" s="12" t="str">
        <f t="shared" si="172"/>
        <v/>
      </c>
      <c r="AM272" s="12" t="str">
        <f t="shared" si="173"/>
        <v/>
      </c>
      <c r="AN272" s="12" t="str">
        <f t="shared" si="174"/>
        <v/>
      </c>
      <c r="AO272" s="12" t="str">
        <f t="shared" si="175"/>
        <v/>
      </c>
      <c r="AP272" s="12" t="str">
        <f t="shared" si="176"/>
        <v/>
      </c>
    </row>
    <row r="273" spans="1:42">
      <c r="A273" s="9">
        <f t="shared" si="177"/>
        <v>43123.849733796298</v>
      </c>
      <c r="B273" s="22">
        <f t="shared" si="178"/>
        <v>2458142.3497337964</v>
      </c>
      <c r="C273" s="23">
        <f t="shared" si="179"/>
        <v>9.5976658339328491</v>
      </c>
      <c r="D273" s="24">
        <f t="shared" ca="1" si="180"/>
        <v>3.7140143790369798E-2</v>
      </c>
      <c r="E273" s="24">
        <f t="shared" si="181"/>
        <v>1.271922732546911E-2</v>
      </c>
      <c r="F273" s="25">
        <f t="shared" si="182"/>
        <v>10.92106412795065</v>
      </c>
      <c r="G273" s="7">
        <v>43123.849733796298</v>
      </c>
      <c r="H273" s="11">
        <v>2458142.3497339999</v>
      </c>
      <c r="I273" s="11">
        <v>-12.702720144817601</v>
      </c>
      <c r="J273" s="11">
        <v>-11.3793218507998</v>
      </c>
      <c r="K273" s="11">
        <v>-13.7576456120025</v>
      </c>
      <c r="L273" s="11">
        <v>-12.6312455691921</v>
      </c>
      <c r="M273" s="11">
        <v>-12.8443374422065</v>
      </c>
      <c r="N273" s="11">
        <v>-12.4033152916007</v>
      </c>
      <c r="O273" s="11"/>
      <c r="P273" s="11"/>
      <c r="Q273" s="11"/>
      <c r="R273" s="11"/>
      <c r="S273" s="11"/>
      <c r="T273" s="12"/>
      <c r="U273" s="12">
        <f t="shared" si="156"/>
        <v>4</v>
      </c>
      <c r="V273" s="28">
        <f t="shared" ca="1" si="157"/>
        <v>5.84</v>
      </c>
      <c r="W273" s="28">
        <f t="shared" si="158"/>
        <v>1.271922732546911E-2</v>
      </c>
      <c r="X273" s="12">
        <f t="shared" si="159"/>
        <v>9.5809254671848993</v>
      </c>
      <c r="Y273" s="12">
        <f t="shared" si="160"/>
        <v>9.607525424374499</v>
      </c>
      <c r="Z273" s="12">
        <f t="shared" si="161"/>
        <v>9.5946172973888988</v>
      </c>
      <c r="AA273" s="12">
        <f t="shared" si="162"/>
        <v>9.6075951467830993</v>
      </c>
      <c r="AB273" s="12" t="str">
        <f t="shared" si="163"/>
        <v/>
      </c>
      <c r="AC273" s="12" t="str">
        <f t="shared" si="164"/>
        <v/>
      </c>
      <c r="AD273" s="12" t="str">
        <f t="shared" si="165"/>
        <v/>
      </c>
      <c r="AE273" s="12" t="str">
        <f t="shared" si="166"/>
        <v/>
      </c>
      <c r="AF273" s="12" t="str">
        <f t="shared" si="167"/>
        <v/>
      </c>
      <c r="AG273" s="12"/>
      <c r="AH273" s="12">
        <f t="shared" si="168"/>
        <v>10.904323761202701</v>
      </c>
      <c r="AI273" s="12">
        <f t="shared" si="169"/>
        <v>10.9309237183923</v>
      </c>
      <c r="AJ273" s="12">
        <f t="shared" si="170"/>
        <v>10.9180155914067</v>
      </c>
      <c r="AK273" s="12">
        <f t="shared" si="171"/>
        <v>10.930993440800901</v>
      </c>
      <c r="AL273" s="12" t="str">
        <f t="shared" si="172"/>
        <v/>
      </c>
      <c r="AM273" s="12" t="str">
        <f t="shared" si="173"/>
        <v/>
      </c>
      <c r="AN273" s="12" t="str">
        <f t="shared" si="174"/>
        <v/>
      </c>
      <c r="AO273" s="12" t="str">
        <f t="shared" si="175"/>
        <v/>
      </c>
      <c r="AP273" s="12" t="str">
        <f t="shared" si="176"/>
        <v/>
      </c>
    </row>
    <row r="274" spans="1:42">
      <c r="A274" s="9">
        <f t="shared" si="177"/>
        <v>43123.85015046296</v>
      </c>
      <c r="B274" s="22">
        <f t="shared" si="178"/>
        <v>2458142.3501504632</v>
      </c>
      <c r="C274" s="23">
        <f t="shared" si="179"/>
        <v>9.5872905625149514</v>
      </c>
      <c r="D274" s="24">
        <f t="shared" ca="1" si="180"/>
        <v>5.2766259878156953E-2</v>
      </c>
      <c r="E274" s="24">
        <f t="shared" si="181"/>
        <v>1.8070636944574298E-2</v>
      </c>
      <c r="F274" s="25">
        <f t="shared" si="182"/>
        <v>10.91580683496885</v>
      </c>
      <c r="G274" s="7">
        <v>43123.85015046296</v>
      </c>
      <c r="H274" s="11">
        <v>2458142.3501499998</v>
      </c>
      <c r="I274" s="11">
        <v>-12.7128841715042</v>
      </c>
      <c r="J274" s="11">
        <v>-11.3843678990503</v>
      </c>
      <c r="K274" s="11">
        <v>-13.749006200520601</v>
      </c>
      <c r="L274" s="11">
        <v>-12.6201180358904</v>
      </c>
      <c r="M274" s="11">
        <v>-12.8610589333967</v>
      </c>
      <c r="N274" s="11">
        <v>-12.4055157662689</v>
      </c>
      <c r="O274" s="11"/>
      <c r="P274" s="11"/>
      <c r="Q274" s="11"/>
      <c r="R274" s="11"/>
      <c r="S274" s="11"/>
      <c r="T274" s="12"/>
      <c r="U274" s="12">
        <f t="shared" si="156"/>
        <v>4</v>
      </c>
      <c r="V274" s="28">
        <f t="shared" ca="1" si="157"/>
        <v>5.84</v>
      </c>
      <c r="W274" s="28">
        <f t="shared" si="158"/>
        <v>1.8070636944574298E-2</v>
      </c>
      <c r="X274" s="12">
        <f t="shared" si="159"/>
        <v>9.5621220290164004</v>
      </c>
      <c r="Y274" s="12">
        <f t="shared" si="160"/>
        <v>9.5862338643862</v>
      </c>
      <c r="Z274" s="12">
        <f t="shared" si="161"/>
        <v>9.6011747618924996</v>
      </c>
      <c r="AA274" s="12">
        <f t="shared" si="162"/>
        <v>9.5996315947647002</v>
      </c>
      <c r="AB274" s="12" t="str">
        <f t="shared" si="163"/>
        <v/>
      </c>
      <c r="AC274" s="12" t="str">
        <f t="shared" si="164"/>
        <v/>
      </c>
      <c r="AD274" s="12" t="str">
        <f t="shared" si="165"/>
        <v/>
      </c>
      <c r="AE274" s="12" t="str">
        <f t="shared" si="166"/>
        <v/>
      </c>
      <c r="AF274" s="12" t="str">
        <f t="shared" si="167"/>
        <v/>
      </c>
      <c r="AG274" s="12"/>
      <c r="AH274" s="12">
        <f t="shared" si="168"/>
        <v>10.8906383014703</v>
      </c>
      <c r="AI274" s="12">
        <f t="shared" si="169"/>
        <v>10.9147501368401</v>
      </c>
      <c r="AJ274" s="12">
        <f t="shared" si="170"/>
        <v>10.9296910343464</v>
      </c>
      <c r="AK274" s="12">
        <f t="shared" si="171"/>
        <v>10.9281478672186</v>
      </c>
      <c r="AL274" s="12" t="str">
        <f t="shared" si="172"/>
        <v/>
      </c>
      <c r="AM274" s="12" t="str">
        <f t="shared" si="173"/>
        <v/>
      </c>
      <c r="AN274" s="12" t="str">
        <f t="shared" si="174"/>
        <v/>
      </c>
      <c r="AO274" s="12" t="str">
        <f t="shared" si="175"/>
        <v/>
      </c>
      <c r="AP274" s="12" t="str">
        <f t="shared" si="176"/>
        <v/>
      </c>
    </row>
    <row r="275" spans="1:42">
      <c r="A275" s="9">
        <f t="shared" si="177"/>
        <v>43123.850578703707</v>
      </c>
      <c r="B275" s="22">
        <f t="shared" si="178"/>
        <v>2458142.3505787039</v>
      </c>
      <c r="C275" s="23">
        <f t="shared" si="179"/>
        <v>9.585650769470174</v>
      </c>
      <c r="D275" s="24">
        <f t="shared" ca="1" si="180"/>
        <v>3.9700368643817339E-2</v>
      </c>
      <c r="E275" s="24">
        <f t="shared" si="181"/>
        <v>1.3596016658841555E-2</v>
      </c>
      <c r="F275" s="25">
        <f t="shared" si="182"/>
        <v>10.923120275854076</v>
      </c>
      <c r="G275" s="7">
        <v>43123.850578703707</v>
      </c>
      <c r="H275" s="11">
        <v>2458142.3505790001</v>
      </c>
      <c r="I275" s="11">
        <v>-12.7214339994898</v>
      </c>
      <c r="J275" s="11">
        <v>-11.3839644931059</v>
      </c>
      <c r="K275" s="11">
        <v>-13.7613492769025</v>
      </c>
      <c r="L275" s="11">
        <v>-12.6394869061312</v>
      </c>
      <c r="M275" s="11">
        <v>-12.8578426516439</v>
      </c>
      <c r="N275" s="11">
        <v>-12.404660241162301</v>
      </c>
      <c r="O275" s="11"/>
      <c r="P275" s="11"/>
      <c r="Q275" s="11"/>
      <c r="R275" s="11"/>
      <c r="S275" s="11"/>
      <c r="T275" s="12"/>
      <c r="U275" s="12">
        <f t="shared" si="156"/>
        <v>4</v>
      </c>
      <c r="V275" s="28">
        <f t="shared" ca="1" si="157"/>
        <v>5.84</v>
      </c>
      <c r="W275" s="28">
        <f t="shared" si="158"/>
        <v>1.3596016658841555E-2</v>
      </c>
      <c r="X275" s="12">
        <f t="shared" si="159"/>
        <v>9.5659152774126994</v>
      </c>
      <c r="Y275" s="12">
        <f t="shared" si="160"/>
        <v>9.5970529066413999</v>
      </c>
      <c r="Z275" s="12">
        <f t="shared" si="161"/>
        <v>9.5894086521540984</v>
      </c>
      <c r="AA275" s="12">
        <f t="shared" si="162"/>
        <v>9.5902262416725002</v>
      </c>
      <c r="AB275" s="12" t="str">
        <f t="shared" si="163"/>
        <v/>
      </c>
      <c r="AC275" s="12" t="str">
        <f t="shared" si="164"/>
        <v/>
      </c>
      <c r="AD275" s="12" t="str">
        <f t="shared" si="165"/>
        <v/>
      </c>
      <c r="AE275" s="12" t="str">
        <f t="shared" si="166"/>
        <v/>
      </c>
      <c r="AF275" s="12" t="str">
        <f t="shared" si="167"/>
        <v/>
      </c>
      <c r="AG275" s="12"/>
      <c r="AH275" s="12">
        <f t="shared" si="168"/>
        <v>10.9033847837966</v>
      </c>
      <c r="AI275" s="12">
        <f t="shared" si="169"/>
        <v>10.9345224130253</v>
      </c>
      <c r="AJ275" s="12">
        <f t="shared" si="170"/>
        <v>10.926878158537999</v>
      </c>
      <c r="AK275" s="12">
        <f t="shared" si="171"/>
        <v>10.927695748056401</v>
      </c>
      <c r="AL275" s="12" t="str">
        <f t="shared" si="172"/>
        <v/>
      </c>
      <c r="AM275" s="12" t="str">
        <f t="shared" si="173"/>
        <v/>
      </c>
      <c r="AN275" s="12" t="str">
        <f t="shared" si="174"/>
        <v/>
      </c>
      <c r="AO275" s="12" t="str">
        <f t="shared" si="175"/>
        <v/>
      </c>
      <c r="AP275" s="12" t="str">
        <f t="shared" si="176"/>
        <v/>
      </c>
    </row>
    <row r="276" spans="1:42">
      <c r="A276" s="9">
        <f t="shared" si="177"/>
        <v>43123.850995370369</v>
      </c>
      <c r="B276" s="22">
        <f t="shared" si="178"/>
        <v>2458142.3509953702</v>
      </c>
      <c r="C276" s="23">
        <f t="shared" si="179"/>
        <v>9.5856555870961753</v>
      </c>
      <c r="D276" s="24">
        <f t="shared" ca="1" si="180"/>
        <v>5.5671476045293704E-2</v>
      </c>
      <c r="E276" s="24">
        <f t="shared" si="181"/>
        <v>1.9065573988114284E-2</v>
      </c>
      <c r="F276" s="25">
        <f t="shared" si="182"/>
        <v>10.953530391202975</v>
      </c>
      <c r="G276" s="7">
        <v>43123.850995370369</v>
      </c>
      <c r="H276" s="11">
        <v>2458142.350995</v>
      </c>
      <c r="I276" s="11">
        <v>-12.719811543653099</v>
      </c>
      <c r="J276" s="11">
        <v>-11.3519367395463</v>
      </c>
      <c r="K276" s="11">
        <v>-13.751715543525799</v>
      </c>
      <c r="L276" s="11">
        <v>-12.6387921663567</v>
      </c>
      <c r="M276" s="11">
        <v>-12.8651524278244</v>
      </c>
      <c r="N276" s="11">
        <v>-12.4012083852902</v>
      </c>
      <c r="O276" s="11"/>
      <c r="P276" s="11"/>
      <c r="Q276" s="11"/>
      <c r="R276" s="11"/>
      <c r="S276" s="11"/>
      <c r="T276" s="12"/>
      <c r="U276" s="12">
        <f t="shared" si="156"/>
        <v>4</v>
      </c>
      <c r="V276" s="28">
        <f t="shared" ca="1" si="157"/>
        <v>5.84</v>
      </c>
      <c r="W276" s="28">
        <f t="shared" si="158"/>
        <v>1.9065573988114284E-2</v>
      </c>
      <c r="X276" s="12">
        <f t="shared" si="159"/>
        <v>9.5579039998726998</v>
      </c>
      <c r="Y276" s="12">
        <f t="shared" si="160"/>
        <v>9.5979806227036004</v>
      </c>
      <c r="Z276" s="12">
        <f t="shared" si="161"/>
        <v>9.5983408841713</v>
      </c>
      <c r="AA276" s="12">
        <f t="shared" si="162"/>
        <v>9.5883968416371008</v>
      </c>
      <c r="AB276" s="12" t="str">
        <f t="shared" si="163"/>
        <v/>
      </c>
      <c r="AC276" s="12" t="str">
        <f t="shared" si="164"/>
        <v/>
      </c>
      <c r="AD276" s="12" t="str">
        <f t="shared" si="165"/>
        <v/>
      </c>
      <c r="AE276" s="12" t="str">
        <f t="shared" si="166"/>
        <v/>
      </c>
      <c r="AF276" s="12" t="str">
        <f t="shared" si="167"/>
        <v/>
      </c>
      <c r="AG276" s="12"/>
      <c r="AH276" s="12">
        <f t="shared" si="168"/>
        <v>10.925778803979499</v>
      </c>
      <c r="AI276" s="12">
        <f t="shared" si="169"/>
        <v>10.9658554268104</v>
      </c>
      <c r="AJ276" s="12">
        <f t="shared" si="170"/>
        <v>10.966215688278099</v>
      </c>
      <c r="AK276" s="12">
        <f t="shared" si="171"/>
        <v>10.9562716457439</v>
      </c>
      <c r="AL276" s="12" t="str">
        <f t="shared" si="172"/>
        <v/>
      </c>
      <c r="AM276" s="12" t="str">
        <f t="shared" si="173"/>
        <v/>
      </c>
      <c r="AN276" s="12" t="str">
        <f t="shared" si="174"/>
        <v/>
      </c>
      <c r="AO276" s="12" t="str">
        <f t="shared" si="175"/>
        <v/>
      </c>
      <c r="AP276" s="12" t="str">
        <f t="shared" si="176"/>
        <v/>
      </c>
    </row>
    <row r="277" spans="1:42">
      <c r="A277" s="9">
        <f t="shared" si="177"/>
        <v>43123.851423611108</v>
      </c>
      <c r="B277" s="22">
        <f t="shared" si="178"/>
        <v>2458142.3514236109</v>
      </c>
      <c r="C277" s="23">
        <f t="shared" si="179"/>
        <v>9.587256613277976</v>
      </c>
      <c r="D277" s="24">
        <f t="shared" ca="1" si="180"/>
        <v>5.4846401818946088E-2</v>
      </c>
      <c r="E277" s="24">
        <f t="shared" si="181"/>
        <v>1.8783014321556879E-2</v>
      </c>
      <c r="F277" s="25">
        <f t="shared" si="182"/>
        <v>10.952232422779774</v>
      </c>
      <c r="G277" s="7">
        <v>43123.851423611108</v>
      </c>
      <c r="H277" s="11">
        <v>2458142.3514240002</v>
      </c>
      <c r="I277" s="11">
        <v>-12.7250800272192</v>
      </c>
      <c r="J277" s="11">
        <v>-11.360104217717399</v>
      </c>
      <c r="K277" s="11">
        <v>-13.7588158773855</v>
      </c>
      <c r="L277" s="11">
        <v>-12.6435586005951</v>
      </c>
      <c r="M277" s="11">
        <v>-12.872828547433301</v>
      </c>
      <c r="N277" s="11">
        <v>-12.409143536574801</v>
      </c>
      <c r="O277" s="11"/>
      <c r="P277" s="11"/>
      <c r="Q277" s="11"/>
      <c r="R277" s="11"/>
      <c r="S277" s="11"/>
      <c r="T277" s="12"/>
      <c r="U277" s="12">
        <f t="shared" si="156"/>
        <v>4</v>
      </c>
      <c r="V277" s="28">
        <f t="shared" ca="1" si="157"/>
        <v>5.84</v>
      </c>
      <c r="W277" s="28">
        <f t="shared" si="158"/>
        <v>1.8783014321556879E-2</v>
      </c>
      <c r="X277" s="12">
        <f t="shared" si="159"/>
        <v>9.5597358501662999</v>
      </c>
      <c r="Y277" s="12">
        <f t="shared" si="160"/>
        <v>9.5974785733759003</v>
      </c>
      <c r="Z277" s="12">
        <f t="shared" si="161"/>
        <v>9.6007485202141005</v>
      </c>
      <c r="AA277" s="12">
        <f t="shared" si="162"/>
        <v>9.5910635093556014</v>
      </c>
      <c r="AB277" s="12" t="str">
        <f t="shared" si="163"/>
        <v/>
      </c>
      <c r="AC277" s="12" t="str">
        <f t="shared" si="164"/>
        <v/>
      </c>
      <c r="AD277" s="12" t="str">
        <f t="shared" si="165"/>
        <v/>
      </c>
      <c r="AE277" s="12" t="str">
        <f t="shared" si="166"/>
        <v/>
      </c>
      <c r="AF277" s="12" t="str">
        <f t="shared" si="167"/>
        <v/>
      </c>
      <c r="AG277" s="12"/>
      <c r="AH277" s="12">
        <f t="shared" si="168"/>
        <v>10.9247116596681</v>
      </c>
      <c r="AI277" s="12">
        <f t="shared" si="169"/>
        <v>10.9624543828777</v>
      </c>
      <c r="AJ277" s="12">
        <f t="shared" si="170"/>
        <v>10.965724329715901</v>
      </c>
      <c r="AK277" s="12">
        <f t="shared" si="171"/>
        <v>10.956039318857401</v>
      </c>
      <c r="AL277" s="12" t="str">
        <f t="shared" si="172"/>
        <v/>
      </c>
      <c r="AM277" s="12" t="str">
        <f t="shared" si="173"/>
        <v/>
      </c>
      <c r="AN277" s="12" t="str">
        <f t="shared" si="174"/>
        <v/>
      </c>
      <c r="AO277" s="12" t="str">
        <f t="shared" si="175"/>
        <v/>
      </c>
      <c r="AP277" s="12" t="str">
        <f t="shared" si="176"/>
        <v/>
      </c>
    </row>
    <row r="278" spans="1:42">
      <c r="A278" s="9">
        <f t="shared" si="177"/>
        <v>43123.851840277777</v>
      </c>
      <c r="B278" s="22">
        <f t="shared" si="178"/>
        <v>2458142.3518402777</v>
      </c>
      <c r="C278" s="23">
        <f t="shared" si="179"/>
        <v>9.5929897821320491</v>
      </c>
      <c r="D278" s="24">
        <f t="shared" ca="1" si="180"/>
        <v>5.7051044716225727E-2</v>
      </c>
      <c r="E278" s="24">
        <f t="shared" si="181"/>
        <v>1.9538029012406071E-2</v>
      </c>
      <c r="F278" s="25">
        <f t="shared" si="182"/>
        <v>10.93010617522495</v>
      </c>
      <c r="G278" s="7">
        <v>43123.851840277777</v>
      </c>
      <c r="H278" s="11">
        <v>2458142.3518400001</v>
      </c>
      <c r="I278" s="11">
        <v>-12.718009966012501</v>
      </c>
      <c r="J278" s="11">
        <v>-11.3808935729196</v>
      </c>
      <c r="K278" s="11">
        <v>-13.7563417648479</v>
      </c>
      <c r="L278" s="11">
        <v>-12.639999717651</v>
      </c>
      <c r="M278" s="11">
        <v>-12.863504470250399</v>
      </c>
      <c r="N278" s="11">
        <v>-12.419153039828901</v>
      </c>
      <c r="O278" s="11"/>
      <c r="P278" s="11"/>
      <c r="Q278" s="11"/>
      <c r="R278" s="11"/>
      <c r="S278" s="11"/>
      <c r="T278" s="12"/>
      <c r="U278" s="12">
        <f t="shared" si="156"/>
        <v>4</v>
      </c>
      <c r="V278" s="28">
        <f t="shared" ca="1" si="157"/>
        <v>5.84</v>
      </c>
      <c r="W278" s="28">
        <f t="shared" si="158"/>
        <v>1.9538029012406071E-2</v>
      </c>
      <c r="X278" s="12">
        <f t="shared" si="159"/>
        <v>9.5643317988353989</v>
      </c>
      <c r="Y278" s="12">
        <f t="shared" si="160"/>
        <v>9.6009897516384992</v>
      </c>
      <c r="Z278" s="12">
        <f t="shared" si="161"/>
        <v>9.5984945042378982</v>
      </c>
      <c r="AA278" s="12">
        <f t="shared" si="162"/>
        <v>9.6081430738164002</v>
      </c>
      <c r="AB278" s="12" t="str">
        <f t="shared" si="163"/>
        <v/>
      </c>
      <c r="AC278" s="12" t="str">
        <f t="shared" si="164"/>
        <v/>
      </c>
      <c r="AD278" s="12" t="str">
        <f t="shared" si="165"/>
        <v/>
      </c>
      <c r="AE278" s="12" t="str">
        <f t="shared" si="166"/>
        <v/>
      </c>
      <c r="AF278" s="12" t="str">
        <f t="shared" si="167"/>
        <v/>
      </c>
      <c r="AG278" s="12"/>
      <c r="AH278" s="12">
        <f t="shared" si="168"/>
        <v>10.901448191928299</v>
      </c>
      <c r="AI278" s="12">
        <f t="shared" si="169"/>
        <v>10.9381061447314</v>
      </c>
      <c r="AJ278" s="12">
        <f t="shared" si="170"/>
        <v>10.935610897330799</v>
      </c>
      <c r="AK278" s="12">
        <f t="shared" si="171"/>
        <v>10.945259466909301</v>
      </c>
      <c r="AL278" s="12" t="str">
        <f t="shared" si="172"/>
        <v/>
      </c>
      <c r="AM278" s="12" t="str">
        <f t="shared" si="173"/>
        <v/>
      </c>
      <c r="AN278" s="12" t="str">
        <f t="shared" si="174"/>
        <v/>
      </c>
      <c r="AO278" s="12" t="str">
        <f t="shared" si="175"/>
        <v/>
      </c>
      <c r="AP278" s="12" t="str">
        <f t="shared" si="176"/>
        <v/>
      </c>
    </row>
    <row r="279" spans="1:42">
      <c r="A279" s="9">
        <f t="shared" si="177"/>
        <v>43123.852268518516</v>
      </c>
      <c r="B279" s="22">
        <f t="shared" si="178"/>
        <v>2458142.3522685184</v>
      </c>
      <c r="C279" s="23">
        <f t="shared" si="179"/>
        <v>9.5883765983714007</v>
      </c>
      <c r="D279" s="24">
        <f t="shared" ca="1" si="180"/>
        <v>5.0586172621631176E-2</v>
      </c>
      <c r="E279" s="24">
        <f t="shared" si="181"/>
        <v>1.7324031719736704E-2</v>
      </c>
      <c r="F279" s="25">
        <f t="shared" si="182"/>
        <v>10.9167833385664</v>
      </c>
      <c r="G279" s="7">
        <v>43123.852268518516</v>
      </c>
      <c r="H279" s="11">
        <v>2458142.3522689999</v>
      </c>
      <c r="I279" s="11">
        <v>-12.714653043124899</v>
      </c>
      <c r="J279" s="11">
        <v>-11.3862463029299</v>
      </c>
      <c r="K279" s="11">
        <v>-13.7518501804251</v>
      </c>
      <c r="L279" s="11">
        <v>-12.632255264706</v>
      </c>
      <c r="M279" s="11">
        <v>-12.863749831302099</v>
      </c>
      <c r="N279" s="11">
        <v>-12.399263289552</v>
      </c>
      <c r="O279" s="11"/>
      <c r="P279" s="11"/>
      <c r="Q279" s="11"/>
      <c r="R279" s="11"/>
      <c r="S279" s="11"/>
      <c r="T279" s="12"/>
      <c r="U279" s="12">
        <f t="shared" si="156"/>
        <v>4</v>
      </c>
      <c r="V279" s="28">
        <f t="shared" ca="1" si="157"/>
        <v>5.84</v>
      </c>
      <c r="W279" s="28">
        <f t="shared" si="158"/>
        <v>1.7324031719736704E-2</v>
      </c>
      <c r="X279" s="12">
        <f t="shared" si="159"/>
        <v>9.5631971373002003</v>
      </c>
      <c r="Y279" s="12">
        <f t="shared" si="160"/>
        <v>9.5966022215811009</v>
      </c>
      <c r="Z279" s="12">
        <f t="shared" si="161"/>
        <v>9.6020967881771995</v>
      </c>
      <c r="AA279" s="12">
        <f t="shared" si="162"/>
        <v>9.5916102464271003</v>
      </c>
      <c r="AB279" s="12" t="str">
        <f t="shared" si="163"/>
        <v/>
      </c>
      <c r="AC279" s="12" t="str">
        <f t="shared" si="164"/>
        <v/>
      </c>
      <c r="AD279" s="12" t="str">
        <f t="shared" si="165"/>
        <v/>
      </c>
      <c r="AE279" s="12" t="str">
        <f t="shared" si="166"/>
        <v/>
      </c>
      <c r="AF279" s="12" t="str">
        <f t="shared" si="167"/>
        <v/>
      </c>
      <c r="AG279" s="12"/>
      <c r="AH279" s="12">
        <f t="shared" si="168"/>
        <v>10.8916038774952</v>
      </c>
      <c r="AI279" s="12">
        <f t="shared" si="169"/>
        <v>10.925008961776101</v>
      </c>
      <c r="AJ279" s="12">
        <f t="shared" si="170"/>
        <v>10.930503528372199</v>
      </c>
      <c r="AK279" s="12">
        <f t="shared" si="171"/>
        <v>10.9200169866221</v>
      </c>
      <c r="AL279" s="12" t="str">
        <f t="shared" si="172"/>
        <v/>
      </c>
      <c r="AM279" s="12" t="str">
        <f t="shared" si="173"/>
        <v/>
      </c>
      <c r="AN279" s="12" t="str">
        <f t="shared" si="174"/>
        <v/>
      </c>
      <c r="AO279" s="12" t="str">
        <f t="shared" si="175"/>
        <v/>
      </c>
      <c r="AP279" s="12" t="str">
        <f t="shared" si="176"/>
        <v/>
      </c>
    </row>
    <row r="280" spans="1:42">
      <c r="A280" s="9">
        <f t="shared" si="177"/>
        <v>43123.852685185186</v>
      </c>
      <c r="B280" s="22">
        <f t="shared" si="178"/>
        <v>2458142.3526851851</v>
      </c>
      <c r="C280" s="23">
        <f t="shared" si="179"/>
        <v>9.5791128772145253</v>
      </c>
      <c r="D280" s="24">
        <f t="shared" ca="1" si="180"/>
        <v>4.7613793985102494E-2</v>
      </c>
      <c r="E280" s="24">
        <f t="shared" si="181"/>
        <v>1.6306093830514554E-2</v>
      </c>
      <c r="F280" s="25">
        <f t="shared" si="182"/>
        <v>10.923168306751025</v>
      </c>
      <c r="G280" s="7">
        <v>43123.852685185186</v>
      </c>
      <c r="H280" s="11">
        <v>2458142.3526849998</v>
      </c>
      <c r="I280" s="11">
        <v>-12.731639305757399</v>
      </c>
      <c r="J280" s="11">
        <v>-11.3875838762209</v>
      </c>
      <c r="K280" s="11">
        <v>-13.761355930792</v>
      </c>
      <c r="L280" s="11">
        <v>-12.6354346475547</v>
      </c>
      <c r="M280" s="11">
        <v>-12.8630045020971</v>
      </c>
      <c r="N280" s="11">
        <v>-12.418213651443899</v>
      </c>
      <c r="O280" s="11"/>
      <c r="P280" s="11"/>
      <c r="Q280" s="11"/>
      <c r="R280" s="11"/>
      <c r="S280" s="11"/>
      <c r="T280" s="12"/>
      <c r="U280" s="12">
        <f t="shared" si="156"/>
        <v>4</v>
      </c>
      <c r="V280" s="28">
        <f t="shared" ca="1" si="157"/>
        <v>5.84</v>
      </c>
      <c r="W280" s="28">
        <f t="shared" si="158"/>
        <v>1.6306093830514554E-2</v>
      </c>
      <c r="X280" s="12">
        <f t="shared" si="159"/>
        <v>9.5557166250346004</v>
      </c>
      <c r="Y280" s="12">
        <f t="shared" si="160"/>
        <v>9.5827953417973006</v>
      </c>
      <c r="Z280" s="12">
        <f t="shared" si="161"/>
        <v>9.5843651963397001</v>
      </c>
      <c r="AA280" s="12">
        <f t="shared" si="162"/>
        <v>9.5935743456865001</v>
      </c>
      <c r="AB280" s="12" t="str">
        <f t="shared" si="163"/>
        <v/>
      </c>
      <c r="AC280" s="12" t="str">
        <f t="shared" si="164"/>
        <v/>
      </c>
      <c r="AD280" s="12" t="str">
        <f t="shared" si="165"/>
        <v/>
      </c>
      <c r="AE280" s="12" t="str">
        <f t="shared" si="166"/>
        <v/>
      </c>
      <c r="AF280" s="12" t="str">
        <f t="shared" si="167"/>
        <v/>
      </c>
      <c r="AG280" s="12"/>
      <c r="AH280" s="12">
        <f t="shared" si="168"/>
        <v>10.8997720545711</v>
      </c>
      <c r="AI280" s="12">
        <f t="shared" si="169"/>
        <v>10.9268507713338</v>
      </c>
      <c r="AJ280" s="12">
        <f t="shared" si="170"/>
        <v>10.9284206258762</v>
      </c>
      <c r="AK280" s="12">
        <f t="shared" si="171"/>
        <v>10.937629775223</v>
      </c>
      <c r="AL280" s="12" t="str">
        <f t="shared" si="172"/>
        <v/>
      </c>
      <c r="AM280" s="12" t="str">
        <f t="shared" si="173"/>
        <v/>
      </c>
      <c r="AN280" s="12" t="str">
        <f t="shared" si="174"/>
        <v/>
      </c>
      <c r="AO280" s="12" t="str">
        <f t="shared" si="175"/>
        <v/>
      </c>
      <c r="AP280" s="12" t="str">
        <f t="shared" si="176"/>
        <v/>
      </c>
    </row>
    <row r="281" spans="1:42">
      <c r="A281" s="9">
        <f t="shared" si="177"/>
        <v>43123.853113425925</v>
      </c>
      <c r="B281" s="22">
        <f t="shared" si="178"/>
        <v>2458142.3531134259</v>
      </c>
      <c r="C281" s="23">
        <f t="shared" si="179"/>
        <v>9.5791893332177747</v>
      </c>
      <c r="D281" s="24">
        <f t="shared" ca="1" si="180"/>
        <v>5.1901415630282027E-2</v>
      </c>
      <c r="E281" s="24">
        <f t="shared" si="181"/>
        <v>1.7774457407630832E-2</v>
      </c>
      <c r="F281" s="25">
        <f t="shared" si="182"/>
        <v>10.964348012836476</v>
      </c>
      <c r="G281" s="7">
        <v>43123.853113425925</v>
      </c>
      <c r="H281" s="11">
        <v>2458142.3531129998</v>
      </c>
      <c r="I281" s="11">
        <v>-12.7331109297934</v>
      </c>
      <c r="J281" s="11">
        <v>-11.3479522501747</v>
      </c>
      <c r="K281" s="11">
        <v>-13.760618293501899</v>
      </c>
      <c r="L281" s="11">
        <v>-12.648245460263301</v>
      </c>
      <c r="M281" s="11">
        <v>-12.8665702787535</v>
      </c>
      <c r="N281" s="11">
        <v>-12.408767019526</v>
      </c>
      <c r="O281" s="11"/>
      <c r="P281" s="11"/>
      <c r="Q281" s="11"/>
      <c r="R281" s="11"/>
      <c r="S281" s="11"/>
      <c r="T281" s="12"/>
      <c r="U281" s="12">
        <f t="shared" si="156"/>
        <v>4</v>
      </c>
      <c r="V281" s="28">
        <f t="shared" ca="1" si="157"/>
        <v>5.84</v>
      </c>
      <c r="W281" s="28">
        <f t="shared" si="158"/>
        <v>1.7774457407630832E-2</v>
      </c>
      <c r="X281" s="12">
        <f t="shared" si="159"/>
        <v>9.5535073637084995</v>
      </c>
      <c r="Y281" s="12">
        <f t="shared" si="160"/>
        <v>9.5941345304699013</v>
      </c>
      <c r="Z281" s="12">
        <f t="shared" si="161"/>
        <v>9.5864593489600995</v>
      </c>
      <c r="AA281" s="12">
        <f t="shared" si="162"/>
        <v>9.5826560897326001</v>
      </c>
      <c r="AB281" s="12" t="str">
        <f t="shared" si="163"/>
        <v/>
      </c>
      <c r="AC281" s="12" t="str">
        <f t="shared" si="164"/>
        <v/>
      </c>
      <c r="AD281" s="12" t="str">
        <f t="shared" si="165"/>
        <v/>
      </c>
      <c r="AE281" s="12" t="str">
        <f t="shared" si="166"/>
        <v/>
      </c>
      <c r="AF281" s="12" t="str">
        <f t="shared" si="167"/>
        <v/>
      </c>
      <c r="AG281" s="12"/>
      <c r="AH281" s="12">
        <f t="shared" si="168"/>
        <v>10.938666043327199</v>
      </c>
      <c r="AI281" s="12">
        <f t="shared" si="169"/>
        <v>10.979293210088601</v>
      </c>
      <c r="AJ281" s="12">
        <f t="shared" si="170"/>
        <v>10.971618028578799</v>
      </c>
      <c r="AK281" s="12">
        <f t="shared" si="171"/>
        <v>10.9678147693513</v>
      </c>
      <c r="AL281" s="12" t="str">
        <f t="shared" si="172"/>
        <v/>
      </c>
      <c r="AM281" s="12" t="str">
        <f t="shared" si="173"/>
        <v/>
      </c>
      <c r="AN281" s="12" t="str">
        <f t="shared" si="174"/>
        <v/>
      </c>
      <c r="AO281" s="12" t="str">
        <f t="shared" si="175"/>
        <v/>
      </c>
      <c r="AP281" s="12" t="str">
        <f t="shared" si="176"/>
        <v/>
      </c>
    </row>
    <row r="282" spans="1:42">
      <c r="A282" s="9">
        <f t="shared" si="177"/>
        <v>43123.853530092594</v>
      </c>
      <c r="B282" s="22">
        <f t="shared" si="178"/>
        <v>2458142.3535300926</v>
      </c>
      <c r="C282" s="23">
        <f t="shared" si="179"/>
        <v>9.5765115843676227</v>
      </c>
      <c r="D282" s="24">
        <f t="shared" ca="1" si="180"/>
        <v>3.7968230456344239E-2</v>
      </c>
      <c r="E282" s="24">
        <f t="shared" si="181"/>
        <v>1.300281864943296E-2</v>
      </c>
      <c r="F282" s="25">
        <f t="shared" si="182"/>
        <v>10.898080575213825</v>
      </c>
      <c r="G282" s="7">
        <v>43123.853530092594</v>
      </c>
      <c r="H282" s="11">
        <v>2458142.35353</v>
      </c>
      <c r="I282" s="11">
        <v>-12.7240316702668</v>
      </c>
      <c r="J282" s="11">
        <v>-11.4024626794206</v>
      </c>
      <c r="K282" s="11">
        <v>-13.7556534397146</v>
      </c>
      <c r="L282" s="11">
        <v>-12.6237121673283</v>
      </c>
      <c r="M282" s="11">
        <v>-12.857620723931101</v>
      </c>
      <c r="N282" s="11">
        <v>-12.4001866875637</v>
      </c>
      <c r="O282" s="11"/>
      <c r="P282" s="11"/>
      <c r="Q282" s="11"/>
      <c r="R282" s="11"/>
      <c r="S282" s="11"/>
      <c r="T282" s="12"/>
      <c r="U282" s="12">
        <f t="shared" si="156"/>
        <v>4</v>
      </c>
      <c r="V282" s="28">
        <f t="shared" ca="1" si="157"/>
        <v>5.84</v>
      </c>
      <c r="W282" s="28">
        <f t="shared" si="158"/>
        <v>1.300281864943296E-2</v>
      </c>
      <c r="X282" s="12">
        <f t="shared" si="159"/>
        <v>9.557621769447799</v>
      </c>
      <c r="Y282" s="12">
        <f t="shared" si="160"/>
        <v>9.5786804970614998</v>
      </c>
      <c r="Z282" s="12">
        <f t="shared" si="161"/>
        <v>9.5865890536642997</v>
      </c>
      <c r="AA282" s="12">
        <f t="shared" si="162"/>
        <v>9.5831550172968996</v>
      </c>
      <c r="AB282" s="12" t="str">
        <f t="shared" si="163"/>
        <v/>
      </c>
      <c r="AC282" s="12" t="str">
        <f t="shared" si="164"/>
        <v/>
      </c>
      <c r="AD282" s="12" t="str">
        <f t="shared" si="165"/>
        <v/>
      </c>
      <c r="AE282" s="12" t="str">
        <f t="shared" si="166"/>
        <v/>
      </c>
      <c r="AF282" s="12" t="str">
        <f t="shared" si="167"/>
        <v/>
      </c>
      <c r="AG282" s="12"/>
      <c r="AH282" s="12">
        <f t="shared" si="168"/>
        <v>10.879190760294</v>
      </c>
      <c r="AI282" s="12">
        <f t="shared" si="169"/>
        <v>10.900249487907701</v>
      </c>
      <c r="AJ282" s="12">
        <f t="shared" si="170"/>
        <v>10.9081580445105</v>
      </c>
      <c r="AK282" s="12">
        <f t="shared" si="171"/>
        <v>10.9047240081431</v>
      </c>
      <c r="AL282" s="12" t="str">
        <f t="shared" si="172"/>
        <v/>
      </c>
      <c r="AM282" s="12" t="str">
        <f t="shared" si="173"/>
        <v/>
      </c>
      <c r="AN282" s="12" t="str">
        <f t="shared" si="174"/>
        <v/>
      </c>
      <c r="AO282" s="12" t="str">
        <f t="shared" si="175"/>
        <v/>
      </c>
      <c r="AP282" s="12" t="str">
        <f t="shared" si="176"/>
        <v/>
      </c>
    </row>
    <row r="283" spans="1:42">
      <c r="A283" s="9">
        <f t="shared" si="177"/>
        <v>43123.853958333333</v>
      </c>
      <c r="B283" s="22">
        <f t="shared" si="178"/>
        <v>2458142.3539583334</v>
      </c>
      <c r="C283" s="23">
        <f t="shared" si="179"/>
        <v>9.5736925509857258</v>
      </c>
      <c r="D283" s="24">
        <f t="shared" ca="1" si="180"/>
        <v>6.0248004729346744E-2</v>
      </c>
      <c r="E283" s="24">
        <f t="shared" si="181"/>
        <v>2.0632878331968064E-2</v>
      </c>
      <c r="F283" s="25">
        <f t="shared" si="182"/>
        <v>10.937693804860325</v>
      </c>
      <c r="G283" s="7">
        <v>43123.853958333333</v>
      </c>
      <c r="H283" s="11">
        <v>2458142.353958</v>
      </c>
      <c r="I283" s="11">
        <v>-12.743441032988599</v>
      </c>
      <c r="J283" s="11">
        <v>-11.379439779114</v>
      </c>
      <c r="K283" s="11">
        <v>-13.760809684129599</v>
      </c>
      <c r="L283" s="11">
        <v>-12.648592457815401</v>
      </c>
      <c r="M283" s="11">
        <v>-12.869020780736999</v>
      </c>
      <c r="N283" s="11">
        <v>-12.4251114132153</v>
      </c>
      <c r="O283" s="11"/>
      <c r="P283" s="11"/>
      <c r="Q283" s="11"/>
      <c r="R283" s="11"/>
      <c r="S283" s="11"/>
      <c r="T283" s="12"/>
      <c r="U283" s="12">
        <f t="shared" si="156"/>
        <v>4</v>
      </c>
      <c r="V283" s="28">
        <f t="shared" ca="1" si="157"/>
        <v>5.84</v>
      </c>
      <c r="W283" s="28">
        <f t="shared" si="158"/>
        <v>2.0632878331968064E-2</v>
      </c>
      <c r="X283" s="12">
        <f t="shared" si="159"/>
        <v>9.5433686511409999</v>
      </c>
      <c r="Y283" s="12">
        <f t="shared" si="160"/>
        <v>9.5841514248268016</v>
      </c>
      <c r="Z283" s="12">
        <f t="shared" si="161"/>
        <v>9.5785797477483996</v>
      </c>
      <c r="AA283" s="12">
        <f t="shared" si="162"/>
        <v>9.5886703802267004</v>
      </c>
      <c r="AB283" s="12" t="str">
        <f t="shared" si="163"/>
        <v/>
      </c>
      <c r="AC283" s="12" t="str">
        <f t="shared" si="164"/>
        <v/>
      </c>
      <c r="AD283" s="12" t="str">
        <f t="shared" si="165"/>
        <v/>
      </c>
      <c r="AE283" s="12" t="str">
        <f t="shared" si="166"/>
        <v/>
      </c>
      <c r="AF283" s="12" t="str">
        <f t="shared" si="167"/>
        <v/>
      </c>
      <c r="AG283" s="12"/>
      <c r="AH283" s="12">
        <f t="shared" si="168"/>
        <v>10.907369905015599</v>
      </c>
      <c r="AI283" s="12">
        <f t="shared" si="169"/>
        <v>10.948152678701401</v>
      </c>
      <c r="AJ283" s="12">
        <f t="shared" si="170"/>
        <v>10.942581001622999</v>
      </c>
      <c r="AK283" s="12">
        <f t="shared" si="171"/>
        <v>10.9526716341013</v>
      </c>
      <c r="AL283" s="12" t="str">
        <f t="shared" si="172"/>
        <v/>
      </c>
      <c r="AM283" s="12" t="str">
        <f t="shared" si="173"/>
        <v/>
      </c>
      <c r="AN283" s="12" t="str">
        <f t="shared" si="174"/>
        <v/>
      </c>
      <c r="AO283" s="12" t="str">
        <f t="shared" si="175"/>
        <v/>
      </c>
      <c r="AP283" s="12" t="str">
        <f t="shared" si="176"/>
        <v/>
      </c>
    </row>
    <row r="284" spans="1:42">
      <c r="A284" s="9">
        <f t="shared" si="177"/>
        <v>43123.854375000003</v>
      </c>
      <c r="B284" s="22">
        <f t="shared" si="178"/>
        <v>2458142.3543750001</v>
      </c>
      <c r="C284" s="23">
        <f t="shared" si="179"/>
        <v>9.5936235129497494</v>
      </c>
      <c r="D284" s="24">
        <f t="shared" ca="1" si="180"/>
        <v>3.882107358046704E-2</v>
      </c>
      <c r="E284" s="24">
        <f t="shared" si="181"/>
        <v>1.3294888212488712E-2</v>
      </c>
      <c r="F284" s="25">
        <f t="shared" si="182"/>
        <v>10.904063531757048</v>
      </c>
      <c r="G284" s="7">
        <v>43123.854375000003</v>
      </c>
      <c r="H284" s="11">
        <v>2458142.3543750001</v>
      </c>
      <c r="I284" s="11">
        <v>-12.714267129920801</v>
      </c>
      <c r="J284" s="11">
        <v>-11.4038271111135</v>
      </c>
      <c r="K284" s="11">
        <v>-13.762546802618401</v>
      </c>
      <c r="L284" s="11">
        <v>-12.633732205715299</v>
      </c>
      <c r="M284" s="11">
        <v>-12.8584350818112</v>
      </c>
      <c r="N284" s="11">
        <v>-12.4118484813373</v>
      </c>
      <c r="O284" s="11"/>
      <c r="P284" s="11"/>
      <c r="Q284" s="11"/>
      <c r="R284" s="11"/>
      <c r="S284" s="11"/>
      <c r="T284" s="12"/>
      <c r="U284" s="12">
        <f t="shared" si="156"/>
        <v>4</v>
      </c>
      <c r="V284" s="28">
        <f t="shared" ca="1" si="157"/>
        <v>5.84</v>
      </c>
      <c r="W284" s="28">
        <f t="shared" si="158"/>
        <v>1.3294888212488712E-2</v>
      </c>
      <c r="X284" s="12">
        <f t="shared" si="159"/>
        <v>9.5742796726975996</v>
      </c>
      <c r="Y284" s="12">
        <f t="shared" si="160"/>
        <v>9.5984650757944987</v>
      </c>
      <c r="Z284" s="12">
        <f t="shared" si="161"/>
        <v>9.5971679518903983</v>
      </c>
      <c r="AA284" s="12">
        <f t="shared" si="162"/>
        <v>9.604581351416499</v>
      </c>
      <c r="AB284" s="12" t="str">
        <f t="shared" si="163"/>
        <v/>
      </c>
      <c r="AC284" s="12" t="str">
        <f t="shared" si="164"/>
        <v/>
      </c>
      <c r="AD284" s="12" t="str">
        <f t="shared" si="165"/>
        <v/>
      </c>
      <c r="AE284" s="12" t="str">
        <f t="shared" si="166"/>
        <v/>
      </c>
      <c r="AF284" s="12" t="str">
        <f t="shared" si="167"/>
        <v/>
      </c>
      <c r="AG284" s="12"/>
      <c r="AH284" s="12">
        <f t="shared" si="168"/>
        <v>10.8847196915049</v>
      </c>
      <c r="AI284" s="12">
        <f t="shared" si="169"/>
        <v>10.908905094601799</v>
      </c>
      <c r="AJ284" s="12">
        <f t="shared" si="170"/>
        <v>10.907607970697699</v>
      </c>
      <c r="AK284" s="12">
        <f t="shared" si="171"/>
        <v>10.915021370223799</v>
      </c>
      <c r="AL284" s="12" t="str">
        <f t="shared" si="172"/>
        <v/>
      </c>
      <c r="AM284" s="12" t="str">
        <f t="shared" si="173"/>
        <v/>
      </c>
      <c r="AN284" s="12" t="str">
        <f t="shared" si="174"/>
        <v/>
      </c>
      <c r="AO284" s="12" t="str">
        <f t="shared" si="175"/>
        <v/>
      </c>
      <c r="AP284" s="12" t="str">
        <f t="shared" si="176"/>
        <v/>
      </c>
    </row>
    <row r="285" spans="1:42">
      <c r="A285" s="9">
        <f t="shared" si="177"/>
        <v>43123.854803240742</v>
      </c>
      <c r="B285" s="22">
        <f t="shared" si="178"/>
        <v>2458142.3548032409</v>
      </c>
      <c r="C285" s="23">
        <f t="shared" si="179"/>
        <v>9.5843957578283998</v>
      </c>
      <c r="D285" s="24">
        <f t="shared" ca="1" si="180"/>
        <v>4.8105624808894638E-2</v>
      </c>
      <c r="E285" s="24">
        <f t="shared" si="181"/>
        <v>1.6474529044142001E-2</v>
      </c>
      <c r="F285" s="25">
        <f t="shared" si="182"/>
        <v>10.9384267842066</v>
      </c>
      <c r="G285" s="7">
        <v>43123.854803240742</v>
      </c>
      <c r="H285" s="11">
        <v>2458142.3548030001</v>
      </c>
      <c r="I285" s="11">
        <v>-12.7276544294084</v>
      </c>
      <c r="J285" s="11">
        <v>-11.3736234030302</v>
      </c>
      <c r="K285" s="11">
        <v>-13.761878909891999</v>
      </c>
      <c r="L285" s="11">
        <v>-12.643631588493299</v>
      </c>
      <c r="M285" s="11">
        <v>-12.8622624409102</v>
      </c>
      <c r="N285" s="11">
        <v>-12.4154278096517</v>
      </c>
      <c r="O285" s="11"/>
      <c r="P285" s="11"/>
      <c r="Q285" s="11"/>
      <c r="R285" s="11"/>
      <c r="S285" s="11"/>
      <c r="T285" s="12"/>
      <c r="U285" s="12">
        <f t="shared" si="156"/>
        <v>4</v>
      </c>
      <c r="V285" s="28">
        <f t="shared" ca="1" si="157"/>
        <v>5.84</v>
      </c>
      <c r="W285" s="28">
        <f t="shared" si="158"/>
        <v>1.6474529044142001E-2</v>
      </c>
      <c r="X285" s="12">
        <f t="shared" si="159"/>
        <v>9.5602244804835994</v>
      </c>
      <c r="Y285" s="12">
        <f t="shared" si="160"/>
        <v>9.5949771590849</v>
      </c>
      <c r="Z285" s="12">
        <f t="shared" si="161"/>
        <v>9.5876080115017999</v>
      </c>
      <c r="AA285" s="12">
        <f t="shared" si="162"/>
        <v>9.5947733802433</v>
      </c>
      <c r="AB285" s="12" t="str">
        <f t="shared" si="163"/>
        <v/>
      </c>
      <c r="AC285" s="12" t="str">
        <f t="shared" si="164"/>
        <v/>
      </c>
      <c r="AD285" s="12" t="str">
        <f t="shared" si="165"/>
        <v/>
      </c>
      <c r="AE285" s="12" t="str">
        <f t="shared" si="166"/>
        <v/>
      </c>
      <c r="AF285" s="12" t="str">
        <f t="shared" si="167"/>
        <v/>
      </c>
      <c r="AG285" s="12"/>
      <c r="AH285" s="12">
        <f t="shared" si="168"/>
        <v>10.914255506861799</v>
      </c>
      <c r="AI285" s="12">
        <f t="shared" si="169"/>
        <v>10.9490081854631</v>
      </c>
      <c r="AJ285" s="12">
        <f t="shared" si="170"/>
        <v>10.94163903788</v>
      </c>
      <c r="AK285" s="12">
        <f t="shared" si="171"/>
        <v>10.9488044066215</v>
      </c>
      <c r="AL285" s="12" t="str">
        <f t="shared" si="172"/>
        <v/>
      </c>
      <c r="AM285" s="12" t="str">
        <f t="shared" si="173"/>
        <v/>
      </c>
      <c r="AN285" s="12" t="str">
        <f t="shared" si="174"/>
        <v/>
      </c>
      <c r="AO285" s="12" t="str">
        <f t="shared" si="175"/>
        <v/>
      </c>
      <c r="AP285" s="12" t="str">
        <f t="shared" si="176"/>
        <v/>
      </c>
    </row>
    <row r="286" spans="1:42">
      <c r="A286" s="9">
        <f t="shared" si="177"/>
        <v>43123.855219907404</v>
      </c>
      <c r="B286" s="22">
        <f t="shared" si="178"/>
        <v>2458142.3552199076</v>
      </c>
      <c r="C286" s="23">
        <f t="shared" si="179"/>
        <v>9.5956685639295003</v>
      </c>
      <c r="D286" s="24">
        <f t="shared" ca="1" si="180"/>
        <v>6.7063445180664052E-2</v>
      </c>
      <c r="E286" s="24">
        <f t="shared" si="181"/>
        <v>2.2966933281049332E-2</v>
      </c>
      <c r="F286" s="25">
        <f t="shared" si="182"/>
        <v>10.9314231184328</v>
      </c>
      <c r="G286" s="7">
        <v>43123.855219907404</v>
      </c>
      <c r="H286" s="11">
        <v>2458142.3552199998</v>
      </c>
      <c r="I286" s="11">
        <v>-12.718423014730901</v>
      </c>
      <c r="J286" s="11">
        <v>-11.382668460227601</v>
      </c>
      <c r="K286" s="11">
        <v>-13.7571801213426</v>
      </c>
      <c r="L286" s="11">
        <v>-12.646777809647601</v>
      </c>
      <c r="M286" s="11">
        <v>-12.8583439891356</v>
      </c>
      <c r="N286" s="11">
        <v>-12.4290643945158</v>
      </c>
      <c r="O286" s="11"/>
      <c r="P286" s="11"/>
      <c r="Q286" s="11"/>
      <c r="R286" s="11"/>
      <c r="S286" s="11"/>
      <c r="T286" s="12"/>
      <c r="U286" s="12">
        <f t="shared" si="156"/>
        <v>4</v>
      </c>
      <c r="V286" s="28">
        <f t="shared" ca="1" si="157"/>
        <v>5.84</v>
      </c>
      <c r="W286" s="28">
        <f t="shared" si="158"/>
        <v>2.2966933281049332E-2</v>
      </c>
      <c r="X286" s="12">
        <f t="shared" si="159"/>
        <v>9.5647571066116992</v>
      </c>
      <c r="Y286" s="12">
        <f t="shared" si="160"/>
        <v>9.6073547949167004</v>
      </c>
      <c r="Z286" s="12">
        <f t="shared" si="161"/>
        <v>9.5929209744046986</v>
      </c>
      <c r="AA286" s="12">
        <f t="shared" si="162"/>
        <v>9.6176413797848994</v>
      </c>
      <c r="AB286" s="12" t="str">
        <f t="shared" si="163"/>
        <v/>
      </c>
      <c r="AC286" s="12" t="str">
        <f t="shared" si="164"/>
        <v/>
      </c>
      <c r="AD286" s="12" t="str">
        <f t="shared" si="165"/>
        <v/>
      </c>
      <c r="AE286" s="12" t="str">
        <f t="shared" si="166"/>
        <v/>
      </c>
      <c r="AF286" s="12" t="str">
        <f t="shared" si="167"/>
        <v/>
      </c>
      <c r="AG286" s="12"/>
      <c r="AH286" s="12">
        <f t="shared" si="168"/>
        <v>10.900511661114999</v>
      </c>
      <c r="AI286" s="12">
        <f t="shared" si="169"/>
        <v>10.94310934942</v>
      </c>
      <c r="AJ286" s="12">
        <f t="shared" si="170"/>
        <v>10.928675528907998</v>
      </c>
      <c r="AK286" s="12">
        <f t="shared" si="171"/>
        <v>10.953395934288199</v>
      </c>
      <c r="AL286" s="12" t="str">
        <f t="shared" si="172"/>
        <v/>
      </c>
      <c r="AM286" s="12" t="str">
        <f t="shared" si="173"/>
        <v/>
      </c>
      <c r="AN286" s="12" t="str">
        <f t="shared" si="174"/>
        <v/>
      </c>
      <c r="AO286" s="12" t="str">
        <f t="shared" si="175"/>
        <v/>
      </c>
      <c r="AP286" s="12" t="str">
        <f t="shared" si="176"/>
        <v/>
      </c>
    </row>
    <row r="287" spans="1:42">
      <c r="A287" s="9">
        <f t="shared" si="177"/>
        <v>43123.85564814815</v>
      </c>
      <c r="B287" s="22">
        <f t="shared" si="178"/>
        <v>2458142.3556481483</v>
      </c>
      <c r="C287" s="23">
        <f t="shared" si="179"/>
        <v>9.5905721607964001</v>
      </c>
      <c r="D287" s="24">
        <f t="shared" ca="1" si="180"/>
        <v>6.2176468031403309E-2</v>
      </c>
      <c r="E287" s="24">
        <f t="shared" si="181"/>
        <v>2.1293310969658669E-2</v>
      </c>
      <c r="F287" s="25">
        <f t="shared" si="182"/>
        <v>10.9813319453046</v>
      </c>
      <c r="G287" s="7">
        <v>43123.85564814815</v>
      </c>
      <c r="H287" s="11">
        <v>2458142.3556479998</v>
      </c>
      <c r="I287" s="11">
        <v>-12.719335883285</v>
      </c>
      <c r="J287" s="11">
        <v>-11.3285760987768</v>
      </c>
      <c r="K287" s="11">
        <v>-13.7530743532619</v>
      </c>
      <c r="L287" s="11">
        <v>-12.6424599809742</v>
      </c>
      <c r="M287" s="11">
        <v>-12.8732630301956</v>
      </c>
      <c r="N287" s="11">
        <v>-12.4058348118939</v>
      </c>
      <c r="O287" s="11"/>
      <c r="P287" s="11"/>
      <c r="Q287" s="11"/>
      <c r="R287" s="11"/>
      <c r="S287" s="11"/>
      <c r="T287" s="12"/>
      <c r="U287" s="12">
        <f t="shared" si="156"/>
        <v>4</v>
      </c>
      <c r="V287" s="28">
        <f t="shared" ca="1" si="157"/>
        <v>5.84</v>
      </c>
      <c r="W287" s="28">
        <f t="shared" si="158"/>
        <v>2.1293310969658669E-2</v>
      </c>
      <c r="X287" s="12">
        <f t="shared" si="159"/>
        <v>9.5597384699768995</v>
      </c>
      <c r="Y287" s="12">
        <f t="shared" si="160"/>
        <v>9.6021240976892006</v>
      </c>
      <c r="Z287" s="12">
        <f t="shared" si="161"/>
        <v>9.6069271469105999</v>
      </c>
      <c r="AA287" s="12">
        <f t="shared" si="162"/>
        <v>9.5934989286089003</v>
      </c>
      <c r="AB287" s="12" t="str">
        <f t="shared" si="163"/>
        <v/>
      </c>
      <c r="AC287" s="12" t="str">
        <f t="shared" si="164"/>
        <v/>
      </c>
      <c r="AD287" s="12" t="str">
        <f t="shared" si="165"/>
        <v/>
      </c>
      <c r="AE287" s="12" t="str">
        <f t="shared" si="166"/>
        <v/>
      </c>
      <c r="AF287" s="12" t="str">
        <f t="shared" si="167"/>
        <v/>
      </c>
      <c r="AG287" s="12"/>
      <c r="AH287" s="12">
        <f t="shared" si="168"/>
        <v>10.950498254485099</v>
      </c>
      <c r="AI287" s="12">
        <f t="shared" si="169"/>
        <v>10.9928838821974</v>
      </c>
      <c r="AJ287" s="12">
        <f t="shared" si="170"/>
        <v>10.9976869314188</v>
      </c>
      <c r="AK287" s="12">
        <f t="shared" si="171"/>
        <v>10.9842587131171</v>
      </c>
      <c r="AL287" s="12" t="str">
        <f t="shared" si="172"/>
        <v/>
      </c>
      <c r="AM287" s="12" t="str">
        <f t="shared" si="173"/>
        <v/>
      </c>
      <c r="AN287" s="12" t="str">
        <f t="shared" si="174"/>
        <v/>
      </c>
      <c r="AO287" s="12" t="str">
        <f t="shared" si="175"/>
        <v/>
      </c>
      <c r="AP287" s="12" t="str">
        <f t="shared" si="176"/>
        <v/>
      </c>
    </row>
    <row r="288" spans="1:42">
      <c r="A288" s="9">
        <f t="shared" si="177"/>
        <v>43123.856064814812</v>
      </c>
      <c r="B288" s="22">
        <f t="shared" si="178"/>
        <v>2458142.3560648146</v>
      </c>
      <c r="C288" s="23">
        <f t="shared" si="179"/>
        <v>9.5577601659910236</v>
      </c>
      <c r="D288" s="24">
        <f t="shared" ca="1" si="180"/>
        <v>5.9031414875144933E-2</v>
      </c>
      <c r="E288" s="24">
        <f t="shared" si="181"/>
        <v>2.0216237970940045E-2</v>
      </c>
      <c r="F288" s="25">
        <f t="shared" si="182"/>
        <v>10.989365375299224</v>
      </c>
      <c r="G288" s="7">
        <v>43123.856064814812</v>
      </c>
      <c r="H288" s="11">
        <v>2458142.3560649999</v>
      </c>
      <c r="I288" s="11">
        <v>-12.7572176370118</v>
      </c>
      <c r="J288" s="11">
        <v>-11.3256124277036</v>
      </c>
      <c r="K288" s="11">
        <v>-13.761037896849199</v>
      </c>
      <c r="L288" s="11">
        <v>-12.634346178670601</v>
      </c>
      <c r="M288" s="11">
        <v>-12.878429487154399</v>
      </c>
      <c r="N288" s="11">
        <v>-12.421097649337099</v>
      </c>
      <c r="O288" s="11"/>
      <c r="P288" s="11"/>
      <c r="Q288" s="11"/>
      <c r="R288" s="11"/>
      <c r="S288" s="11"/>
      <c r="T288" s="12"/>
      <c r="U288" s="12">
        <f t="shared" si="156"/>
        <v>4</v>
      </c>
      <c r="V288" s="28">
        <f t="shared" ca="1" si="157"/>
        <v>5.84</v>
      </c>
      <c r="W288" s="28">
        <f t="shared" si="158"/>
        <v>2.0216237970940045E-2</v>
      </c>
      <c r="X288" s="12">
        <f t="shared" si="159"/>
        <v>9.5298202598373987</v>
      </c>
      <c r="Y288" s="12">
        <f t="shared" si="160"/>
        <v>9.5561285416588007</v>
      </c>
      <c r="Z288" s="12">
        <f t="shared" si="161"/>
        <v>9.5742118501425981</v>
      </c>
      <c r="AA288" s="12">
        <f t="shared" si="162"/>
        <v>9.5708800123252988</v>
      </c>
      <c r="AB288" s="12" t="str">
        <f t="shared" si="163"/>
        <v/>
      </c>
      <c r="AC288" s="12" t="str">
        <f t="shared" si="164"/>
        <v/>
      </c>
      <c r="AD288" s="12" t="str">
        <f t="shared" si="165"/>
        <v/>
      </c>
      <c r="AE288" s="12" t="str">
        <f t="shared" si="166"/>
        <v/>
      </c>
      <c r="AF288" s="12" t="str">
        <f t="shared" si="167"/>
        <v/>
      </c>
      <c r="AG288" s="12"/>
      <c r="AH288" s="12">
        <f t="shared" si="168"/>
        <v>10.961425469145599</v>
      </c>
      <c r="AI288" s="12">
        <f t="shared" si="169"/>
        <v>10.987733750967001</v>
      </c>
      <c r="AJ288" s="12">
        <f t="shared" si="170"/>
        <v>11.005817059450798</v>
      </c>
      <c r="AK288" s="12">
        <f t="shared" si="171"/>
        <v>11.002485221633499</v>
      </c>
      <c r="AL288" s="12" t="str">
        <f t="shared" si="172"/>
        <v/>
      </c>
      <c r="AM288" s="12" t="str">
        <f t="shared" si="173"/>
        <v/>
      </c>
      <c r="AN288" s="12" t="str">
        <f t="shared" si="174"/>
        <v/>
      </c>
      <c r="AO288" s="12" t="str">
        <f t="shared" si="175"/>
        <v/>
      </c>
      <c r="AP288" s="12" t="str">
        <f t="shared" si="176"/>
        <v/>
      </c>
    </row>
    <row r="289" spans="1:42">
      <c r="A289" s="9">
        <f t="shared" si="177"/>
        <v>43123.856481481482</v>
      </c>
      <c r="B289" s="22">
        <f t="shared" si="178"/>
        <v>2458142.3564814813</v>
      </c>
      <c r="C289" s="23">
        <f t="shared" si="179"/>
        <v>9.5520763268177014</v>
      </c>
      <c r="D289" s="24">
        <f t="shared" ca="1" si="180"/>
        <v>7.9201613395713438E-2</v>
      </c>
      <c r="E289" s="24">
        <f t="shared" si="181"/>
        <v>2.7123840204011453E-2</v>
      </c>
      <c r="F289" s="25">
        <f t="shared" si="182"/>
        <v>10.960628511215301</v>
      </c>
      <c r="G289" s="7">
        <v>43123.856481481482</v>
      </c>
      <c r="H289" s="11">
        <v>2458142.3564809998</v>
      </c>
      <c r="I289" s="11">
        <v>-12.756698999782399</v>
      </c>
      <c r="J289" s="11">
        <v>-11.3481468153848</v>
      </c>
      <c r="K289" s="11">
        <v>-13.7456536840797</v>
      </c>
      <c r="L289" s="11">
        <v>-12.633288270842099</v>
      </c>
      <c r="M289" s="11">
        <v>-12.883804173536401</v>
      </c>
      <c r="N289" s="11">
        <v>-12.4073551779422</v>
      </c>
      <c r="O289" s="11"/>
      <c r="P289" s="11"/>
      <c r="Q289" s="11"/>
      <c r="R289" s="11"/>
      <c r="S289" s="11"/>
      <c r="T289" s="12"/>
      <c r="U289" s="12">
        <f t="shared" si="156"/>
        <v>4</v>
      </c>
      <c r="V289" s="28">
        <f t="shared" ca="1" si="157"/>
        <v>5.84</v>
      </c>
      <c r="W289" s="28">
        <f t="shared" si="158"/>
        <v>2.7123840204011453E-2</v>
      </c>
      <c r="X289" s="12">
        <f t="shared" si="159"/>
        <v>9.514954684297301</v>
      </c>
      <c r="Y289" s="12">
        <f t="shared" si="160"/>
        <v>9.5555892710597004</v>
      </c>
      <c r="Z289" s="12">
        <f t="shared" si="161"/>
        <v>9.5801051737540011</v>
      </c>
      <c r="AA289" s="12">
        <f t="shared" si="162"/>
        <v>9.5576561781598013</v>
      </c>
      <c r="AB289" s="12" t="str">
        <f t="shared" si="163"/>
        <v/>
      </c>
      <c r="AC289" s="12" t="str">
        <f t="shared" si="164"/>
        <v/>
      </c>
      <c r="AD289" s="12" t="str">
        <f t="shared" si="165"/>
        <v/>
      </c>
      <c r="AE289" s="12" t="str">
        <f t="shared" si="166"/>
        <v/>
      </c>
      <c r="AF289" s="12" t="str">
        <f t="shared" si="167"/>
        <v/>
      </c>
      <c r="AG289" s="12"/>
      <c r="AH289" s="12">
        <f t="shared" si="168"/>
        <v>10.923506868694901</v>
      </c>
      <c r="AI289" s="12">
        <f t="shared" si="169"/>
        <v>10.9641414554573</v>
      </c>
      <c r="AJ289" s="12">
        <f t="shared" si="170"/>
        <v>10.988657358151601</v>
      </c>
      <c r="AK289" s="12">
        <f t="shared" si="171"/>
        <v>10.966208362557401</v>
      </c>
      <c r="AL289" s="12" t="str">
        <f t="shared" si="172"/>
        <v/>
      </c>
      <c r="AM289" s="12" t="str">
        <f t="shared" si="173"/>
        <v/>
      </c>
      <c r="AN289" s="12" t="str">
        <f t="shared" si="174"/>
        <v/>
      </c>
      <c r="AO289" s="12" t="str">
        <f t="shared" si="175"/>
        <v/>
      </c>
      <c r="AP289" s="12" t="str">
        <f t="shared" si="176"/>
        <v/>
      </c>
    </row>
    <row r="290" spans="1:42">
      <c r="A290" s="9">
        <f t="shared" si="177"/>
        <v>43123.856909722221</v>
      </c>
      <c r="B290" s="22">
        <f t="shared" si="178"/>
        <v>2458142.3569097221</v>
      </c>
      <c r="C290" s="23">
        <f t="shared" si="179"/>
        <v>9.5378835966763997</v>
      </c>
      <c r="D290" s="24">
        <f t="shared" ca="1" si="180"/>
        <v>4.8847353721007E-2</v>
      </c>
      <c r="E290" s="24">
        <f t="shared" si="181"/>
        <v>1.6728545794865411E-2</v>
      </c>
      <c r="F290" s="25">
        <f t="shared" si="182"/>
        <v>10.9324236282058</v>
      </c>
      <c r="G290" s="7">
        <v>43123.856909722221</v>
      </c>
      <c r="H290" s="11">
        <v>2458142.3569100001</v>
      </c>
      <c r="I290" s="11">
        <v>-12.774572535934301</v>
      </c>
      <c r="J290" s="11">
        <v>-11.3800325044049</v>
      </c>
      <c r="K290" s="11">
        <v>-13.7614357542445</v>
      </c>
      <c r="L290" s="11">
        <v>-12.63999992858</v>
      </c>
      <c r="M290" s="11">
        <v>-12.868700959188301</v>
      </c>
      <c r="N290" s="11">
        <v>-12.41468788843</v>
      </c>
      <c r="O290" s="11"/>
      <c r="P290" s="11"/>
      <c r="Q290" s="11"/>
      <c r="R290" s="11"/>
      <c r="S290" s="11"/>
      <c r="T290" s="12"/>
      <c r="U290" s="12">
        <f t="shared" si="156"/>
        <v>4</v>
      </c>
      <c r="V290" s="28">
        <f t="shared" ca="1" si="157"/>
        <v>5.84</v>
      </c>
      <c r="W290" s="28">
        <f t="shared" si="158"/>
        <v>1.6728545794865411E-2</v>
      </c>
      <c r="X290" s="12">
        <f t="shared" si="159"/>
        <v>9.5128632183101995</v>
      </c>
      <c r="Y290" s="12">
        <f t="shared" si="160"/>
        <v>9.5444273926456997</v>
      </c>
      <c r="Z290" s="12">
        <f t="shared" si="161"/>
        <v>9.5471284232539997</v>
      </c>
      <c r="AA290" s="12">
        <f t="shared" si="162"/>
        <v>9.5471153524957</v>
      </c>
      <c r="AB290" s="12" t="str">
        <f t="shared" si="163"/>
        <v/>
      </c>
      <c r="AC290" s="12" t="str">
        <f t="shared" si="164"/>
        <v/>
      </c>
      <c r="AD290" s="12" t="str">
        <f t="shared" si="165"/>
        <v/>
      </c>
      <c r="AE290" s="12" t="str">
        <f t="shared" si="166"/>
        <v/>
      </c>
      <c r="AF290" s="12" t="str">
        <f t="shared" si="167"/>
        <v/>
      </c>
      <c r="AG290" s="12"/>
      <c r="AH290" s="12">
        <f t="shared" si="168"/>
        <v>10.9074032498396</v>
      </c>
      <c r="AI290" s="12">
        <f t="shared" si="169"/>
        <v>10.9389674241751</v>
      </c>
      <c r="AJ290" s="12">
        <f t="shared" si="170"/>
        <v>10.9416684547834</v>
      </c>
      <c r="AK290" s="12">
        <f t="shared" si="171"/>
        <v>10.941655384025101</v>
      </c>
      <c r="AL290" s="12" t="str">
        <f t="shared" si="172"/>
        <v/>
      </c>
      <c r="AM290" s="12" t="str">
        <f t="shared" si="173"/>
        <v/>
      </c>
      <c r="AN290" s="12" t="str">
        <f t="shared" si="174"/>
        <v/>
      </c>
      <c r="AO290" s="12" t="str">
        <f t="shared" si="175"/>
        <v/>
      </c>
      <c r="AP290" s="12" t="str">
        <f t="shared" si="176"/>
        <v/>
      </c>
    </row>
    <row r="291" spans="1:42">
      <c r="A291" s="9">
        <f t="shared" si="177"/>
        <v>43123.85732638889</v>
      </c>
      <c r="B291" s="22">
        <f t="shared" si="178"/>
        <v>2458142.3573263888</v>
      </c>
      <c r="C291" s="23">
        <f t="shared" si="179"/>
        <v>9.5381839873504486</v>
      </c>
      <c r="D291" s="24">
        <f t="shared" ca="1" si="180"/>
        <v>5.4452301797402534E-2</v>
      </c>
      <c r="E291" s="24">
        <f t="shared" si="181"/>
        <v>1.8648048560754294E-2</v>
      </c>
      <c r="F291" s="25">
        <f t="shared" si="182"/>
        <v>10.941060969890149</v>
      </c>
      <c r="G291" s="7">
        <v>43123.85732638889</v>
      </c>
      <c r="H291" s="11">
        <v>2458142.357326</v>
      </c>
      <c r="I291" s="11">
        <v>-12.780740885490401</v>
      </c>
      <c r="J291" s="11">
        <v>-11.3778639029507</v>
      </c>
      <c r="K291" s="11">
        <v>-13.765157092169099</v>
      </c>
      <c r="L291" s="11">
        <v>-12.6464325603734</v>
      </c>
      <c r="M291" s="11">
        <v>-12.8751668047226</v>
      </c>
      <c r="N291" s="11">
        <v>-12.423943034098301</v>
      </c>
      <c r="O291" s="11"/>
      <c r="P291" s="11"/>
      <c r="Q291" s="11"/>
      <c r="R291" s="11"/>
      <c r="S291" s="11"/>
      <c r="T291" s="12"/>
      <c r="U291" s="12">
        <f t="shared" si="156"/>
        <v>4</v>
      </c>
      <c r="V291" s="28">
        <f t="shared" ca="1" si="157"/>
        <v>5.84</v>
      </c>
      <c r="W291" s="28">
        <f t="shared" si="158"/>
        <v>1.8648048560754294E-2</v>
      </c>
      <c r="X291" s="12">
        <f t="shared" si="159"/>
        <v>9.5104162066786984</v>
      </c>
      <c r="Y291" s="12">
        <f t="shared" si="160"/>
        <v>9.5446916748829995</v>
      </c>
      <c r="Z291" s="12">
        <f t="shared" si="161"/>
        <v>9.5474259192321984</v>
      </c>
      <c r="AA291" s="12">
        <f t="shared" si="162"/>
        <v>9.5502021486078998</v>
      </c>
      <c r="AB291" s="12" t="str">
        <f t="shared" si="163"/>
        <v/>
      </c>
      <c r="AC291" s="12" t="str">
        <f t="shared" si="164"/>
        <v/>
      </c>
      <c r="AD291" s="12" t="str">
        <f t="shared" si="165"/>
        <v/>
      </c>
      <c r="AE291" s="12" t="str">
        <f t="shared" si="166"/>
        <v/>
      </c>
      <c r="AF291" s="12" t="str">
        <f t="shared" si="167"/>
        <v/>
      </c>
      <c r="AG291" s="12"/>
      <c r="AH291" s="12">
        <f t="shared" si="168"/>
        <v>10.913293189218399</v>
      </c>
      <c r="AI291" s="12">
        <f t="shared" si="169"/>
        <v>10.9475686574227</v>
      </c>
      <c r="AJ291" s="12">
        <f t="shared" si="170"/>
        <v>10.950302901771899</v>
      </c>
      <c r="AK291" s="12">
        <f t="shared" si="171"/>
        <v>10.9530791311476</v>
      </c>
      <c r="AL291" s="12" t="str">
        <f t="shared" si="172"/>
        <v/>
      </c>
      <c r="AM291" s="12" t="str">
        <f t="shared" si="173"/>
        <v/>
      </c>
      <c r="AN291" s="12" t="str">
        <f t="shared" si="174"/>
        <v/>
      </c>
      <c r="AO291" s="12" t="str">
        <f t="shared" si="175"/>
        <v/>
      </c>
      <c r="AP291" s="12" t="str">
        <f t="shared" si="176"/>
        <v/>
      </c>
    </row>
    <row r="292" spans="1:42">
      <c r="A292" s="9">
        <f t="shared" si="177"/>
        <v>43123.857743055552</v>
      </c>
      <c r="B292" s="22">
        <f t="shared" si="178"/>
        <v>2458142.3577430556</v>
      </c>
      <c r="C292" s="23">
        <f t="shared" si="179"/>
        <v>9.5240942927853496</v>
      </c>
      <c r="D292" s="24">
        <f t="shared" ca="1" si="180"/>
        <v>5.784343449939839E-2</v>
      </c>
      <c r="E292" s="24">
        <f t="shared" si="181"/>
        <v>1.9809395376506299E-2</v>
      </c>
      <c r="F292" s="25">
        <f t="shared" si="182"/>
        <v>10.940453150809951</v>
      </c>
      <c r="G292" s="7">
        <v>43123.857743055552</v>
      </c>
      <c r="H292" s="11">
        <v>2458142.3577430001</v>
      </c>
      <c r="I292" s="11">
        <v>-12.780460493294299</v>
      </c>
      <c r="J292" s="11">
        <v>-11.3641016352697</v>
      </c>
      <c r="K292" s="11">
        <v>-13.749497303348299</v>
      </c>
      <c r="L292" s="11">
        <v>-12.6409669881944</v>
      </c>
      <c r="M292" s="11">
        <v>-12.8594419256333</v>
      </c>
      <c r="N292" s="11">
        <v>-12.403312927142601</v>
      </c>
      <c r="O292" s="11"/>
      <c r="P292" s="11"/>
      <c r="Q292" s="11"/>
      <c r="R292" s="11"/>
      <c r="S292" s="11"/>
      <c r="T292" s="12"/>
      <c r="U292" s="12">
        <f t="shared" si="156"/>
        <v>4</v>
      </c>
      <c r="V292" s="28">
        <f t="shared" ca="1" si="157"/>
        <v>5.84</v>
      </c>
      <c r="W292" s="28">
        <f t="shared" si="158"/>
        <v>1.9809395376506299E-2</v>
      </c>
      <c r="X292" s="12">
        <f t="shared" si="159"/>
        <v>9.4950368100539997</v>
      </c>
      <c r="Y292" s="12">
        <f t="shared" si="160"/>
        <v>9.5395064949001007</v>
      </c>
      <c r="Z292" s="12">
        <f t="shared" si="161"/>
        <v>9.5319814323390002</v>
      </c>
      <c r="AA292" s="12">
        <f t="shared" si="162"/>
        <v>9.5298524338483013</v>
      </c>
      <c r="AB292" s="12" t="str">
        <f t="shared" si="163"/>
        <v/>
      </c>
      <c r="AC292" s="12" t="str">
        <f t="shared" si="164"/>
        <v/>
      </c>
      <c r="AD292" s="12" t="str">
        <f t="shared" si="165"/>
        <v/>
      </c>
      <c r="AE292" s="12" t="str">
        <f t="shared" si="166"/>
        <v/>
      </c>
      <c r="AF292" s="12" t="str">
        <f t="shared" si="167"/>
        <v/>
      </c>
      <c r="AG292" s="12"/>
      <c r="AH292" s="12">
        <f t="shared" si="168"/>
        <v>10.911395668078599</v>
      </c>
      <c r="AI292" s="12">
        <f t="shared" si="169"/>
        <v>10.9558653529247</v>
      </c>
      <c r="AJ292" s="12">
        <f t="shared" si="170"/>
        <v>10.9483402903636</v>
      </c>
      <c r="AK292" s="12">
        <f t="shared" si="171"/>
        <v>10.946211291872901</v>
      </c>
      <c r="AL292" s="12" t="str">
        <f t="shared" si="172"/>
        <v/>
      </c>
      <c r="AM292" s="12" t="str">
        <f t="shared" si="173"/>
        <v/>
      </c>
      <c r="AN292" s="12" t="str">
        <f t="shared" si="174"/>
        <v/>
      </c>
      <c r="AO292" s="12" t="str">
        <f t="shared" si="175"/>
        <v/>
      </c>
      <c r="AP292" s="12" t="str">
        <f t="shared" si="176"/>
        <v/>
      </c>
    </row>
    <row r="293" spans="1:42">
      <c r="A293" s="9">
        <f t="shared" si="177"/>
        <v>43123.858159722222</v>
      </c>
      <c r="B293" s="22">
        <f t="shared" si="178"/>
        <v>2458142.3581597223</v>
      </c>
      <c r="C293" s="23">
        <f t="shared" si="179"/>
        <v>9.5172489152221509</v>
      </c>
      <c r="D293" s="24">
        <f t="shared" ca="1" si="180"/>
        <v>4.3731879661711007E-2</v>
      </c>
      <c r="E293" s="24">
        <f t="shared" si="181"/>
        <v>1.4976671117024318E-2</v>
      </c>
      <c r="F293" s="25">
        <f t="shared" si="182"/>
        <v>10.928631065618251</v>
      </c>
      <c r="G293" s="7">
        <v>43123.858159722222</v>
      </c>
      <c r="H293" s="11">
        <v>2458142.3581599998</v>
      </c>
      <c r="I293" s="11">
        <v>-12.7947852377148</v>
      </c>
      <c r="J293" s="11">
        <v>-11.383403087318699</v>
      </c>
      <c r="K293" s="11">
        <v>-13.767545433537199</v>
      </c>
      <c r="L293" s="11">
        <v>-12.6469913478186</v>
      </c>
      <c r="M293" s="11">
        <v>-12.8692371263563</v>
      </c>
      <c r="N293" s="11">
        <v>-12.399362704035701</v>
      </c>
      <c r="O293" s="11"/>
      <c r="P293" s="11"/>
      <c r="Q293" s="11"/>
      <c r="R293" s="11"/>
      <c r="S293" s="11"/>
      <c r="T293" s="12"/>
      <c r="U293" s="12">
        <f t="shared" si="156"/>
        <v>4</v>
      </c>
      <c r="V293" s="28">
        <f t="shared" ca="1" si="157"/>
        <v>5.84</v>
      </c>
      <c r="W293" s="28">
        <f t="shared" si="158"/>
        <v>1.4976671117024318E-2</v>
      </c>
      <c r="X293" s="12">
        <f t="shared" si="159"/>
        <v>9.4987601958223991</v>
      </c>
      <c r="Y293" s="12">
        <f t="shared" si="160"/>
        <v>9.5312061101038008</v>
      </c>
      <c r="Z293" s="12">
        <f t="shared" si="161"/>
        <v>9.5274518886414992</v>
      </c>
      <c r="AA293" s="12">
        <f t="shared" si="162"/>
        <v>9.511577466320901</v>
      </c>
      <c r="AB293" s="12" t="str">
        <f t="shared" si="163"/>
        <v/>
      </c>
      <c r="AC293" s="12" t="str">
        <f t="shared" si="164"/>
        <v/>
      </c>
      <c r="AD293" s="12" t="str">
        <f t="shared" si="165"/>
        <v/>
      </c>
      <c r="AE293" s="12" t="str">
        <f t="shared" si="166"/>
        <v/>
      </c>
      <c r="AF293" s="12" t="str">
        <f t="shared" si="167"/>
        <v/>
      </c>
      <c r="AG293" s="12"/>
      <c r="AH293" s="12">
        <f t="shared" si="168"/>
        <v>10.9101423462185</v>
      </c>
      <c r="AI293" s="12">
        <f t="shared" si="169"/>
        <v>10.942588260499901</v>
      </c>
      <c r="AJ293" s="12">
        <f t="shared" si="170"/>
        <v>10.9388340390376</v>
      </c>
      <c r="AK293" s="12">
        <f t="shared" si="171"/>
        <v>10.922959616717002</v>
      </c>
      <c r="AL293" s="12" t="str">
        <f t="shared" si="172"/>
        <v/>
      </c>
      <c r="AM293" s="12" t="str">
        <f t="shared" si="173"/>
        <v/>
      </c>
      <c r="AN293" s="12" t="str">
        <f t="shared" si="174"/>
        <v/>
      </c>
      <c r="AO293" s="12" t="str">
        <f t="shared" si="175"/>
        <v/>
      </c>
      <c r="AP293" s="12" t="str">
        <f t="shared" si="176"/>
        <v/>
      </c>
    </row>
    <row r="294" spans="1:42">
      <c r="A294" s="9">
        <f t="shared" si="177"/>
        <v>43123.858587962961</v>
      </c>
      <c r="B294" s="22">
        <f t="shared" si="178"/>
        <v>2458142.358587963</v>
      </c>
      <c r="C294" s="23">
        <f t="shared" si="179"/>
        <v>9.5053587901510248</v>
      </c>
      <c r="D294" s="24">
        <f t="shared" ca="1" si="180"/>
        <v>4.5425110565201841E-2</v>
      </c>
      <c r="E294" s="24">
        <f t="shared" si="181"/>
        <v>1.5556544714110219E-2</v>
      </c>
      <c r="F294" s="25">
        <f t="shared" si="182"/>
        <v>10.904659408987026</v>
      </c>
      <c r="G294" s="7">
        <v>43123.858587962961</v>
      </c>
      <c r="H294" s="11">
        <v>2458142.3585879998</v>
      </c>
      <c r="I294" s="11">
        <v>-12.8103648048012</v>
      </c>
      <c r="J294" s="11">
        <v>-11.4110641859652</v>
      </c>
      <c r="K294" s="11">
        <v>-13.7678065515498</v>
      </c>
      <c r="L294" s="11">
        <v>-12.6509202796118</v>
      </c>
      <c r="M294" s="11">
        <v>-12.8639085515348</v>
      </c>
      <c r="N294" s="11">
        <v>-12.415258997112501</v>
      </c>
      <c r="O294" s="11"/>
      <c r="P294" s="11"/>
      <c r="Q294" s="11"/>
      <c r="R294" s="11"/>
      <c r="S294" s="11"/>
      <c r="T294" s="12"/>
      <c r="U294" s="12">
        <f t="shared" si="156"/>
        <v>4</v>
      </c>
      <c r="V294" s="28">
        <f t="shared" ca="1" si="157"/>
        <v>5.84</v>
      </c>
      <c r="W294" s="28">
        <f t="shared" si="158"/>
        <v>1.5556544714110219E-2</v>
      </c>
      <c r="X294" s="12">
        <f t="shared" si="159"/>
        <v>9.4834417467485999</v>
      </c>
      <c r="Y294" s="12">
        <f t="shared" si="160"/>
        <v>9.5195554748106002</v>
      </c>
      <c r="Z294" s="12">
        <f t="shared" si="161"/>
        <v>9.5065437467336</v>
      </c>
      <c r="AA294" s="12">
        <f t="shared" si="162"/>
        <v>9.511894192311301</v>
      </c>
      <c r="AB294" s="12" t="str">
        <f t="shared" si="163"/>
        <v/>
      </c>
      <c r="AC294" s="12" t="str">
        <f t="shared" si="164"/>
        <v/>
      </c>
      <c r="AD294" s="12" t="str">
        <f t="shared" si="165"/>
        <v/>
      </c>
      <c r="AE294" s="12" t="str">
        <f t="shared" si="166"/>
        <v/>
      </c>
      <c r="AF294" s="12" t="str">
        <f t="shared" si="167"/>
        <v/>
      </c>
      <c r="AG294" s="12"/>
      <c r="AH294" s="12">
        <f t="shared" si="168"/>
        <v>10.882742365584599</v>
      </c>
      <c r="AI294" s="12">
        <f t="shared" si="169"/>
        <v>10.9188560936466</v>
      </c>
      <c r="AJ294" s="12">
        <f t="shared" si="170"/>
        <v>10.9058443655696</v>
      </c>
      <c r="AK294" s="12">
        <f t="shared" si="171"/>
        <v>10.9111948111473</v>
      </c>
      <c r="AL294" s="12" t="str">
        <f t="shared" si="172"/>
        <v/>
      </c>
      <c r="AM294" s="12" t="str">
        <f t="shared" si="173"/>
        <v/>
      </c>
      <c r="AN294" s="12" t="str">
        <f t="shared" si="174"/>
        <v/>
      </c>
      <c r="AO294" s="12" t="str">
        <f t="shared" si="175"/>
        <v/>
      </c>
      <c r="AP294" s="12" t="str">
        <f t="shared" si="176"/>
        <v/>
      </c>
    </row>
    <row r="295" spans="1:42">
      <c r="A295" s="9">
        <f t="shared" si="177"/>
        <v>43123.85900462963</v>
      </c>
      <c r="B295" s="22">
        <f t="shared" si="178"/>
        <v>2458142.3590046298</v>
      </c>
      <c r="C295" s="23">
        <f t="shared" si="179"/>
        <v>9.5218129033422763</v>
      </c>
      <c r="D295" s="24">
        <f t="shared" ca="1" si="180"/>
        <v>4.6965339087827775E-2</v>
      </c>
      <c r="E295" s="24">
        <f t="shared" si="181"/>
        <v>1.6084020235557456E-2</v>
      </c>
      <c r="F295" s="25">
        <f t="shared" si="182"/>
        <v>10.889623803619475</v>
      </c>
      <c r="G295" s="7">
        <v>43123.85900462963</v>
      </c>
      <c r="H295" s="11">
        <v>2458142.359005</v>
      </c>
      <c r="I295" s="11">
        <v>-12.790630040760099</v>
      </c>
      <c r="J295" s="11">
        <v>-11.4228191404829</v>
      </c>
      <c r="K295" s="11">
        <v>-13.7632736338886</v>
      </c>
      <c r="L295" s="11">
        <v>-12.635905526170401</v>
      </c>
      <c r="M295" s="11">
        <v>-12.872864009215</v>
      </c>
      <c r="N295" s="11">
        <v>-12.412728607135501</v>
      </c>
      <c r="O295" s="11"/>
      <c r="P295" s="11"/>
      <c r="Q295" s="11"/>
      <c r="R295" s="11"/>
      <c r="S295" s="11"/>
      <c r="T295" s="12"/>
      <c r="U295" s="12">
        <f t="shared" si="156"/>
        <v>4</v>
      </c>
      <c r="V295" s="28">
        <f t="shared" ca="1" si="157"/>
        <v>5.84</v>
      </c>
      <c r="W295" s="28">
        <f t="shared" si="158"/>
        <v>1.6084020235557456E-2</v>
      </c>
      <c r="X295" s="12">
        <f t="shared" si="159"/>
        <v>9.4986435931285005</v>
      </c>
      <c r="Y295" s="12">
        <f t="shared" si="160"/>
        <v>9.5242754854103016</v>
      </c>
      <c r="Z295" s="12">
        <f t="shared" si="161"/>
        <v>9.5352339684549001</v>
      </c>
      <c r="AA295" s="12">
        <f t="shared" si="162"/>
        <v>9.5290985663754011</v>
      </c>
      <c r="AB295" s="12" t="str">
        <f t="shared" si="163"/>
        <v/>
      </c>
      <c r="AC295" s="12" t="str">
        <f t="shared" si="164"/>
        <v/>
      </c>
      <c r="AD295" s="12" t="str">
        <f t="shared" si="165"/>
        <v/>
      </c>
      <c r="AE295" s="12" t="str">
        <f t="shared" si="166"/>
        <v/>
      </c>
      <c r="AF295" s="12" t="str">
        <f t="shared" si="167"/>
        <v/>
      </c>
      <c r="AG295" s="12"/>
      <c r="AH295" s="12">
        <f t="shared" si="168"/>
        <v>10.866454493405699</v>
      </c>
      <c r="AI295" s="12">
        <f t="shared" si="169"/>
        <v>10.892086385687501</v>
      </c>
      <c r="AJ295" s="12">
        <f t="shared" si="170"/>
        <v>10.903044868732099</v>
      </c>
      <c r="AK295" s="12">
        <f t="shared" si="171"/>
        <v>10.8969094666526</v>
      </c>
      <c r="AL295" s="12" t="str">
        <f t="shared" si="172"/>
        <v/>
      </c>
      <c r="AM295" s="12" t="str">
        <f t="shared" si="173"/>
        <v/>
      </c>
      <c r="AN295" s="12" t="str">
        <f t="shared" si="174"/>
        <v/>
      </c>
      <c r="AO295" s="12" t="str">
        <f t="shared" si="175"/>
        <v/>
      </c>
      <c r="AP295" s="12" t="str">
        <f t="shared" si="176"/>
        <v/>
      </c>
    </row>
    <row r="296" spans="1:42">
      <c r="A296" s="9">
        <f t="shared" si="177"/>
        <v>43123.859432870369</v>
      </c>
      <c r="B296" s="22">
        <f t="shared" si="178"/>
        <v>2458142.3594328705</v>
      </c>
      <c r="C296" s="23">
        <f t="shared" si="179"/>
        <v>9.5108088503472743</v>
      </c>
      <c r="D296" s="24">
        <f t="shared" ca="1" si="180"/>
        <v>4.1832272342388344E-2</v>
      </c>
      <c r="E296" s="24">
        <f t="shared" si="181"/>
        <v>1.4326120665201487E-2</v>
      </c>
      <c r="F296" s="25">
        <f t="shared" si="182"/>
        <v>10.921397698448876</v>
      </c>
      <c r="G296" s="7">
        <v>43123.859432870369</v>
      </c>
      <c r="H296" s="11">
        <v>2458142.359433</v>
      </c>
      <c r="I296" s="11">
        <v>-12.7935444402651</v>
      </c>
      <c r="J296" s="11">
        <v>-11.3829555921635</v>
      </c>
      <c r="K296" s="11">
        <v>-13.7569373658442</v>
      </c>
      <c r="L296" s="11">
        <v>-12.630832071527101</v>
      </c>
      <c r="M296" s="11">
        <v>-12.8591514969744</v>
      </c>
      <c r="N296" s="11">
        <v>-12.4054922281038</v>
      </c>
      <c r="O296" s="11"/>
      <c r="P296" s="11"/>
      <c r="Q296" s="11"/>
      <c r="R296" s="11"/>
      <c r="S296" s="11"/>
      <c r="T296" s="12"/>
      <c r="U296" s="12">
        <f t="shared" si="156"/>
        <v>4</v>
      </c>
      <c r="V296" s="28">
        <f t="shared" ca="1" si="157"/>
        <v>5.84</v>
      </c>
      <c r="W296" s="28">
        <f t="shared" si="158"/>
        <v>1.4326120665201487E-2</v>
      </c>
      <c r="X296" s="12">
        <f t="shared" si="159"/>
        <v>9.4893929255791001</v>
      </c>
      <c r="Y296" s="12">
        <f t="shared" si="160"/>
        <v>9.5162876312620011</v>
      </c>
      <c r="Z296" s="12">
        <f t="shared" si="161"/>
        <v>9.5186070567092997</v>
      </c>
      <c r="AA296" s="12">
        <f t="shared" si="162"/>
        <v>9.5189477878386999</v>
      </c>
      <c r="AB296" s="12" t="str">
        <f t="shared" si="163"/>
        <v/>
      </c>
      <c r="AC296" s="12" t="str">
        <f t="shared" si="164"/>
        <v/>
      </c>
      <c r="AD296" s="12" t="str">
        <f t="shared" si="165"/>
        <v/>
      </c>
      <c r="AE296" s="12" t="str">
        <f t="shared" si="166"/>
        <v/>
      </c>
      <c r="AF296" s="12" t="str">
        <f t="shared" si="167"/>
        <v/>
      </c>
      <c r="AG296" s="12"/>
      <c r="AH296" s="12">
        <f t="shared" si="168"/>
        <v>10.8999817736807</v>
      </c>
      <c r="AI296" s="12">
        <f t="shared" si="169"/>
        <v>10.926876479363601</v>
      </c>
      <c r="AJ296" s="12">
        <f t="shared" si="170"/>
        <v>10.9291959048109</v>
      </c>
      <c r="AK296" s="12">
        <f t="shared" si="171"/>
        <v>10.9295366359403</v>
      </c>
      <c r="AL296" s="12" t="str">
        <f t="shared" si="172"/>
        <v/>
      </c>
      <c r="AM296" s="12" t="str">
        <f t="shared" si="173"/>
        <v/>
      </c>
      <c r="AN296" s="12" t="str">
        <f t="shared" si="174"/>
        <v/>
      </c>
      <c r="AO296" s="12" t="str">
        <f t="shared" si="175"/>
        <v/>
      </c>
      <c r="AP296" s="12" t="str">
        <f t="shared" si="176"/>
        <v/>
      </c>
    </row>
    <row r="297" spans="1:42">
      <c r="A297" s="9">
        <f t="shared" si="177"/>
        <v>43123.859849537039</v>
      </c>
      <c r="B297" s="22">
        <f t="shared" si="178"/>
        <v>2458142.3598495373</v>
      </c>
      <c r="C297" s="23">
        <f t="shared" si="179"/>
        <v>9.4978071733441745</v>
      </c>
      <c r="D297" s="24">
        <f t="shared" ca="1" si="180"/>
        <v>6.1494876680265931E-2</v>
      </c>
      <c r="E297" s="24">
        <f t="shared" si="181"/>
        <v>2.1059889274063676E-2</v>
      </c>
      <c r="F297" s="25">
        <f t="shared" si="182"/>
        <v>10.945667723656076</v>
      </c>
      <c r="G297" s="7">
        <v>43123.859849537039</v>
      </c>
      <c r="H297" s="11">
        <v>2458142.3598500001</v>
      </c>
      <c r="I297" s="11">
        <v>-12.817301094751199</v>
      </c>
      <c r="J297" s="11">
        <v>-11.3694405444393</v>
      </c>
      <c r="K297" s="11">
        <v>-13.7577974485996</v>
      </c>
      <c r="L297" s="11">
        <v>-12.6490630733675</v>
      </c>
      <c r="M297" s="11">
        <v>-12.8739216862266</v>
      </c>
      <c r="N297" s="11">
        <v>-12.4146508641878</v>
      </c>
      <c r="O297" s="11"/>
      <c r="P297" s="11"/>
      <c r="Q297" s="11"/>
      <c r="R297" s="11"/>
      <c r="S297" s="11"/>
      <c r="T297" s="12"/>
      <c r="U297" s="12">
        <f t="shared" si="156"/>
        <v>4</v>
      </c>
      <c r="V297" s="28">
        <f t="shared" ca="1" si="157"/>
        <v>5.84</v>
      </c>
      <c r="W297" s="28">
        <f t="shared" si="158"/>
        <v>2.1059889274063676E-2</v>
      </c>
      <c r="X297" s="12">
        <f t="shared" si="159"/>
        <v>9.4664963538484006</v>
      </c>
      <c r="Y297" s="12">
        <f t="shared" si="160"/>
        <v>9.5107619786163013</v>
      </c>
      <c r="Z297" s="12">
        <f t="shared" si="161"/>
        <v>9.5096205914754002</v>
      </c>
      <c r="AA297" s="12">
        <f t="shared" si="162"/>
        <v>9.504349769436601</v>
      </c>
      <c r="AB297" s="12" t="str">
        <f t="shared" si="163"/>
        <v/>
      </c>
      <c r="AC297" s="12" t="str">
        <f t="shared" si="164"/>
        <v/>
      </c>
      <c r="AD297" s="12" t="str">
        <f t="shared" si="165"/>
        <v/>
      </c>
      <c r="AE297" s="12" t="str">
        <f t="shared" si="166"/>
        <v/>
      </c>
      <c r="AF297" s="12" t="str">
        <f t="shared" si="167"/>
        <v/>
      </c>
      <c r="AG297" s="12"/>
      <c r="AH297" s="12">
        <f t="shared" si="168"/>
        <v>10.9143569041603</v>
      </c>
      <c r="AI297" s="12">
        <f t="shared" si="169"/>
        <v>10.958622528928201</v>
      </c>
      <c r="AJ297" s="12">
        <f t="shared" si="170"/>
        <v>10.9574811417873</v>
      </c>
      <c r="AK297" s="12">
        <f t="shared" si="171"/>
        <v>10.952210319748501</v>
      </c>
      <c r="AL297" s="12" t="str">
        <f t="shared" si="172"/>
        <v/>
      </c>
      <c r="AM297" s="12" t="str">
        <f t="shared" si="173"/>
        <v/>
      </c>
      <c r="AN297" s="12" t="str">
        <f t="shared" si="174"/>
        <v/>
      </c>
      <c r="AO297" s="12" t="str">
        <f t="shared" si="175"/>
        <v/>
      </c>
      <c r="AP297" s="12" t="str">
        <f t="shared" si="176"/>
        <v/>
      </c>
    </row>
    <row r="298" spans="1:42">
      <c r="A298" s="9">
        <f t="shared" si="177"/>
        <v>43123.860266203701</v>
      </c>
      <c r="B298" s="22">
        <f t="shared" si="178"/>
        <v>2458142.3602662035</v>
      </c>
      <c r="C298" s="23">
        <f t="shared" si="179"/>
        <v>9.4743191740259256</v>
      </c>
      <c r="D298" s="24">
        <f t="shared" ca="1" si="180"/>
        <v>4.7958885319291301E-2</v>
      </c>
      <c r="E298" s="24">
        <f t="shared" si="181"/>
        <v>1.6424275794277843E-2</v>
      </c>
      <c r="F298" s="25">
        <f t="shared" si="182"/>
        <v>10.925926647384024</v>
      </c>
      <c r="G298" s="7">
        <v>43123.860266203701</v>
      </c>
      <c r="H298" s="11">
        <v>2458142.360266</v>
      </c>
      <c r="I298" s="11">
        <v>-12.834336080470299</v>
      </c>
      <c r="J298" s="11">
        <v>-11.382728607112201</v>
      </c>
      <c r="K298" s="11">
        <v>-13.759941097175</v>
      </c>
      <c r="L298" s="11">
        <v>-12.632395458534299</v>
      </c>
      <c r="M298" s="11">
        <v>-12.8722129784407</v>
      </c>
      <c r="N298" s="11">
        <v>-12.405071483834901</v>
      </c>
      <c r="O298" s="11"/>
      <c r="P298" s="11"/>
      <c r="Q298" s="11"/>
      <c r="R298" s="11"/>
      <c r="S298" s="11"/>
      <c r="T298" s="12"/>
      <c r="U298" s="12">
        <f t="shared" si="156"/>
        <v>4</v>
      </c>
      <c r="V298" s="28">
        <f t="shared" ca="1" si="157"/>
        <v>5.84</v>
      </c>
      <c r="W298" s="28">
        <f t="shared" si="158"/>
        <v>1.6424275794277843E-2</v>
      </c>
      <c r="X298" s="12">
        <f t="shared" si="159"/>
        <v>9.4516050167047005</v>
      </c>
      <c r="Y298" s="12">
        <f t="shared" si="160"/>
        <v>9.4770593780640002</v>
      </c>
      <c r="Z298" s="12">
        <f t="shared" si="161"/>
        <v>9.4908768979704003</v>
      </c>
      <c r="AA298" s="12">
        <f t="shared" si="162"/>
        <v>9.4777354033646013</v>
      </c>
      <c r="AB298" s="12" t="str">
        <f t="shared" si="163"/>
        <v/>
      </c>
      <c r="AC298" s="12" t="str">
        <f t="shared" si="164"/>
        <v/>
      </c>
      <c r="AD298" s="12" t="str">
        <f t="shared" si="165"/>
        <v/>
      </c>
      <c r="AE298" s="12" t="str">
        <f t="shared" si="166"/>
        <v/>
      </c>
      <c r="AF298" s="12" t="str">
        <f t="shared" si="167"/>
        <v/>
      </c>
      <c r="AG298" s="12"/>
      <c r="AH298" s="12">
        <f t="shared" si="168"/>
        <v>10.903212490062799</v>
      </c>
      <c r="AI298" s="12">
        <f t="shared" si="169"/>
        <v>10.928666851422099</v>
      </c>
      <c r="AJ298" s="12">
        <f t="shared" si="170"/>
        <v>10.942484371328499</v>
      </c>
      <c r="AK298" s="12">
        <f t="shared" si="171"/>
        <v>10.9293428767227</v>
      </c>
      <c r="AL298" s="12" t="str">
        <f t="shared" si="172"/>
        <v/>
      </c>
      <c r="AM298" s="12" t="str">
        <f t="shared" si="173"/>
        <v/>
      </c>
      <c r="AN298" s="12" t="str">
        <f t="shared" si="174"/>
        <v/>
      </c>
      <c r="AO298" s="12" t="str">
        <f t="shared" si="175"/>
        <v/>
      </c>
      <c r="AP298" s="12" t="str">
        <f t="shared" si="176"/>
        <v/>
      </c>
    </row>
    <row r="299" spans="1:42">
      <c r="A299" s="9">
        <f t="shared" si="177"/>
        <v>43123.860694444447</v>
      </c>
      <c r="B299" s="22">
        <f t="shared" si="178"/>
        <v>2458142.3606944443</v>
      </c>
      <c r="C299" s="23">
        <f t="shared" si="179"/>
        <v>9.4633013639999746</v>
      </c>
      <c r="D299" s="24">
        <f t="shared" ca="1" si="180"/>
        <v>4.9608323828805166E-2</v>
      </c>
      <c r="E299" s="24">
        <f t="shared" si="181"/>
        <v>1.6989151996166154E-2</v>
      </c>
      <c r="F299" s="25">
        <f t="shared" si="182"/>
        <v>10.930196031277173</v>
      </c>
      <c r="G299" s="7">
        <v>43123.860694444447</v>
      </c>
      <c r="H299" s="11">
        <v>2458142.360694</v>
      </c>
      <c r="I299" s="11">
        <v>-12.846113115587301</v>
      </c>
      <c r="J299" s="11">
        <v>-11.3792184483101</v>
      </c>
      <c r="K299" s="11">
        <v>-13.7582595913115</v>
      </c>
      <c r="L299" s="11">
        <v>-12.63503259836</v>
      </c>
      <c r="M299" s="11">
        <v>-12.867360721502999</v>
      </c>
      <c r="N299" s="11">
        <v>-12.412005007174599</v>
      </c>
      <c r="O299" s="11"/>
      <c r="P299" s="11"/>
      <c r="Q299" s="11"/>
      <c r="R299" s="11"/>
      <c r="S299" s="11"/>
      <c r="T299" s="12"/>
      <c r="U299" s="12">
        <f t="shared" si="156"/>
        <v>4</v>
      </c>
      <c r="V299" s="28">
        <f t="shared" ca="1" si="157"/>
        <v>5.84</v>
      </c>
      <c r="W299" s="28">
        <f t="shared" si="158"/>
        <v>1.6989151996166154E-2</v>
      </c>
      <c r="X299" s="12">
        <f t="shared" si="159"/>
        <v>9.4381464757241993</v>
      </c>
      <c r="Y299" s="12">
        <f t="shared" si="160"/>
        <v>9.4679194827727002</v>
      </c>
      <c r="Z299" s="12">
        <f t="shared" si="161"/>
        <v>9.4742476059156981</v>
      </c>
      <c r="AA299" s="12">
        <f t="shared" si="162"/>
        <v>9.4728918915872988</v>
      </c>
      <c r="AB299" s="12" t="str">
        <f t="shared" si="163"/>
        <v/>
      </c>
      <c r="AC299" s="12" t="str">
        <f t="shared" si="164"/>
        <v/>
      </c>
      <c r="AD299" s="12" t="str">
        <f t="shared" si="165"/>
        <v/>
      </c>
      <c r="AE299" s="12" t="str">
        <f t="shared" si="166"/>
        <v/>
      </c>
      <c r="AF299" s="12" t="str">
        <f t="shared" si="167"/>
        <v/>
      </c>
      <c r="AG299" s="12"/>
      <c r="AH299" s="12">
        <f t="shared" si="168"/>
        <v>10.9050411430014</v>
      </c>
      <c r="AI299" s="12">
        <f t="shared" si="169"/>
        <v>10.934814150049901</v>
      </c>
      <c r="AJ299" s="12">
        <f t="shared" si="170"/>
        <v>10.941142273192899</v>
      </c>
      <c r="AK299" s="12">
        <f t="shared" si="171"/>
        <v>10.939786558864499</v>
      </c>
      <c r="AL299" s="12" t="str">
        <f t="shared" si="172"/>
        <v/>
      </c>
      <c r="AM299" s="12" t="str">
        <f t="shared" si="173"/>
        <v/>
      </c>
      <c r="AN299" s="12" t="str">
        <f t="shared" si="174"/>
        <v/>
      </c>
      <c r="AO299" s="12" t="str">
        <f t="shared" si="175"/>
        <v/>
      </c>
      <c r="AP299" s="12" t="str">
        <f t="shared" si="176"/>
        <v/>
      </c>
    </row>
    <row r="300" spans="1:42">
      <c r="A300" s="9">
        <f t="shared" si="177"/>
        <v>43123.861111111109</v>
      </c>
      <c r="B300" s="22">
        <f t="shared" si="178"/>
        <v>2458142.361111111</v>
      </c>
      <c r="C300" s="23">
        <f t="shared" si="179"/>
        <v>9.4613528438017003</v>
      </c>
      <c r="D300" s="24">
        <f t="shared" ca="1" si="180"/>
        <v>5.0820524423187824E-2</v>
      </c>
      <c r="E300" s="24">
        <f t="shared" si="181"/>
        <v>1.7404289186023228E-2</v>
      </c>
      <c r="F300" s="25">
        <f t="shared" si="182"/>
        <v>10.914371049143201</v>
      </c>
      <c r="G300" s="7">
        <v>43123.861111111109</v>
      </c>
      <c r="H300" s="11">
        <v>2458142.3611110002</v>
      </c>
      <c r="I300" s="11">
        <v>-12.8524721717258</v>
      </c>
      <c r="J300" s="11">
        <v>-11.3994539663843</v>
      </c>
      <c r="K300" s="11">
        <v>-13.762010602891101</v>
      </c>
      <c r="L300" s="11">
        <v>-12.6450583772714</v>
      </c>
      <c r="M300" s="11">
        <v>-12.871464898832199</v>
      </c>
      <c r="N300" s="11">
        <v>-12.411766183115301</v>
      </c>
      <c r="O300" s="11"/>
      <c r="P300" s="11"/>
      <c r="Q300" s="11"/>
      <c r="R300" s="11"/>
      <c r="S300" s="11"/>
      <c r="T300" s="12"/>
      <c r="U300" s="12">
        <f t="shared" si="156"/>
        <v>4</v>
      </c>
      <c r="V300" s="28">
        <f t="shared" ca="1" si="157"/>
        <v>5.84</v>
      </c>
      <c r="W300" s="28">
        <f t="shared" si="158"/>
        <v>1.7404289186023228E-2</v>
      </c>
      <c r="X300" s="12">
        <f t="shared" si="159"/>
        <v>9.4355384311653001</v>
      </c>
      <c r="Y300" s="12">
        <f t="shared" si="160"/>
        <v>9.4715862055456004</v>
      </c>
      <c r="Z300" s="12">
        <f t="shared" si="161"/>
        <v>9.4719927271063984</v>
      </c>
      <c r="AA300" s="12">
        <f t="shared" si="162"/>
        <v>9.4662940113895004</v>
      </c>
      <c r="AB300" s="12" t="str">
        <f t="shared" si="163"/>
        <v/>
      </c>
      <c r="AC300" s="12" t="str">
        <f t="shared" si="164"/>
        <v/>
      </c>
      <c r="AD300" s="12" t="str">
        <f t="shared" si="165"/>
        <v/>
      </c>
      <c r="AE300" s="12" t="str">
        <f t="shared" si="166"/>
        <v/>
      </c>
      <c r="AF300" s="12" t="str">
        <f t="shared" si="167"/>
        <v/>
      </c>
      <c r="AG300" s="12"/>
      <c r="AH300" s="12">
        <f t="shared" si="168"/>
        <v>10.888556636506801</v>
      </c>
      <c r="AI300" s="12">
        <f t="shared" si="169"/>
        <v>10.924604410887101</v>
      </c>
      <c r="AJ300" s="12">
        <f t="shared" si="170"/>
        <v>10.925010932447899</v>
      </c>
      <c r="AK300" s="12">
        <f t="shared" si="171"/>
        <v>10.919312216731001</v>
      </c>
      <c r="AL300" s="12" t="str">
        <f t="shared" si="172"/>
        <v/>
      </c>
      <c r="AM300" s="12" t="str">
        <f t="shared" si="173"/>
        <v/>
      </c>
      <c r="AN300" s="12" t="str">
        <f t="shared" si="174"/>
        <v/>
      </c>
      <c r="AO300" s="12" t="str">
        <f t="shared" si="175"/>
        <v/>
      </c>
      <c r="AP300" s="12" t="str">
        <f t="shared" si="176"/>
        <v/>
      </c>
    </row>
    <row r="301" spans="1:42">
      <c r="A301" s="9">
        <f t="shared" si="177"/>
        <v>43123.861527777779</v>
      </c>
      <c r="B301" s="22">
        <f t="shared" si="178"/>
        <v>2458142.3615277777</v>
      </c>
      <c r="C301" s="23">
        <f t="shared" si="179"/>
        <v>9.4388395408282992</v>
      </c>
      <c r="D301" s="24">
        <f t="shared" ca="1" si="180"/>
        <v>3.9735847111086416E-2</v>
      </c>
      <c r="E301" s="24">
        <f t="shared" si="181"/>
        <v>1.3608166818865211E-2</v>
      </c>
      <c r="F301" s="25">
        <f t="shared" si="182"/>
        <v>10.9619882443184</v>
      </c>
      <c r="G301" s="7">
        <v>43123.861527777779</v>
      </c>
      <c r="H301" s="11">
        <v>2458142.3615279999</v>
      </c>
      <c r="I301" s="11">
        <v>-12.878161778177301</v>
      </c>
      <c r="J301" s="11">
        <v>-11.3550130746872</v>
      </c>
      <c r="K301" s="11">
        <v>-13.7716219297804</v>
      </c>
      <c r="L301" s="11">
        <v>-12.638421027989599</v>
      </c>
      <c r="M301" s="11">
        <v>-12.873674798885601</v>
      </c>
      <c r="N301" s="11">
        <v>-12.419287519366801</v>
      </c>
      <c r="O301" s="11"/>
      <c r="P301" s="11"/>
      <c r="Q301" s="11"/>
      <c r="R301" s="11"/>
      <c r="S301" s="11"/>
      <c r="T301" s="12"/>
      <c r="U301" s="12">
        <f t="shared" si="156"/>
        <v>4</v>
      </c>
      <c r="V301" s="28">
        <f t="shared" ca="1" si="157"/>
        <v>5.84</v>
      </c>
      <c r="W301" s="28">
        <f t="shared" si="158"/>
        <v>1.3608166818865211E-2</v>
      </c>
      <c r="X301" s="12">
        <f t="shared" si="159"/>
        <v>9.4194601516030989</v>
      </c>
      <c r="Y301" s="12">
        <f t="shared" si="160"/>
        <v>9.4392592498122987</v>
      </c>
      <c r="Z301" s="12">
        <f t="shared" si="161"/>
        <v>9.4485130207082992</v>
      </c>
      <c r="AA301" s="12">
        <f t="shared" si="162"/>
        <v>9.4481257411895001</v>
      </c>
      <c r="AB301" s="12" t="str">
        <f t="shared" si="163"/>
        <v/>
      </c>
      <c r="AC301" s="12" t="str">
        <f t="shared" si="164"/>
        <v/>
      </c>
      <c r="AD301" s="12" t="str">
        <f t="shared" si="165"/>
        <v/>
      </c>
      <c r="AE301" s="12" t="str">
        <f t="shared" si="166"/>
        <v/>
      </c>
      <c r="AF301" s="12" t="str">
        <f t="shared" si="167"/>
        <v/>
      </c>
      <c r="AG301" s="12"/>
      <c r="AH301" s="12">
        <f t="shared" si="168"/>
        <v>10.9426088550932</v>
      </c>
      <c r="AI301" s="12">
        <f t="shared" si="169"/>
        <v>10.962407953302399</v>
      </c>
      <c r="AJ301" s="12">
        <f t="shared" si="170"/>
        <v>10.9716617241984</v>
      </c>
      <c r="AK301" s="12">
        <f t="shared" si="171"/>
        <v>10.971274444679601</v>
      </c>
      <c r="AL301" s="12" t="str">
        <f t="shared" si="172"/>
        <v/>
      </c>
      <c r="AM301" s="12" t="str">
        <f t="shared" si="173"/>
        <v/>
      </c>
      <c r="AN301" s="12" t="str">
        <f t="shared" si="174"/>
        <v/>
      </c>
      <c r="AO301" s="12" t="str">
        <f t="shared" si="175"/>
        <v/>
      </c>
      <c r="AP301" s="12" t="str">
        <f t="shared" si="176"/>
        <v/>
      </c>
    </row>
    <row r="302" spans="1:42">
      <c r="A302" s="9">
        <f t="shared" si="177"/>
        <v>43123.861956018518</v>
      </c>
      <c r="B302" s="22">
        <f t="shared" si="178"/>
        <v>2458142.3619560185</v>
      </c>
      <c r="C302" s="23">
        <f t="shared" si="179"/>
        <v>9.4291164841986745</v>
      </c>
      <c r="D302" s="24">
        <f t="shared" ca="1" si="180"/>
        <v>5.9070630333547841E-2</v>
      </c>
      <c r="E302" s="24">
        <f t="shared" si="181"/>
        <v>2.0229667922447892E-2</v>
      </c>
      <c r="F302" s="25">
        <f t="shared" si="182"/>
        <v>10.934122466142975</v>
      </c>
      <c r="G302" s="7">
        <v>43123.861956018518</v>
      </c>
      <c r="H302" s="11">
        <v>2458142.3619559999</v>
      </c>
      <c r="I302" s="11">
        <v>-12.8878398787212</v>
      </c>
      <c r="J302" s="11">
        <v>-11.3828338967769</v>
      </c>
      <c r="K302" s="11">
        <v>-13.761402180612199</v>
      </c>
      <c r="L302" s="11">
        <v>-12.641403090391799</v>
      </c>
      <c r="M302" s="11">
        <v>-12.8761186949103</v>
      </c>
      <c r="N302" s="11">
        <v>-12.423901485765199</v>
      </c>
      <c r="O302" s="11"/>
      <c r="P302" s="11"/>
      <c r="Q302" s="11"/>
      <c r="R302" s="11"/>
      <c r="S302" s="11"/>
      <c r="T302" s="12"/>
      <c r="U302" s="12">
        <f t="shared" si="156"/>
        <v>4</v>
      </c>
      <c r="V302" s="28">
        <f t="shared" ca="1" si="157"/>
        <v>5.84</v>
      </c>
      <c r="W302" s="28">
        <f t="shared" si="158"/>
        <v>2.0229667922447892E-2</v>
      </c>
      <c r="X302" s="12">
        <f t="shared" si="159"/>
        <v>9.3995623018909988</v>
      </c>
      <c r="Y302" s="12">
        <f t="shared" si="160"/>
        <v>9.4325632116705993</v>
      </c>
      <c r="Z302" s="12">
        <f t="shared" si="161"/>
        <v>9.441278816189099</v>
      </c>
      <c r="AA302" s="12">
        <f t="shared" si="162"/>
        <v>9.4430616070439992</v>
      </c>
      <c r="AB302" s="12" t="str">
        <f t="shared" si="163"/>
        <v/>
      </c>
      <c r="AC302" s="12" t="str">
        <f t="shared" si="164"/>
        <v/>
      </c>
      <c r="AD302" s="12" t="str">
        <f t="shared" si="165"/>
        <v/>
      </c>
      <c r="AE302" s="12" t="str">
        <f t="shared" si="166"/>
        <v/>
      </c>
      <c r="AF302" s="12" t="str">
        <f t="shared" si="167"/>
        <v/>
      </c>
      <c r="AG302" s="12"/>
      <c r="AH302" s="12">
        <f t="shared" si="168"/>
        <v>10.9045682838353</v>
      </c>
      <c r="AI302" s="12">
        <f t="shared" si="169"/>
        <v>10.9375691936149</v>
      </c>
      <c r="AJ302" s="12">
        <f t="shared" si="170"/>
        <v>10.9462847981334</v>
      </c>
      <c r="AK302" s="12">
        <f t="shared" si="171"/>
        <v>10.9480675889883</v>
      </c>
      <c r="AL302" s="12" t="str">
        <f t="shared" si="172"/>
        <v/>
      </c>
      <c r="AM302" s="12" t="str">
        <f t="shared" si="173"/>
        <v/>
      </c>
      <c r="AN302" s="12" t="str">
        <f t="shared" si="174"/>
        <v/>
      </c>
      <c r="AO302" s="12" t="str">
        <f t="shared" si="175"/>
        <v/>
      </c>
      <c r="AP302" s="12" t="str">
        <f t="shared" si="176"/>
        <v/>
      </c>
    </row>
    <row r="303" spans="1:42">
      <c r="A303" s="9">
        <f t="shared" si="177"/>
        <v>43123.862372685187</v>
      </c>
      <c r="B303" s="22">
        <f t="shared" si="178"/>
        <v>2458142.3623726852</v>
      </c>
      <c r="C303" s="23">
        <f t="shared" si="179"/>
        <v>9.4364366243889997</v>
      </c>
      <c r="D303" s="24">
        <f t="shared" ca="1" si="180"/>
        <v>5.2131700203929605E-2</v>
      </c>
      <c r="E303" s="24">
        <f t="shared" si="181"/>
        <v>1.7853321987647126E-2</v>
      </c>
      <c r="F303" s="25">
        <f t="shared" si="182"/>
        <v>10.9309237050189</v>
      </c>
      <c r="G303" s="7">
        <v>43123.862372685187</v>
      </c>
      <c r="H303" s="11">
        <v>2458142.362373</v>
      </c>
      <c r="I303" s="11">
        <v>-12.8835201447594</v>
      </c>
      <c r="J303" s="11">
        <v>-11.389033064129499</v>
      </c>
      <c r="K303" s="11">
        <v>-13.7672395108868</v>
      </c>
      <c r="L303" s="11">
        <v>-12.648485518766</v>
      </c>
      <c r="M303" s="11">
        <v>-12.877453776529601</v>
      </c>
      <c r="N303" s="11">
        <v>-12.4216482704112</v>
      </c>
      <c r="O303" s="11"/>
      <c r="P303" s="11"/>
      <c r="Q303" s="11"/>
      <c r="R303" s="11"/>
      <c r="S303" s="11"/>
      <c r="T303" s="12"/>
      <c r="U303" s="12">
        <f t="shared" si="156"/>
        <v>4</v>
      </c>
      <c r="V303" s="28">
        <f t="shared" ca="1" si="157"/>
        <v>5.84</v>
      </c>
      <c r="W303" s="28">
        <f t="shared" si="158"/>
        <v>1.7853321987647126E-2</v>
      </c>
      <c r="X303" s="12">
        <f t="shared" si="159"/>
        <v>9.4097193661273995</v>
      </c>
      <c r="Y303" s="12">
        <f t="shared" si="160"/>
        <v>9.4439653740066003</v>
      </c>
      <c r="Z303" s="12">
        <f t="shared" si="161"/>
        <v>9.4469336317702002</v>
      </c>
      <c r="AA303" s="12">
        <f t="shared" si="162"/>
        <v>9.4451281256518005</v>
      </c>
      <c r="AB303" s="12" t="str">
        <f t="shared" si="163"/>
        <v/>
      </c>
      <c r="AC303" s="12" t="str">
        <f t="shared" si="164"/>
        <v/>
      </c>
      <c r="AD303" s="12" t="str">
        <f t="shared" si="165"/>
        <v/>
      </c>
      <c r="AE303" s="12" t="str">
        <f t="shared" si="166"/>
        <v/>
      </c>
      <c r="AF303" s="12" t="str">
        <f t="shared" si="167"/>
        <v/>
      </c>
      <c r="AG303" s="12"/>
      <c r="AH303" s="12">
        <f t="shared" si="168"/>
        <v>10.9042064467573</v>
      </c>
      <c r="AI303" s="12">
        <f t="shared" si="169"/>
        <v>10.938452454636501</v>
      </c>
      <c r="AJ303" s="12">
        <f t="shared" si="170"/>
        <v>10.941420712400101</v>
      </c>
      <c r="AK303" s="12">
        <f t="shared" si="171"/>
        <v>10.939615206281701</v>
      </c>
      <c r="AL303" s="12" t="str">
        <f t="shared" si="172"/>
        <v/>
      </c>
      <c r="AM303" s="12" t="str">
        <f t="shared" si="173"/>
        <v/>
      </c>
      <c r="AN303" s="12" t="str">
        <f t="shared" si="174"/>
        <v/>
      </c>
      <c r="AO303" s="12" t="str">
        <f t="shared" si="175"/>
        <v/>
      </c>
      <c r="AP303" s="12" t="str">
        <f t="shared" si="176"/>
        <v/>
      </c>
    </row>
    <row r="304" spans="1:42">
      <c r="A304" s="9">
        <f t="shared" si="177"/>
        <v>43123.86278935185</v>
      </c>
      <c r="B304" s="22">
        <f t="shared" si="178"/>
        <v>2458142.362789352</v>
      </c>
      <c r="C304" s="23">
        <f t="shared" si="179"/>
        <v>9.4239694118196997</v>
      </c>
      <c r="D304" s="24">
        <f t="shared" ca="1" si="180"/>
        <v>7.0934170028359153E-2</v>
      </c>
      <c r="E304" s="24">
        <f t="shared" si="181"/>
        <v>2.4292523982314778E-2</v>
      </c>
      <c r="F304" s="25">
        <f t="shared" si="182"/>
        <v>10.932805923308099</v>
      </c>
      <c r="G304" s="7">
        <v>43123.86278935185</v>
      </c>
      <c r="H304" s="11">
        <v>2458142.3627889999</v>
      </c>
      <c r="I304" s="11">
        <v>-12.891749035263199</v>
      </c>
      <c r="J304" s="11">
        <v>-11.382912523774801</v>
      </c>
      <c r="K304" s="11">
        <v>-13.7565175708163</v>
      </c>
      <c r="L304" s="11">
        <v>-12.6337708925144</v>
      </c>
      <c r="M304" s="11">
        <v>-12.882530387388</v>
      </c>
      <c r="N304" s="11">
        <v>-12.4250549376129</v>
      </c>
      <c r="O304" s="11"/>
      <c r="P304" s="11"/>
      <c r="Q304" s="11"/>
      <c r="R304" s="11"/>
      <c r="S304" s="11"/>
      <c r="T304" s="12"/>
      <c r="U304" s="12">
        <f t="shared" si="156"/>
        <v>4</v>
      </c>
      <c r="V304" s="28">
        <f t="shared" ca="1" si="157"/>
        <v>5.84</v>
      </c>
      <c r="W304" s="28">
        <f t="shared" si="158"/>
        <v>2.4292523982314778E-2</v>
      </c>
      <c r="X304" s="12">
        <f t="shared" si="159"/>
        <v>9.3907685355531001</v>
      </c>
      <c r="Y304" s="12">
        <f t="shared" si="160"/>
        <v>9.4210218572512012</v>
      </c>
      <c r="Z304" s="12">
        <f t="shared" si="161"/>
        <v>9.4437813521248</v>
      </c>
      <c r="AA304" s="12">
        <f t="shared" si="162"/>
        <v>9.4403059023497011</v>
      </c>
      <c r="AB304" s="12" t="str">
        <f t="shared" si="163"/>
        <v/>
      </c>
      <c r="AC304" s="12" t="str">
        <f t="shared" si="164"/>
        <v/>
      </c>
      <c r="AD304" s="12" t="str">
        <f t="shared" si="165"/>
        <v/>
      </c>
      <c r="AE304" s="12" t="str">
        <f t="shared" si="166"/>
        <v/>
      </c>
      <c r="AF304" s="12" t="str">
        <f t="shared" si="167"/>
        <v/>
      </c>
      <c r="AG304" s="12"/>
      <c r="AH304" s="12">
        <f t="shared" si="168"/>
        <v>10.899605047041499</v>
      </c>
      <c r="AI304" s="12">
        <f t="shared" si="169"/>
        <v>10.9298583687396</v>
      </c>
      <c r="AJ304" s="12">
        <f t="shared" si="170"/>
        <v>10.952617863613199</v>
      </c>
      <c r="AK304" s="12">
        <f t="shared" si="171"/>
        <v>10.9491424138381</v>
      </c>
      <c r="AL304" s="12" t="str">
        <f t="shared" si="172"/>
        <v/>
      </c>
      <c r="AM304" s="12" t="str">
        <f t="shared" si="173"/>
        <v/>
      </c>
      <c r="AN304" s="12" t="str">
        <f t="shared" si="174"/>
        <v/>
      </c>
      <c r="AO304" s="12" t="str">
        <f t="shared" si="175"/>
        <v/>
      </c>
      <c r="AP304" s="12" t="str">
        <f t="shared" si="176"/>
        <v/>
      </c>
    </row>
    <row r="305" spans="1:42">
      <c r="A305" s="9">
        <f t="shared" si="177"/>
        <v>43123.863217592596</v>
      </c>
      <c r="B305" s="22">
        <f t="shared" si="178"/>
        <v>2458142.3632175927</v>
      </c>
      <c r="C305" s="23">
        <f t="shared" si="179"/>
        <v>9.3976182685706764</v>
      </c>
      <c r="D305" s="24">
        <f t="shared" ca="1" si="180"/>
        <v>5.4897879887108633E-2</v>
      </c>
      <c r="E305" s="24">
        <f t="shared" si="181"/>
        <v>1.8800643796955011E-2</v>
      </c>
      <c r="F305" s="25">
        <f t="shared" si="182"/>
        <v>10.923696087012674</v>
      </c>
      <c r="G305" s="7">
        <v>43123.863217592596</v>
      </c>
      <c r="H305" s="11">
        <v>2458142.3632180002</v>
      </c>
      <c r="I305" s="11">
        <v>-12.925868643166799</v>
      </c>
      <c r="J305" s="11">
        <v>-11.3997908247248</v>
      </c>
      <c r="K305" s="11">
        <v>-13.7693066578297</v>
      </c>
      <c r="L305" s="11">
        <v>-12.6532578401295</v>
      </c>
      <c r="M305" s="11">
        <v>-12.879493087599601</v>
      </c>
      <c r="N305" s="11">
        <v>-12.4268900613911</v>
      </c>
      <c r="O305" s="11"/>
      <c r="P305" s="11"/>
      <c r="Q305" s="11"/>
      <c r="R305" s="11"/>
      <c r="S305" s="11"/>
      <c r="T305" s="12"/>
      <c r="U305" s="12">
        <f t="shared" si="156"/>
        <v>4</v>
      </c>
      <c r="V305" s="28">
        <f t="shared" ca="1" si="157"/>
        <v>5.84</v>
      </c>
      <c r="W305" s="28">
        <f t="shared" si="158"/>
        <v>1.8800643796955011E-2</v>
      </c>
      <c r="X305" s="12">
        <f t="shared" si="159"/>
        <v>9.3694380146629008</v>
      </c>
      <c r="Y305" s="12">
        <f t="shared" si="160"/>
        <v>9.4063891969627011</v>
      </c>
      <c r="Z305" s="12">
        <f t="shared" si="161"/>
        <v>9.4066244444328007</v>
      </c>
      <c r="AA305" s="12">
        <f t="shared" si="162"/>
        <v>9.4080214182243012</v>
      </c>
      <c r="AB305" s="12" t="str">
        <f t="shared" si="163"/>
        <v/>
      </c>
      <c r="AC305" s="12" t="str">
        <f t="shared" si="164"/>
        <v/>
      </c>
      <c r="AD305" s="12" t="str">
        <f t="shared" si="165"/>
        <v/>
      </c>
      <c r="AE305" s="12" t="str">
        <f t="shared" si="166"/>
        <v/>
      </c>
      <c r="AF305" s="12" t="str">
        <f t="shared" si="167"/>
        <v/>
      </c>
      <c r="AG305" s="12"/>
      <c r="AH305" s="12">
        <f t="shared" si="168"/>
        <v>10.8955158331049</v>
      </c>
      <c r="AI305" s="12">
        <f t="shared" si="169"/>
        <v>10.932467015404701</v>
      </c>
      <c r="AJ305" s="12">
        <f t="shared" si="170"/>
        <v>10.9327022628748</v>
      </c>
      <c r="AK305" s="12">
        <f t="shared" si="171"/>
        <v>10.934099236666301</v>
      </c>
      <c r="AL305" s="12" t="str">
        <f t="shared" si="172"/>
        <v/>
      </c>
      <c r="AM305" s="12" t="str">
        <f t="shared" si="173"/>
        <v/>
      </c>
      <c r="AN305" s="12" t="str">
        <f t="shared" si="174"/>
        <v/>
      </c>
      <c r="AO305" s="12" t="str">
        <f t="shared" si="175"/>
        <v/>
      </c>
      <c r="AP305" s="12" t="str">
        <f t="shared" si="176"/>
        <v/>
      </c>
    </row>
    <row r="306" spans="1:42">
      <c r="A306" s="9">
        <f t="shared" si="177"/>
        <v>43123.863634259258</v>
      </c>
      <c r="B306" s="22">
        <f t="shared" si="178"/>
        <v>2458142.3636342594</v>
      </c>
      <c r="C306" s="23">
        <f t="shared" si="179"/>
        <v>9.3976530168085244</v>
      </c>
      <c r="D306" s="24">
        <f t="shared" ca="1" si="180"/>
        <v>5.3460776444917216E-2</v>
      </c>
      <c r="E306" s="24">
        <f t="shared" si="181"/>
        <v>1.830848508387576E-2</v>
      </c>
      <c r="F306" s="25">
        <f t="shared" si="182"/>
        <v>10.935346176620126</v>
      </c>
      <c r="G306" s="7">
        <v>43123.863634259258</v>
      </c>
      <c r="H306" s="11">
        <v>2458142.3636340001</v>
      </c>
      <c r="I306" s="11">
        <v>-12.925689944542601</v>
      </c>
      <c r="J306" s="11">
        <v>-11.387996784731</v>
      </c>
      <c r="K306" s="11">
        <v>-13.77044266481</v>
      </c>
      <c r="L306" s="11">
        <v>-12.650885283483699</v>
      </c>
      <c r="M306" s="11">
        <v>-12.8845188463714</v>
      </c>
      <c r="N306" s="11">
        <v>-12.4225250507394</v>
      </c>
      <c r="O306" s="11"/>
      <c r="P306" s="11"/>
      <c r="Q306" s="11"/>
      <c r="R306" s="11"/>
      <c r="S306" s="11"/>
      <c r="T306" s="12"/>
      <c r="U306" s="12">
        <f t="shared" si="156"/>
        <v>4</v>
      </c>
      <c r="V306" s="28">
        <f t="shared" ca="1" si="157"/>
        <v>5.84</v>
      </c>
      <c r="W306" s="28">
        <f t="shared" si="158"/>
        <v>1.830848508387576E-2</v>
      </c>
      <c r="X306" s="12">
        <f t="shared" si="159"/>
        <v>9.370752720267399</v>
      </c>
      <c r="Y306" s="12">
        <f t="shared" si="160"/>
        <v>9.4041953389410988</v>
      </c>
      <c r="Z306" s="12">
        <f t="shared" si="161"/>
        <v>9.4118289018287982</v>
      </c>
      <c r="AA306" s="12">
        <f t="shared" si="162"/>
        <v>9.4038351061967997</v>
      </c>
      <c r="AB306" s="12" t="str">
        <f t="shared" si="163"/>
        <v/>
      </c>
      <c r="AC306" s="12" t="str">
        <f t="shared" si="164"/>
        <v/>
      </c>
      <c r="AD306" s="12" t="str">
        <f t="shared" si="165"/>
        <v/>
      </c>
      <c r="AE306" s="12" t="str">
        <f t="shared" si="166"/>
        <v/>
      </c>
      <c r="AF306" s="12" t="str">
        <f t="shared" si="167"/>
        <v/>
      </c>
      <c r="AG306" s="12"/>
      <c r="AH306" s="12">
        <f t="shared" si="168"/>
        <v>10.908445880079</v>
      </c>
      <c r="AI306" s="12">
        <f t="shared" si="169"/>
        <v>10.9418884987527</v>
      </c>
      <c r="AJ306" s="12">
        <f t="shared" si="170"/>
        <v>10.949522061640399</v>
      </c>
      <c r="AK306" s="12">
        <f t="shared" si="171"/>
        <v>10.941528266008401</v>
      </c>
      <c r="AL306" s="12" t="str">
        <f t="shared" si="172"/>
        <v/>
      </c>
      <c r="AM306" s="12" t="str">
        <f t="shared" si="173"/>
        <v/>
      </c>
      <c r="AN306" s="12" t="str">
        <f t="shared" si="174"/>
        <v/>
      </c>
      <c r="AO306" s="12" t="str">
        <f t="shared" si="175"/>
        <v/>
      </c>
      <c r="AP306" s="12" t="str">
        <f t="shared" si="176"/>
        <v/>
      </c>
    </row>
    <row r="307" spans="1:42">
      <c r="A307" s="9">
        <f t="shared" si="177"/>
        <v>43123.864062499997</v>
      </c>
      <c r="B307" s="22">
        <f t="shared" si="178"/>
        <v>2458142.3640625002</v>
      </c>
      <c r="C307" s="23">
        <f t="shared" si="179"/>
        <v>9.3859100196901259</v>
      </c>
      <c r="D307" s="24">
        <f t="shared" ca="1" si="180"/>
        <v>4.1292585905959273E-2</v>
      </c>
      <c r="E307" s="24">
        <f t="shared" si="181"/>
        <v>1.4141296543136738E-2</v>
      </c>
      <c r="F307" s="25">
        <f t="shared" si="182"/>
        <v>10.912370626848626</v>
      </c>
      <c r="G307" s="7">
        <v>43123.864062499997</v>
      </c>
      <c r="H307" s="11">
        <v>2458142.3640620001</v>
      </c>
      <c r="I307" s="11">
        <v>-12.927122580378899</v>
      </c>
      <c r="J307" s="11">
        <v>-11.4006619732204</v>
      </c>
      <c r="K307" s="11">
        <v>-13.768807763860501</v>
      </c>
      <c r="L307" s="11">
        <v>-12.638639643598401</v>
      </c>
      <c r="M307" s="11">
        <v>-12.8756118202375</v>
      </c>
      <c r="N307" s="11">
        <v>-12.4040711725797</v>
      </c>
      <c r="O307" s="11"/>
      <c r="P307" s="11"/>
      <c r="Q307" s="11"/>
      <c r="R307" s="11"/>
      <c r="S307" s="11"/>
      <c r="T307" s="12"/>
      <c r="U307" s="12">
        <f t="shared" si="156"/>
        <v>4</v>
      </c>
      <c r="V307" s="28">
        <f t="shared" ca="1" si="157"/>
        <v>5.84</v>
      </c>
      <c r="W307" s="28">
        <f t="shared" si="158"/>
        <v>1.4141296543136738E-2</v>
      </c>
      <c r="X307" s="12">
        <f t="shared" si="159"/>
        <v>9.3676851834816013</v>
      </c>
      <c r="Y307" s="12">
        <f t="shared" si="160"/>
        <v>9.3905170632195016</v>
      </c>
      <c r="Z307" s="12">
        <f t="shared" si="161"/>
        <v>9.4014892398586003</v>
      </c>
      <c r="AA307" s="12">
        <f t="shared" si="162"/>
        <v>9.3839485922008006</v>
      </c>
      <c r="AB307" s="12" t="str">
        <f t="shared" si="163"/>
        <v/>
      </c>
      <c r="AC307" s="12" t="str">
        <f t="shared" si="164"/>
        <v/>
      </c>
      <c r="AD307" s="12" t="str">
        <f t="shared" si="165"/>
        <v/>
      </c>
      <c r="AE307" s="12" t="str">
        <f t="shared" si="166"/>
        <v/>
      </c>
      <c r="AF307" s="12" t="str">
        <f t="shared" si="167"/>
        <v/>
      </c>
      <c r="AG307" s="12"/>
      <c r="AH307" s="12">
        <f t="shared" si="168"/>
        <v>10.894145790640101</v>
      </c>
      <c r="AI307" s="12">
        <f t="shared" si="169"/>
        <v>10.916977670378001</v>
      </c>
      <c r="AJ307" s="12">
        <f t="shared" si="170"/>
        <v>10.9279498470171</v>
      </c>
      <c r="AK307" s="12">
        <f t="shared" si="171"/>
        <v>10.9104091993593</v>
      </c>
      <c r="AL307" s="12" t="str">
        <f t="shared" si="172"/>
        <v/>
      </c>
      <c r="AM307" s="12" t="str">
        <f t="shared" si="173"/>
        <v/>
      </c>
      <c r="AN307" s="12" t="str">
        <f t="shared" si="174"/>
        <v/>
      </c>
      <c r="AO307" s="12" t="str">
        <f t="shared" si="175"/>
        <v/>
      </c>
      <c r="AP307" s="12" t="str">
        <f t="shared" si="176"/>
        <v/>
      </c>
    </row>
    <row r="308" spans="1:42">
      <c r="A308" s="9">
        <f t="shared" si="177"/>
        <v>43123.864479166667</v>
      </c>
      <c r="B308" s="22">
        <f t="shared" si="178"/>
        <v>2458142.3644791665</v>
      </c>
      <c r="C308" s="23">
        <f t="shared" si="179"/>
        <v>9.3786662639181522</v>
      </c>
      <c r="D308" s="24">
        <f t="shared" ca="1" si="180"/>
        <v>5.6515727724411755E-2</v>
      </c>
      <c r="E308" s="24">
        <f t="shared" si="181"/>
        <v>1.9354701275483478E-2</v>
      </c>
      <c r="F308" s="25">
        <f t="shared" si="182"/>
        <v>10.926394610414249</v>
      </c>
      <c r="G308" s="7">
        <v>43123.864479166667</v>
      </c>
      <c r="H308" s="11">
        <v>2458142.3644790002</v>
      </c>
      <c r="I308" s="11">
        <v>-12.941104467432799</v>
      </c>
      <c r="J308" s="11">
        <v>-11.393376120936701</v>
      </c>
      <c r="K308" s="11">
        <v>-13.7647397917597</v>
      </c>
      <c r="L308" s="11">
        <v>-12.650274598306099</v>
      </c>
      <c r="M308" s="11">
        <v>-12.8766777264956</v>
      </c>
      <c r="N308" s="11">
        <v>-12.422390808842399</v>
      </c>
      <c r="O308" s="11"/>
      <c r="P308" s="11"/>
      <c r="Q308" s="11"/>
      <c r="R308" s="11"/>
      <c r="S308" s="11"/>
      <c r="T308" s="12"/>
      <c r="U308" s="12">
        <f t="shared" si="156"/>
        <v>4</v>
      </c>
      <c r="V308" s="28">
        <f t="shared" ca="1" si="157"/>
        <v>5.84</v>
      </c>
      <c r="W308" s="28">
        <f t="shared" si="158"/>
        <v>1.9354701275483478E-2</v>
      </c>
      <c r="X308" s="12">
        <f t="shared" si="159"/>
        <v>9.3496353243269006</v>
      </c>
      <c r="Y308" s="12">
        <f t="shared" si="160"/>
        <v>9.3881701308733003</v>
      </c>
      <c r="Z308" s="12">
        <f t="shared" si="161"/>
        <v>9.3885732590628006</v>
      </c>
      <c r="AA308" s="12">
        <f t="shared" si="162"/>
        <v>9.3882863414096001</v>
      </c>
      <c r="AB308" s="12" t="str">
        <f t="shared" si="163"/>
        <v/>
      </c>
      <c r="AC308" s="12" t="str">
        <f t="shared" si="164"/>
        <v/>
      </c>
      <c r="AD308" s="12" t="str">
        <f t="shared" si="165"/>
        <v/>
      </c>
      <c r="AE308" s="12" t="str">
        <f t="shared" si="166"/>
        <v/>
      </c>
      <c r="AF308" s="12" t="str">
        <f t="shared" si="167"/>
        <v/>
      </c>
      <c r="AG308" s="12"/>
      <c r="AH308" s="12">
        <f t="shared" si="168"/>
        <v>10.897363670822999</v>
      </c>
      <c r="AI308" s="12">
        <f t="shared" si="169"/>
        <v>10.935898477369399</v>
      </c>
      <c r="AJ308" s="12">
        <f t="shared" si="170"/>
        <v>10.936301605558899</v>
      </c>
      <c r="AK308" s="12">
        <f t="shared" si="171"/>
        <v>10.936014687905699</v>
      </c>
      <c r="AL308" s="12" t="str">
        <f t="shared" si="172"/>
        <v/>
      </c>
      <c r="AM308" s="12" t="str">
        <f t="shared" si="173"/>
        <v/>
      </c>
      <c r="AN308" s="12" t="str">
        <f t="shared" si="174"/>
        <v/>
      </c>
      <c r="AO308" s="12" t="str">
        <f t="shared" si="175"/>
        <v/>
      </c>
      <c r="AP308" s="12" t="str">
        <f t="shared" si="176"/>
        <v/>
      </c>
    </row>
    <row r="309" spans="1:42">
      <c r="A309" s="9">
        <f t="shared" si="177"/>
        <v>43123.864907407406</v>
      </c>
      <c r="B309" s="22">
        <f t="shared" si="178"/>
        <v>2458142.3649074072</v>
      </c>
      <c r="C309" s="23">
        <f t="shared" si="179"/>
        <v>9.3569171560437248</v>
      </c>
      <c r="D309" s="24">
        <f t="shared" ca="1" si="180"/>
        <v>4.1934253317648433E-2</v>
      </c>
      <c r="E309" s="24">
        <f t="shared" si="181"/>
        <v>1.4361045656728915E-2</v>
      </c>
      <c r="F309" s="25">
        <f t="shared" si="182"/>
        <v>10.932934337329524</v>
      </c>
      <c r="G309" s="7">
        <v>43123.864907407406</v>
      </c>
      <c r="H309" s="11">
        <v>2458142.3649070002</v>
      </c>
      <c r="I309" s="11">
        <v>-12.962941899414499</v>
      </c>
      <c r="J309" s="11">
        <v>-11.3869247181287</v>
      </c>
      <c r="K309" s="11">
        <v>-13.7729497881906</v>
      </c>
      <c r="L309" s="11">
        <v>-12.6436409237643</v>
      </c>
      <c r="M309" s="11">
        <v>-12.878100064238</v>
      </c>
      <c r="N309" s="11">
        <v>-12.41974544564</v>
      </c>
      <c r="O309" s="11"/>
      <c r="P309" s="11"/>
      <c r="Q309" s="11"/>
      <c r="R309" s="11"/>
      <c r="S309" s="11"/>
      <c r="T309" s="12"/>
      <c r="U309" s="12">
        <f t="shared" si="156"/>
        <v>4</v>
      </c>
      <c r="V309" s="28">
        <f t="shared" ca="1" si="157"/>
        <v>5.84</v>
      </c>
      <c r="W309" s="28">
        <f t="shared" si="158"/>
        <v>1.4361045656728915E-2</v>
      </c>
      <c r="X309" s="12">
        <f t="shared" si="159"/>
        <v>9.3360078887761002</v>
      </c>
      <c r="Y309" s="12">
        <f t="shared" si="160"/>
        <v>9.3596990243498013</v>
      </c>
      <c r="Z309" s="12">
        <f t="shared" si="161"/>
        <v>9.3681581648234999</v>
      </c>
      <c r="AA309" s="12">
        <f t="shared" si="162"/>
        <v>9.3638035462255012</v>
      </c>
      <c r="AB309" s="12" t="str">
        <f t="shared" si="163"/>
        <v/>
      </c>
      <c r="AC309" s="12" t="str">
        <f t="shared" si="164"/>
        <v/>
      </c>
      <c r="AD309" s="12" t="str">
        <f t="shared" si="165"/>
        <v/>
      </c>
      <c r="AE309" s="12" t="str">
        <f t="shared" si="166"/>
        <v/>
      </c>
      <c r="AF309" s="12" t="str">
        <f t="shared" si="167"/>
        <v/>
      </c>
      <c r="AG309" s="12"/>
      <c r="AH309" s="12">
        <f t="shared" si="168"/>
        <v>10.912025070061899</v>
      </c>
      <c r="AI309" s="12">
        <f t="shared" si="169"/>
        <v>10.9357162056356</v>
      </c>
      <c r="AJ309" s="12">
        <f t="shared" si="170"/>
        <v>10.944175346109299</v>
      </c>
      <c r="AK309" s="12">
        <f t="shared" si="171"/>
        <v>10.9398207275113</v>
      </c>
      <c r="AL309" s="12" t="str">
        <f t="shared" si="172"/>
        <v/>
      </c>
      <c r="AM309" s="12" t="str">
        <f t="shared" si="173"/>
        <v/>
      </c>
      <c r="AN309" s="12" t="str">
        <f t="shared" si="174"/>
        <v/>
      </c>
      <c r="AO309" s="12" t="str">
        <f t="shared" si="175"/>
        <v/>
      </c>
      <c r="AP309" s="12" t="str">
        <f t="shared" si="176"/>
        <v/>
      </c>
    </row>
    <row r="310" spans="1:42">
      <c r="A310" s="9">
        <f t="shared" si="177"/>
        <v>43123.865324074075</v>
      </c>
      <c r="B310" s="22">
        <f t="shared" si="178"/>
        <v>2458142.3653240739</v>
      </c>
      <c r="C310" s="23">
        <f t="shared" si="179"/>
        <v>9.3461157959304497</v>
      </c>
      <c r="D310" s="24">
        <f t="shared" ca="1" si="180"/>
        <v>4.0447161542868829E-2</v>
      </c>
      <c r="E310" s="24">
        <f t="shared" si="181"/>
        <v>1.3851767651667407E-2</v>
      </c>
      <c r="F310" s="25">
        <f t="shared" si="182"/>
        <v>10.926273607179651</v>
      </c>
      <c r="G310" s="7">
        <v>43123.865324074075</v>
      </c>
      <c r="H310" s="11">
        <v>2458142.3653239999</v>
      </c>
      <c r="I310" s="11">
        <v>-12.974106569037099</v>
      </c>
      <c r="J310" s="11">
        <v>-11.3939487577879</v>
      </c>
      <c r="K310" s="11">
        <v>-13.7745637574839</v>
      </c>
      <c r="L310" s="11">
        <v>-12.649932812649199</v>
      </c>
      <c r="M310" s="11">
        <v>-12.877861256224801</v>
      </c>
      <c r="N310" s="11">
        <v>-12.413531633512299</v>
      </c>
      <c r="O310" s="11"/>
      <c r="P310" s="11"/>
      <c r="Q310" s="11"/>
      <c r="R310" s="11"/>
      <c r="S310" s="11"/>
      <c r="T310" s="12"/>
      <c r="U310" s="12">
        <f t="shared" si="156"/>
        <v>4</v>
      </c>
      <c r="V310" s="28">
        <f t="shared" ca="1" si="157"/>
        <v>5.84</v>
      </c>
      <c r="W310" s="28">
        <f t="shared" si="158"/>
        <v>1.3851767651667407E-2</v>
      </c>
      <c r="X310" s="12">
        <f t="shared" si="159"/>
        <v>9.3264571884468008</v>
      </c>
      <c r="Y310" s="12">
        <f t="shared" si="160"/>
        <v>9.3548262436121004</v>
      </c>
      <c r="Z310" s="12">
        <f t="shared" si="161"/>
        <v>9.356754687187701</v>
      </c>
      <c r="AA310" s="12">
        <f t="shared" si="162"/>
        <v>9.3464250644752003</v>
      </c>
      <c r="AB310" s="12" t="str">
        <f t="shared" si="163"/>
        <v/>
      </c>
      <c r="AC310" s="12" t="str">
        <f t="shared" si="164"/>
        <v/>
      </c>
      <c r="AD310" s="12" t="str">
        <f t="shared" si="165"/>
        <v/>
      </c>
      <c r="AE310" s="12" t="str">
        <f t="shared" si="166"/>
        <v/>
      </c>
      <c r="AF310" s="12" t="str">
        <f t="shared" si="167"/>
        <v/>
      </c>
      <c r="AG310" s="12"/>
      <c r="AH310" s="12">
        <f t="shared" si="168"/>
        <v>10.906614999696</v>
      </c>
      <c r="AI310" s="12">
        <f t="shared" si="169"/>
        <v>10.9349840548613</v>
      </c>
      <c r="AJ310" s="12">
        <f t="shared" si="170"/>
        <v>10.9369124984369</v>
      </c>
      <c r="AK310" s="12">
        <f t="shared" si="171"/>
        <v>10.926582875724399</v>
      </c>
      <c r="AL310" s="12" t="str">
        <f t="shared" si="172"/>
        <v/>
      </c>
      <c r="AM310" s="12" t="str">
        <f t="shared" si="173"/>
        <v/>
      </c>
      <c r="AN310" s="12" t="str">
        <f t="shared" si="174"/>
        <v/>
      </c>
      <c r="AO310" s="12" t="str">
        <f t="shared" si="175"/>
        <v/>
      </c>
      <c r="AP310" s="12" t="str">
        <f t="shared" si="176"/>
        <v/>
      </c>
    </row>
    <row r="311" spans="1:42">
      <c r="A311" s="9">
        <f t="shared" si="177"/>
        <v>43123.865752314814</v>
      </c>
      <c r="B311" s="22">
        <f t="shared" si="178"/>
        <v>2458142.3657523147</v>
      </c>
      <c r="C311" s="23">
        <f t="shared" si="179"/>
        <v>9.3422741134793501</v>
      </c>
      <c r="D311" s="24">
        <f t="shared" ca="1" si="180"/>
        <v>4.5626436732214427E-2</v>
      </c>
      <c r="E311" s="24">
        <f t="shared" si="181"/>
        <v>1.5625492031580285E-2</v>
      </c>
      <c r="F311" s="25">
        <f t="shared" si="182"/>
        <v>10.93136855455545</v>
      </c>
      <c r="G311" s="7">
        <v>43123.865752314814</v>
      </c>
      <c r="H311" s="11">
        <v>2458142.3657519999</v>
      </c>
      <c r="I311" s="11">
        <v>-12.9852116621551</v>
      </c>
      <c r="J311" s="11">
        <v>-11.396117221079001</v>
      </c>
      <c r="K311" s="11">
        <v>-13.778690688913199</v>
      </c>
      <c r="L311" s="11">
        <v>-12.650948997942001</v>
      </c>
      <c r="M311" s="11">
        <v>-12.8848664235285</v>
      </c>
      <c r="N311" s="11">
        <v>-12.4304369921541</v>
      </c>
      <c r="O311" s="11"/>
      <c r="P311" s="11"/>
      <c r="Q311" s="11"/>
      <c r="R311" s="11"/>
      <c r="S311" s="11"/>
      <c r="T311" s="12"/>
      <c r="U311" s="12">
        <f t="shared" si="156"/>
        <v>4</v>
      </c>
      <c r="V311" s="28">
        <f t="shared" ca="1" si="157"/>
        <v>5.84</v>
      </c>
      <c r="W311" s="28">
        <f t="shared" si="158"/>
        <v>1.5625492031580285E-2</v>
      </c>
      <c r="X311" s="12">
        <f t="shared" si="159"/>
        <v>9.3194790267580991</v>
      </c>
      <c r="Y311" s="12">
        <f t="shared" si="160"/>
        <v>9.3447373357869008</v>
      </c>
      <c r="Z311" s="12">
        <f t="shared" si="161"/>
        <v>9.3526547613733992</v>
      </c>
      <c r="AA311" s="12">
        <f t="shared" si="162"/>
        <v>9.3522253299989995</v>
      </c>
      <c r="AB311" s="12" t="str">
        <f t="shared" si="163"/>
        <v/>
      </c>
      <c r="AC311" s="12" t="str">
        <f t="shared" si="164"/>
        <v/>
      </c>
      <c r="AD311" s="12" t="str">
        <f t="shared" si="165"/>
        <v/>
      </c>
      <c r="AE311" s="12" t="str">
        <f t="shared" si="166"/>
        <v/>
      </c>
      <c r="AF311" s="12" t="str">
        <f t="shared" si="167"/>
        <v/>
      </c>
      <c r="AG311" s="12"/>
      <c r="AH311" s="12">
        <f t="shared" si="168"/>
        <v>10.908573467834199</v>
      </c>
      <c r="AI311" s="12">
        <f t="shared" si="169"/>
        <v>10.933831776863</v>
      </c>
      <c r="AJ311" s="12">
        <f t="shared" si="170"/>
        <v>10.941749202449499</v>
      </c>
      <c r="AK311" s="12">
        <f t="shared" si="171"/>
        <v>10.941319771075099</v>
      </c>
      <c r="AL311" s="12" t="str">
        <f t="shared" si="172"/>
        <v/>
      </c>
      <c r="AM311" s="12" t="str">
        <f t="shared" si="173"/>
        <v/>
      </c>
      <c r="AN311" s="12" t="str">
        <f t="shared" si="174"/>
        <v/>
      </c>
      <c r="AO311" s="12" t="str">
        <f t="shared" si="175"/>
        <v/>
      </c>
      <c r="AP311" s="12" t="str">
        <f t="shared" si="176"/>
        <v/>
      </c>
    </row>
    <row r="312" spans="1:42">
      <c r="A312" s="9">
        <f t="shared" si="177"/>
        <v>43123.866168981483</v>
      </c>
      <c r="B312" s="22">
        <f t="shared" si="178"/>
        <v>2458142.3661689814</v>
      </c>
      <c r="C312" s="23">
        <f t="shared" si="179"/>
        <v>9.3371153439811501</v>
      </c>
      <c r="D312" s="24">
        <f t="shared" ca="1" si="180"/>
        <v>6.4045469877800798E-2</v>
      </c>
      <c r="E312" s="24">
        <f t="shared" si="181"/>
        <v>2.1933380095137258E-2</v>
      </c>
      <c r="F312" s="25">
        <f t="shared" si="182"/>
        <v>10.93010989420965</v>
      </c>
      <c r="G312" s="7">
        <v>43123.866168981483</v>
      </c>
      <c r="H312" s="11">
        <v>2458142.366169</v>
      </c>
      <c r="I312" s="11">
        <v>-12.992645010095201</v>
      </c>
      <c r="J312" s="11">
        <v>-11.399650459866701</v>
      </c>
      <c r="K312" s="11">
        <v>-13.770866259612101</v>
      </c>
      <c r="L312" s="11">
        <v>-12.6611385411938</v>
      </c>
      <c r="M312" s="11">
        <v>-12.888082443935501</v>
      </c>
      <c r="N312" s="11">
        <v>-12.433954171564</v>
      </c>
      <c r="O312" s="11"/>
      <c r="P312" s="11"/>
      <c r="Q312" s="11"/>
      <c r="R312" s="11"/>
      <c r="S312" s="11"/>
      <c r="T312" s="12"/>
      <c r="U312" s="12">
        <f t="shared" si="156"/>
        <v>4</v>
      </c>
      <c r="V312" s="28">
        <f t="shared" ca="1" si="157"/>
        <v>5.84</v>
      </c>
      <c r="W312" s="28">
        <f t="shared" si="158"/>
        <v>2.1933380095137258E-2</v>
      </c>
      <c r="X312" s="12">
        <f t="shared" si="159"/>
        <v>9.3042212495168997</v>
      </c>
      <c r="Y312" s="12">
        <f t="shared" si="160"/>
        <v>9.3474935310985998</v>
      </c>
      <c r="Z312" s="12">
        <f t="shared" si="161"/>
        <v>9.3484374338402993</v>
      </c>
      <c r="AA312" s="12">
        <f t="shared" si="162"/>
        <v>9.3483091614687996</v>
      </c>
      <c r="AB312" s="12" t="str">
        <f t="shared" si="163"/>
        <v/>
      </c>
      <c r="AC312" s="12" t="str">
        <f t="shared" si="164"/>
        <v/>
      </c>
      <c r="AD312" s="12" t="str">
        <f t="shared" si="165"/>
        <v/>
      </c>
      <c r="AE312" s="12" t="str">
        <f t="shared" si="166"/>
        <v/>
      </c>
      <c r="AF312" s="12" t="str">
        <f t="shared" si="167"/>
        <v/>
      </c>
      <c r="AG312" s="12"/>
      <c r="AH312" s="12">
        <f t="shared" si="168"/>
        <v>10.8972157997454</v>
      </c>
      <c r="AI312" s="12">
        <f t="shared" si="169"/>
        <v>10.9404880813271</v>
      </c>
      <c r="AJ312" s="12">
        <f t="shared" si="170"/>
        <v>10.941431984068799</v>
      </c>
      <c r="AK312" s="12">
        <f t="shared" si="171"/>
        <v>10.9413037116973</v>
      </c>
      <c r="AL312" s="12" t="str">
        <f t="shared" si="172"/>
        <v/>
      </c>
      <c r="AM312" s="12" t="str">
        <f t="shared" si="173"/>
        <v/>
      </c>
      <c r="AN312" s="12" t="str">
        <f t="shared" si="174"/>
        <v/>
      </c>
      <c r="AO312" s="12" t="str">
        <f t="shared" si="175"/>
        <v/>
      </c>
      <c r="AP312" s="12" t="str">
        <f t="shared" si="176"/>
        <v/>
      </c>
    </row>
    <row r="313" spans="1:42">
      <c r="A313" s="9">
        <f t="shared" si="177"/>
        <v>43123.866597222222</v>
      </c>
      <c r="B313" s="22">
        <f t="shared" si="178"/>
        <v>2458142.3665972222</v>
      </c>
      <c r="C313" s="23">
        <f t="shared" si="179"/>
        <v>9.3260742784565238</v>
      </c>
      <c r="D313" s="24">
        <f t="shared" ca="1" si="180"/>
        <v>7.6444096515351695E-2</v>
      </c>
      <c r="E313" s="24">
        <f t="shared" si="181"/>
        <v>2.6179485107997155E-2</v>
      </c>
      <c r="F313" s="25">
        <f t="shared" si="182"/>
        <v>10.934172973949426</v>
      </c>
      <c r="G313" s="7">
        <v>43123.866597222222</v>
      </c>
      <c r="H313" s="11">
        <v>2458142.366597</v>
      </c>
      <c r="I313" s="11">
        <v>-12.9914287459862</v>
      </c>
      <c r="J313" s="11">
        <v>-11.383330050493299</v>
      </c>
      <c r="K313" s="11">
        <v>-13.755355146396401</v>
      </c>
      <c r="L313" s="11">
        <v>-12.6363880655014</v>
      </c>
      <c r="M313" s="11">
        <v>-12.881091626013101</v>
      </c>
      <c r="N313" s="11">
        <v>-12.43217725986</v>
      </c>
      <c r="O313" s="11"/>
      <c r="P313" s="11"/>
      <c r="Q313" s="11"/>
      <c r="R313" s="11"/>
      <c r="S313" s="11"/>
      <c r="T313" s="12"/>
      <c r="U313" s="12">
        <f t="shared" si="156"/>
        <v>4</v>
      </c>
      <c r="V313" s="28">
        <f t="shared" ca="1" si="157"/>
        <v>5.84</v>
      </c>
      <c r="W313" s="28">
        <f t="shared" si="158"/>
        <v>2.6179485107997155E-2</v>
      </c>
      <c r="X313" s="12">
        <f t="shared" si="159"/>
        <v>9.2899264004102005</v>
      </c>
      <c r="Y313" s="12">
        <f t="shared" si="160"/>
        <v>9.3239593195152004</v>
      </c>
      <c r="Z313" s="12">
        <f t="shared" si="161"/>
        <v>9.3426628800269</v>
      </c>
      <c r="AA313" s="12">
        <f t="shared" si="162"/>
        <v>9.3477485138737997</v>
      </c>
      <c r="AB313" s="12" t="str">
        <f t="shared" si="163"/>
        <v/>
      </c>
      <c r="AC313" s="12" t="str">
        <f t="shared" si="164"/>
        <v/>
      </c>
      <c r="AD313" s="12" t="str">
        <f t="shared" si="165"/>
        <v/>
      </c>
      <c r="AE313" s="12" t="str">
        <f t="shared" si="166"/>
        <v/>
      </c>
      <c r="AF313" s="12" t="str">
        <f t="shared" si="167"/>
        <v/>
      </c>
      <c r="AG313" s="12"/>
      <c r="AH313" s="12">
        <f t="shared" si="168"/>
        <v>10.898025095903101</v>
      </c>
      <c r="AI313" s="12">
        <f t="shared" si="169"/>
        <v>10.932058015008101</v>
      </c>
      <c r="AJ313" s="12">
        <f t="shared" si="170"/>
        <v>10.950761575519801</v>
      </c>
      <c r="AK313" s="12">
        <f t="shared" si="171"/>
        <v>10.9558472093667</v>
      </c>
      <c r="AL313" s="12" t="str">
        <f t="shared" si="172"/>
        <v/>
      </c>
      <c r="AM313" s="12" t="str">
        <f t="shared" si="173"/>
        <v/>
      </c>
      <c r="AN313" s="12" t="str">
        <f t="shared" si="174"/>
        <v/>
      </c>
      <c r="AO313" s="12" t="str">
        <f t="shared" si="175"/>
        <v/>
      </c>
      <c r="AP313" s="12" t="str">
        <f t="shared" si="176"/>
        <v/>
      </c>
    </row>
    <row r="314" spans="1:42">
      <c r="A314" s="9">
        <f t="shared" si="177"/>
        <v>43123.867013888892</v>
      </c>
      <c r="B314" s="22">
        <f t="shared" si="178"/>
        <v>2458142.3670138889</v>
      </c>
      <c r="C314" s="23">
        <f t="shared" si="179"/>
        <v>9.3008032134263736</v>
      </c>
      <c r="D314" s="24">
        <f t="shared" ca="1" si="180"/>
        <v>5.1570499037694756E-2</v>
      </c>
      <c r="E314" s="24">
        <f t="shared" si="181"/>
        <v>1.7661129807429711E-2</v>
      </c>
      <c r="F314" s="25">
        <f t="shared" si="182"/>
        <v>10.929094461157975</v>
      </c>
      <c r="G314" s="7">
        <v>43123.867013888892</v>
      </c>
      <c r="H314" s="11">
        <v>2458142.3670140002</v>
      </c>
      <c r="I314" s="11">
        <v>-13.023342384269601</v>
      </c>
      <c r="J314" s="11">
        <v>-11.395051136537999</v>
      </c>
      <c r="K314" s="11">
        <v>-13.7721887465531</v>
      </c>
      <c r="L314" s="11">
        <v>-12.6522879164126</v>
      </c>
      <c r="M314" s="11">
        <v>-12.884674900123899</v>
      </c>
      <c r="N314" s="11">
        <v>-12.422430827694299</v>
      </c>
      <c r="O314" s="11"/>
      <c r="P314" s="11"/>
      <c r="Q314" s="11"/>
      <c r="R314" s="11"/>
      <c r="S314" s="11"/>
      <c r="T314" s="12"/>
      <c r="U314" s="12">
        <f t="shared" si="156"/>
        <v>4</v>
      </c>
      <c r="V314" s="28">
        <f t="shared" ca="1" si="157"/>
        <v>5.84</v>
      </c>
      <c r="W314" s="28">
        <f t="shared" si="158"/>
        <v>1.7661129807429711E-2</v>
      </c>
      <c r="X314" s="12">
        <f t="shared" si="159"/>
        <v>9.2748463622834993</v>
      </c>
      <c r="Y314" s="12">
        <f t="shared" si="160"/>
        <v>9.307945532143</v>
      </c>
      <c r="Z314" s="12">
        <f t="shared" si="161"/>
        <v>9.3143325158542982</v>
      </c>
      <c r="AA314" s="12">
        <f t="shared" si="162"/>
        <v>9.3060884434246987</v>
      </c>
      <c r="AB314" s="12" t="str">
        <f t="shared" si="163"/>
        <v/>
      </c>
      <c r="AC314" s="12" t="str">
        <f t="shared" si="164"/>
        <v/>
      </c>
      <c r="AD314" s="12" t="str">
        <f t="shared" si="165"/>
        <v/>
      </c>
      <c r="AE314" s="12" t="str">
        <f t="shared" si="166"/>
        <v/>
      </c>
      <c r="AF314" s="12" t="str">
        <f t="shared" si="167"/>
        <v/>
      </c>
      <c r="AG314" s="12"/>
      <c r="AH314" s="12">
        <f t="shared" si="168"/>
        <v>10.903137610015101</v>
      </c>
      <c r="AI314" s="12">
        <f t="shared" si="169"/>
        <v>10.936236779874601</v>
      </c>
      <c r="AJ314" s="12">
        <f t="shared" si="170"/>
        <v>10.9426237635859</v>
      </c>
      <c r="AK314" s="12">
        <f t="shared" si="171"/>
        <v>10.9343796911563</v>
      </c>
      <c r="AL314" s="12" t="str">
        <f t="shared" si="172"/>
        <v/>
      </c>
      <c r="AM314" s="12" t="str">
        <f t="shared" si="173"/>
        <v/>
      </c>
      <c r="AN314" s="12" t="str">
        <f t="shared" si="174"/>
        <v/>
      </c>
      <c r="AO314" s="12" t="str">
        <f t="shared" si="175"/>
        <v/>
      </c>
      <c r="AP314" s="12" t="str">
        <f t="shared" si="176"/>
        <v/>
      </c>
    </row>
    <row r="315" spans="1:42">
      <c r="A315" s="9">
        <f t="shared" si="177"/>
        <v>43123.867442129631</v>
      </c>
      <c r="B315" s="22">
        <f t="shared" si="178"/>
        <v>2458142.3674421296</v>
      </c>
      <c r="C315" s="23">
        <f t="shared" si="179"/>
        <v>9.2848916011214762</v>
      </c>
      <c r="D315" s="24">
        <f t="shared" ca="1" si="180"/>
        <v>6.2742599753734279E-2</v>
      </c>
      <c r="E315" s="24">
        <f t="shared" si="181"/>
        <v>2.1487191696484345E-2</v>
      </c>
      <c r="F315" s="25">
        <f t="shared" si="182"/>
        <v>10.937759184016276</v>
      </c>
      <c r="G315" s="7">
        <v>43123.867442129631</v>
      </c>
      <c r="H315" s="11">
        <v>2458142.3674420002</v>
      </c>
      <c r="I315" s="11">
        <v>-13.0369256193458</v>
      </c>
      <c r="J315" s="11">
        <v>-11.384058036451</v>
      </c>
      <c r="K315" s="11">
        <v>-13.763969218763</v>
      </c>
      <c r="L315" s="11">
        <v>-12.6529140111515</v>
      </c>
      <c r="M315" s="11">
        <v>-12.875674105042201</v>
      </c>
      <c r="N315" s="11">
        <v>-12.429711546912401</v>
      </c>
      <c r="O315" s="11"/>
      <c r="P315" s="11"/>
      <c r="Q315" s="11"/>
      <c r="R315" s="11"/>
      <c r="S315" s="11"/>
      <c r="T315" s="12"/>
      <c r="U315" s="12">
        <f t="shared" si="156"/>
        <v>4</v>
      </c>
      <c r="V315" s="28">
        <f t="shared" ca="1" si="157"/>
        <v>5.84</v>
      </c>
      <c r="W315" s="28">
        <f t="shared" si="158"/>
        <v>2.1487191696484345E-2</v>
      </c>
      <c r="X315" s="12">
        <f t="shared" si="159"/>
        <v>9.2530435994172002</v>
      </c>
      <c r="Y315" s="12">
        <f t="shared" si="160"/>
        <v>9.2949883918057008</v>
      </c>
      <c r="Z315" s="12">
        <f t="shared" si="161"/>
        <v>9.2917484856964006</v>
      </c>
      <c r="AA315" s="12">
        <f t="shared" si="162"/>
        <v>9.2997859275666013</v>
      </c>
      <c r="AB315" s="12" t="str">
        <f t="shared" si="163"/>
        <v/>
      </c>
      <c r="AC315" s="12" t="str">
        <f t="shared" si="164"/>
        <v/>
      </c>
      <c r="AD315" s="12" t="str">
        <f t="shared" si="165"/>
        <v/>
      </c>
      <c r="AE315" s="12" t="str">
        <f t="shared" si="166"/>
        <v/>
      </c>
      <c r="AF315" s="12" t="str">
        <f t="shared" si="167"/>
        <v/>
      </c>
      <c r="AG315" s="12"/>
      <c r="AH315" s="12">
        <f t="shared" si="168"/>
        <v>10.905911182312</v>
      </c>
      <c r="AI315" s="12">
        <f t="shared" si="169"/>
        <v>10.9478559747005</v>
      </c>
      <c r="AJ315" s="12">
        <f t="shared" si="170"/>
        <v>10.9446160685912</v>
      </c>
      <c r="AK315" s="12">
        <f t="shared" si="171"/>
        <v>10.952653510461401</v>
      </c>
      <c r="AL315" s="12" t="str">
        <f t="shared" si="172"/>
        <v/>
      </c>
      <c r="AM315" s="12" t="str">
        <f t="shared" si="173"/>
        <v/>
      </c>
      <c r="AN315" s="12" t="str">
        <f t="shared" si="174"/>
        <v/>
      </c>
      <c r="AO315" s="12" t="str">
        <f t="shared" si="175"/>
        <v/>
      </c>
      <c r="AP315" s="12" t="str">
        <f t="shared" si="176"/>
        <v/>
      </c>
    </row>
    <row r="316" spans="1:42">
      <c r="A316" s="9">
        <f t="shared" si="177"/>
        <v>43123.867858796293</v>
      </c>
      <c r="B316" s="22">
        <f t="shared" si="178"/>
        <v>2458142.3678587964</v>
      </c>
      <c r="C316" s="23">
        <f t="shared" si="179"/>
        <v>9.281507054133149</v>
      </c>
      <c r="D316" s="24">
        <f t="shared" ca="1" si="180"/>
        <v>6.0822216620833369E-2</v>
      </c>
      <c r="E316" s="24">
        <f t="shared" si="181"/>
        <v>2.0829526240011428E-2</v>
      </c>
      <c r="F316" s="25">
        <f t="shared" si="182"/>
        <v>10.93323821154695</v>
      </c>
      <c r="G316" s="7">
        <v>43123.867858796293</v>
      </c>
      <c r="H316" s="11">
        <v>2458142.3678589999</v>
      </c>
      <c r="I316" s="11">
        <v>-13.0388669757273</v>
      </c>
      <c r="J316" s="11">
        <v>-11.387135818313499</v>
      </c>
      <c r="K316" s="11">
        <v>-13.764139019819901</v>
      </c>
      <c r="L316" s="11">
        <v>-12.6448379005239</v>
      </c>
      <c r="M316" s="11">
        <v>-12.8778350221222</v>
      </c>
      <c r="N316" s="11">
        <v>-12.429684176975799</v>
      </c>
      <c r="O316" s="11"/>
      <c r="P316" s="11"/>
      <c r="Q316" s="11"/>
      <c r="R316" s="11"/>
      <c r="S316" s="11"/>
      <c r="T316" s="12"/>
      <c r="U316" s="12">
        <f t="shared" si="156"/>
        <v>4</v>
      </c>
      <c r="V316" s="28">
        <f t="shared" ca="1" si="157"/>
        <v>5.84</v>
      </c>
      <c r="W316" s="28">
        <f t="shared" si="158"/>
        <v>2.0829526240011428E-2</v>
      </c>
      <c r="X316" s="12">
        <f t="shared" si="159"/>
        <v>9.2512720440926</v>
      </c>
      <c r="Y316" s="12">
        <f t="shared" si="160"/>
        <v>9.2849709247965997</v>
      </c>
      <c r="Z316" s="12">
        <f t="shared" si="161"/>
        <v>9.2919680463948993</v>
      </c>
      <c r="AA316" s="12">
        <f t="shared" si="162"/>
        <v>9.297817201248499</v>
      </c>
      <c r="AB316" s="12" t="str">
        <f t="shared" si="163"/>
        <v/>
      </c>
      <c r="AC316" s="12" t="str">
        <f t="shared" si="164"/>
        <v/>
      </c>
      <c r="AD316" s="12" t="str">
        <f t="shared" si="165"/>
        <v/>
      </c>
      <c r="AE316" s="12" t="str">
        <f t="shared" si="166"/>
        <v/>
      </c>
      <c r="AF316" s="12" t="str">
        <f t="shared" si="167"/>
        <v/>
      </c>
      <c r="AG316" s="12"/>
      <c r="AH316" s="12">
        <f t="shared" si="168"/>
        <v>10.903003201506401</v>
      </c>
      <c r="AI316" s="12">
        <f t="shared" si="169"/>
        <v>10.936702082210401</v>
      </c>
      <c r="AJ316" s="12">
        <f t="shared" si="170"/>
        <v>10.9436992038087</v>
      </c>
      <c r="AK316" s="12">
        <f t="shared" si="171"/>
        <v>10.9495483586623</v>
      </c>
      <c r="AL316" s="12" t="str">
        <f t="shared" si="172"/>
        <v/>
      </c>
      <c r="AM316" s="12" t="str">
        <f t="shared" si="173"/>
        <v/>
      </c>
      <c r="AN316" s="12" t="str">
        <f t="shared" si="174"/>
        <v/>
      </c>
      <c r="AO316" s="12" t="str">
        <f t="shared" si="175"/>
        <v/>
      </c>
      <c r="AP316" s="12" t="str">
        <f t="shared" si="176"/>
        <v/>
      </c>
    </row>
    <row r="317" spans="1:42">
      <c r="A317" s="9">
        <f t="shared" si="177"/>
        <v>43123.868275462963</v>
      </c>
      <c r="B317" s="22">
        <f t="shared" si="178"/>
        <v>2458142.3682754631</v>
      </c>
      <c r="C317" s="23">
        <f t="shared" si="179"/>
        <v>9.2577100371779757</v>
      </c>
      <c r="D317" s="24">
        <f t="shared" ca="1" si="180"/>
        <v>6.1002536939586807E-2</v>
      </c>
      <c r="E317" s="24">
        <f t="shared" si="181"/>
        <v>2.0891279773831099E-2</v>
      </c>
      <c r="F317" s="25">
        <f t="shared" si="182"/>
        <v>10.931116958257075</v>
      </c>
      <c r="G317" s="7">
        <v>43123.868275462963</v>
      </c>
      <c r="H317" s="11">
        <v>2458142.3682749998</v>
      </c>
      <c r="I317" s="11">
        <v>-13.0652632112257</v>
      </c>
      <c r="J317" s="11">
        <v>-11.391856290146601</v>
      </c>
      <c r="K317" s="11">
        <v>-13.7656426890722</v>
      </c>
      <c r="L317" s="11">
        <v>-12.653906783991101</v>
      </c>
      <c r="M317" s="11">
        <v>-12.8809375815728</v>
      </c>
      <c r="N317" s="11">
        <v>-12.426405938978601</v>
      </c>
      <c r="O317" s="11"/>
      <c r="P317" s="11"/>
      <c r="Q317" s="11"/>
      <c r="R317" s="11"/>
      <c r="S317" s="11"/>
      <c r="T317" s="12"/>
      <c r="U317" s="12">
        <f t="shared" si="156"/>
        <v>4</v>
      </c>
      <c r="V317" s="28">
        <f t="shared" ca="1" si="157"/>
        <v>5.84</v>
      </c>
      <c r="W317" s="28">
        <f t="shared" si="158"/>
        <v>2.0891279773831099E-2</v>
      </c>
      <c r="X317" s="12">
        <f t="shared" si="159"/>
        <v>9.2263794778464998</v>
      </c>
      <c r="Y317" s="12">
        <f t="shared" si="160"/>
        <v>9.267643572765401</v>
      </c>
      <c r="Z317" s="12">
        <f t="shared" si="161"/>
        <v>9.2686743703470995</v>
      </c>
      <c r="AA317" s="12">
        <f t="shared" si="162"/>
        <v>9.2681427277529007</v>
      </c>
      <c r="AB317" s="12" t="str">
        <f t="shared" si="163"/>
        <v/>
      </c>
      <c r="AC317" s="12" t="str">
        <f t="shared" si="164"/>
        <v/>
      </c>
      <c r="AD317" s="12" t="str">
        <f t="shared" si="165"/>
        <v/>
      </c>
      <c r="AE317" s="12" t="str">
        <f t="shared" si="166"/>
        <v/>
      </c>
      <c r="AF317" s="12" t="str">
        <f t="shared" si="167"/>
        <v/>
      </c>
      <c r="AG317" s="12"/>
      <c r="AH317" s="12">
        <f t="shared" si="168"/>
        <v>10.899786398925599</v>
      </c>
      <c r="AI317" s="12">
        <f t="shared" si="169"/>
        <v>10.9410504938445</v>
      </c>
      <c r="AJ317" s="12">
        <f t="shared" si="170"/>
        <v>10.942081291426199</v>
      </c>
      <c r="AK317" s="12">
        <f t="shared" si="171"/>
        <v>10.941549648832</v>
      </c>
      <c r="AL317" s="12" t="str">
        <f t="shared" si="172"/>
        <v/>
      </c>
      <c r="AM317" s="12" t="str">
        <f t="shared" si="173"/>
        <v/>
      </c>
      <c r="AN317" s="12" t="str">
        <f t="shared" si="174"/>
        <v/>
      </c>
      <c r="AO317" s="12" t="str">
        <f t="shared" si="175"/>
        <v/>
      </c>
      <c r="AP317" s="12" t="str">
        <f t="shared" si="176"/>
        <v/>
      </c>
    </row>
    <row r="318" spans="1:42">
      <c r="A318" s="9">
        <f t="shared" si="177"/>
        <v>43123.868703703702</v>
      </c>
      <c r="B318" s="22">
        <f t="shared" si="178"/>
        <v>2458142.3687037039</v>
      </c>
      <c r="C318" s="23">
        <f t="shared" si="179"/>
        <v>9.2461210228970501</v>
      </c>
      <c r="D318" s="24">
        <f t="shared" ca="1" si="180"/>
        <v>6.2329275554350132E-2</v>
      </c>
      <c r="E318" s="24">
        <f t="shared" si="181"/>
        <v>2.1345642313133607E-2</v>
      </c>
      <c r="F318" s="25">
        <f t="shared" si="182"/>
        <v>10.903902302220549</v>
      </c>
      <c r="G318" s="7">
        <v>43123.868703703702</v>
      </c>
      <c r="H318" s="11">
        <v>2458142.368704</v>
      </c>
      <c r="I318" s="11">
        <v>-13.0775035838561</v>
      </c>
      <c r="J318" s="11">
        <v>-11.4197223045326</v>
      </c>
      <c r="K318" s="11">
        <v>-13.767185938118599</v>
      </c>
      <c r="L318" s="11">
        <v>-12.645614489306</v>
      </c>
      <c r="M318" s="11">
        <v>-12.8836458526005</v>
      </c>
      <c r="N318" s="11">
        <v>-12.433052146987499</v>
      </c>
      <c r="O318" s="11"/>
      <c r="P318" s="11"/>
      <c r="Q318" s="11"/>
      <c r="R318" s="11"/>
      <c r="S318" s="11"/>
      <c r="T318" s="12"/>
      <c r="U318" s="12">
        <f t="shared" si="156"/>
        <v>4</v>
      </c>
      <c r="V318" s="28">
        <f t="shared" ca="1" si="157"/>
        <v>5.84</v>
      </c>
      <c r="W318" s="28">
        <f t="shared" si="158"/>
        <v>2.1345642313133607E-2</v>
      </c>
      <c r="X318" s="12">
        <f t="shared" si="159"/>
        <v>9.2156823542624995</v>
      </c>
      <c r="Y318" s="12">
        <f t="shared" si="160"/>
        <v>9.247110905449901</v>
      </c>
      <c r="Z318" s="12">
        <f t="shared" si="161"/>
        <v>9.2591422687443998</v>
      </c>
      <c r="AA318" s="12">
        <f t="shared" si="162"/>
        <v>9.2625485631314</v>
      </c>
      <c r="AB318" s="12" t="str">
        <f t="shared" si="163"/>
        <v/>
      </c>
      <c r="AC318" s="12" t="str">
        <f t="shared" si="164"/>
        <v/>
      </c>
      <c r="AD318" s="12" t="str">
        <f t="shared" si="165"/>
        <v/>
      </c>
      <c r="AE318" s="12" t="str">
        <f t="shared" si="166"/>
        <v/>
      </c>
      <c r="AF318" s="12" t="str">
        <f t="shared" si="167"/>
        <v/>
      </c>
      <c r="AG318" s="12"/>
      <c r="AH318" s="12">
        <f t="shared" si="168"/>
        <v>10.873463633585999</v>
      </c>
      <c r="AI318" s="12">
        <f t="shared" si="169"/>
        <v>10.9048921847734</v>
      </c>
      <c r="AJ318" s="12">
        <f t="shared" si="170"/>
        <v>10.916923548067899</v>
      </c>
      <c r="AK318" s="12">
        <f t="shared" si="171"/>
        <v>10.920329842454899</v>
      </c>
      <c r="AL318" s="12" t="str">
        <f t="shared" si="172"/>
        <v/>
      </c>
      <c r="AM318" s="12" t="str">
        <f t="shared" si="173"/>
        <v/>
      </c>
      <c r="AN318" s="12" t="str">
        <f t="shared" si="174"/>
        <v/>
      </c>
      <c r="AO318" s="12" t="str">
        <f t="shared" si="175"/>
        <v/>
      </c>
      <c r="AP318" s="12" t="str">
        <f t="shared" si="176"/>
        <v/>
      </c>
    </row>
    <row r="319" spans="1:42">
      <c r="A319" s="9">
        <f t="shared" si="177"/>
        <v>43123.869120370371</v>
      </c>
      <c r="B319" s="22">
        <f t="shared" si="178"/>
        <v>2458142.3691203706</v>
      </c>
      <c r="C319" s="23">
        <f t="shared" si="179"/>
        <v>9.2376521429146479</v>
      </c>
      <c r="D319" s="24">
        <f t="shared" ca="1" si="180"/>
        <v>6.4736882511639768E-2</v>
      </c>
      <c r="E319" s="24">
        <f t="shared" si="181"/>
        <v>2.217016524371225E-2</v>
      </c>
      <c r="F319" s="25">
        <f t="shared" si="182"/>
        <v>10.938159882129249</v>
      </c>
      <c r="G319" s="7">
        <v>43123.869120370371</v>
      </c>
      <c r="H319" s="11">
        <v>2458142.3691199999</v>
      </c>
      <c r="I319" s="11">
        <v>-13.090873794383301</v>
      </c>
      <c r="J319" s="11">
        <v>-11.3903660551687</v>
      </c>
      <c r="K319" s="11">
        <v>-13.7692897436665</v>
      </c>
      <c r="L319" s="11">
        <v>-12.6597262101924</v>
      </c>
      <c r="M319" s="11">
        <v>-12.886528279362199</v>
      </c>
      <c r="N319" s="11">
        <v>-12.4335595159707</v>
      </c>
      <c r="O319" s="11"/>
      <c r="P319" s="11"/>
      <c r="Q319" s="11"/>
      <c r="R319" s="11"/>
      <c r="S319" s="11"/>
      <c r="T319" s="12"/>
      <c r="U319" s="12">
        <f t="shared" ref="U319:U382" si="183">MIN(COUNTA(K$25:S$25),COUNTA(K319:S319))</f>
        <v>4</v>
      </c>
      <c r="V319" s="28">
        <f t="shared" ref="V319:V382" ca="1" si="184">IF(U319&gt;1,INDIRECT(ADDRESS(U319+1,3,1,1,"Student")),"")</f>
        <v>5.84</v>
      </c>
      <c r="W319" s="28">
        <f t="shared" ref="W319:W382" si="185">IF(U319&gt;0,STDEV(X319:AF319),"")</f>
        <v>2.217016524371225E-2</v>
      </c>
      <c r="X319" s="12">
        <f t="shared" ref="X319:X382" si="186">IF(OR(ISBLANK(K$25),ISBLANK(K319),ISBLANK($I319)),"",$I319-K319+K$25)</f>
        <v>9.2044159492831987</v>
      </c>
      <c r="Y319" s="12">
        <f t="shared" ref="Y319:Y382" si="187">IF(OR(ISBLANK(L$25),ISBLANK(L319),ISBLANK($I319)),"",$I319-L319+L$25)</f>
        <v>9.2478524158090991</v>
      </c>
      <c r="Z319" s="12">
        <f t="shared" ref="Z319:Z382" si="188">IF(OR(ISBLANK(M$25),ISBLANK(M319),ISBLANK($I319)),"",$I319-M319+M$25)</f>
        <v>9.2486544849788981</v>
      </c>
      <c r="AA319" s="12">
        <f t="shared" ref="AA319:AA382" si="189">IF(OR(ISBLANK(N$25),ISBLANK(N319),ISBLANK($I319)),"",$I319-N319+N$25)</f>
        <v>9.2496857215873991</v>
      </c>
      <c r="AB319" s="12" t="str">
        <f t="shared" ref="AB319:AB382" si="190">IF(OR(ISBLANK(O$25),ISBLANK(O319),ISBLANK($I319)),"",$I319-O319+O$25)</f>
        <v/>
      </c>
      <c r="AC319" s="12" t="str">
        <f t="shared" ref="AC319:AC382" si="191">IF(OR(ISBLANK(P$25),ISBLANK(P319),ISBLANK($I319)),"",$I319-P319+P$25)</f>
        <v/>
      </c>
      <c r="AD319" s="12" t="str">
        <f t="shared" ref="AD319:AD382" si="192">IF(OR(ISBLANK(Q$25),ISBLANK(Q319),ISBLANK($I319)),"",$I319-Q319+Q$25)</f>
        <v/>
      </c>
      <c r="AE319" s="12" t="str">
        <f t="shared" ref="AE319:AE382" si="193">IF(OR(ISBLANK(R$25),ISBLANK(R319),ISBLANK($I319)),"",$I319-R319+R$25)</f>
        <v/>
      </c>
      <c r="AF319" s="12" t="str">
        <f t="shared" ref="AF319:AF382" si="194">IF(OR(ISBLANK(S$25),ISBLANK(S319),ISBLANK($I319)),"",$I319-S319+S$25)</f>
        <v/>
      </c>
      <c r="AG319" s="12"/>
      <c r="AH319" s="12">
        <f t="shared" ref="AH319:AH382" si="195">IF(OR(ISBLANK(K$25),ISBLANK(K319),ISBLANK($J319)),"",$J319-K319+K$25)</f>
        <v>10.904923688497799</v>
      </c>
      <c r="AI319" s="12">
        <f t="shared" ref="AI319:AI382" si="196">IF(OR(ISBLANK(L$25),ISBLANK(L319),ISBLANK($J319)),"",$J319-L319+L$25)</f>
        <v>10.9483601550237</v>
      </c>
      <c r="AJ319" s="12">
        <f t="shared" ref="AJ319:AJ382" si="197">IF(OR(ISBLANK(M$25),ISBLANK(M319),ISBLANK($J319)),"",$J319-M319+M$25)</f>
        <v>10.949162224193499</v>
      </c>
      <c r="AK319" s="12">
        <f t="shared" ref="AK319:AK382" si="198">IF(OR(ISBLANK(N$25),ISBLANK(N319),ISBLANK($J319)),"",$J319-N319+N$25)</f>
        <v>10.950193460802</v>
      </c>
      <c r="AL319" s="12" t="str">
        <f t="shared" ref="AL319:AL382" si="199">IF(OR(ISBLANK(O$25),ISBLANK(O319),ISBLANK($J319)),"",$J319-O319+O$25)</f>
        <v/>
      </c>
      <c r="AM319" s="12" t="str">
        <f t="shared" ref="AM319:AM382" si="200">IF(OR(ISBLANK(P$25),ISBLANK(P319),ISBLANK($J319)),"",$J319-P319+P$25)</f>
        <v/>
      </c>
      <c r="AN319" s="12" t="str">
        <f t="shared" ref="AN319:AN382" si="201">IF(OR(ISBLANK(Q$25),ISBLANK(Q319),ISBLANK($J319)),"",$J319-Q319+Q$25)</f>
        <v/>
      </c>
      <c r="AO319" s="12" t="str">
        <f t="shared" ref="AO319:AO382" si="202">IF(OR(ISBLANK(R$25),ISBLANK(R319),ISBLANK($J319)),"",$J319-R319+R$25)</f>
        <v/>
      </c>
      <c r="AP319" s="12" t="str">
        <f t="shared" ref="AP319:AP382" si="203">IF(OR(ISBLANK(S$25),ISBLANK(S319),ISBLANK($J319)),"",$J319-S319+S$25)</f>
        <v/>
      </c>
    </row>
    <row r="320" spans="1:42">
      <c r="A320" s="9">
        <f t="shared" si="177"/>
        <v>43123.869537037041</v>
      </c>
      <c r="B320" s="22">
        <f t="shared" si="178"/>
        <v>2458142.3695370369</v>
      </c>
      <c r="C320" s="23">
        <f t="shared" si="179"/>
        <v>9.2166537839801492</v>
      </c>
      <c r="D320" s="24">
        <f t="shared" ca="1" si="180"/>
        <v>5.2148273249939703E-2</v>
      </c>
      <c r="E320" s="24">
        <f t="shared" si="181"/>
        <v>1.7858997688335515E-2</v>
      </c>
      <c r="F320" s="25">
        <f t="shared" si="182"/>
        <v>10.938027223738249</v>
      </c>
      <c r="G320" s="7">
        <v>43123.869537037041</v>
      </c>
      <c r="H320" s="11">
        <v>2458142.3695370001</v>
      </c>
      <c r="I320" s="11">
        <v>-13.1090785186547</v>
      </c>
      <c r="J320" s="11">
        <v>-11.3877050788966</v>
      </c>
      <c r="K320" s="11">
        <v>-13.773259487169099</v>
      </c>
      <c r="L320" s="11">
        <v>-12.657516375713501</v>
      </c>
      <c r="M320" s="11">
        <v>-12.877690769671799</v>
      </c>
      <c r="N320" s="11">
        <v>-12.429462577984999</v>
      </c>
      <c r="O320" s="11"/>
      <c r="P320" s="11"/>
      <c r="Q320" s="11"/>
      <c r="R320" s="11"/>
      <c r="S320" s="11"/>
      <c r="T320" s="12"/>
      <c r="U320" s="12">
        <f t="shared" si="183"/>
        <v>4</v>
      </c>
      <c r="V320" s="28">
        <f t="shared" ca="1" si="184"/>
        <v>5.84</v>
      </c>
      <c r="W320" s="28">
        <f t="shared" si="185"/>
        <v>1.7858997688335515E-2</v>
      </c>
      <c r="X320" s="12">
        <f t="shared" si="186"/>
        <v>9.1901809685143991</v>
      </c>
      <c r="Y320" s="12">
        <f t="shared" si="187"/>
        <v>9.2274378570588009</v>
      </c>
      <c r="Z320" s="12">
        <f t="shared" si="188"/>
        <v>9.221612251017099</v>
      </c>
      <c r="AA320" s="12">
        <f t="shared" si="189"/>
        <v>9.2273840593302996</v>
      </c>
      <c r="AB320" s="12" t="str">
        <f t="shared" si="190"/>
        <v/>
      </c>
      <c r="AC320" s="12" t="str">
        <f t="shared" si="191"/>
        <v/>
      </c>
      <c r="AD320" s="12" t="str">
        <f t="shared" si="192"/>
        <v/>
      </c>
      <c r="AE320" s="12" t="str">
        <f t="shared" si="193"/>
        <v/>
      </c>
      <c r="AF320" s="12" t="str">
        <f t="shared" si="194"/>
        <v/>
      </c>
      <c r="AG320" s="12"/>
      <c r="AH320" s="12">
        <f t="shared" si="195"/>
        <v>10.911554408272499</v>
      </c>
      <c r="AI320" s="12">
        <f t="shared" si="196"/>
        <v>10.948811296816901</v>
      </c>
      <c r="AJ320" s="12">
        <f t="shared" si="197"/>
        <v>10.942985690775199</v>
      </c>
      <c r="AK320" s="12">
        <f t="shared" si="198"/>
        <v>10.9487574990884</v>
      </c>
      <c r="AL320" s="12" t="str">
        <f t="shared" si="199"/>
        <v/>
      </c>
      <c r="AM320" s="12" t="str">
        <f t="shared" si="200"/>
        <v/>
      </c>
      <c r="AN320" s="12" t="str">
        <f t="shared" si="201"/>
        <v/>
      </c>
      <c r="AO320" s="12" t="str">
        <f t="shared" si="202"/>
        <v/>
      </c>
      <c r="AP320" s="12" t="str">
        <f t="shared" si="203"/>
        <v/>
      </c>
    </row>
    <row r="321" spans="1:42">
      <c r="A321" s="9">
        <f t="shared" ref="A321:A384" si="204">IF(ISBLANK(G321),"",G321)</f>
        <v>43123.86996527778</v>
      </c>
      <c r="B321" s="22">
        <f t="shared" ref="B321:B384" si="205">IF(ISBLANK(G321),"",G321+2415018.5)</f>
        <v>2458142.3699652776</v>
      </c>
      <c r="C321" s="23">
        <f t="shared" ref="C321:C384" si="206">IF(U321&gt;0,AVERAGE(X321:AF321),"")</f>
        <v>9.2154097342180759</v>
      </c>
      <c r="D321" s="24">
        <f t="shared" ref="D321:D384" ca="1" si="207">IF(U321&gt;0,STDEV(X321:AF321)/SQRT(U321)*V321,"")</f>
        <v>6.089010484375959E-2</v>
      </c>
      <c r="E321" s="24">
        <f t="shared" ref="E321:E384" si="208">IF(ISBLANK(W321),"",W321)</f>
        <v>2.0852775631424517E-2</v>
      </c>
      <c r="F321" s="25">
        <f t="shared" ref="F321:F384" si="209">IF(U321&gt;0,AVERAGE(AH321:AP321),"")</f>
        <v>10.921702866753675</v>
      </c>
      <c r="G321" s="7">
        <v>43123.86996527778</v>
      </c>
      <c r="H321" s="11">
        <v>2458142.3699650001</v>
      </c>
      <c r="I321" s="11">
        <v>-13.1106931616895</v>
      </c>
      <c r="J321" s="11">
        <v>-11.4044000291539</v>
      </c>
      <c r="K321" s="11">
        <v>-13.769896810683001</v>
      </c>
      <c r="L321" s="11">
        <v>-12.650227047539399</v>
      </c>
      <c r="M321" s="11">
        <v>-12.8894395095906</v>
      </c>
      <c r="N321" s="11">
        <v>-12.4298482158173</v>
      </c>
      <c r="O321" s="11"/>
      <c r="P321" s="11"/>
      <c r="Q321" s="11"/>
      <c r="R321" s="11"/>
      <c r="S321" s="11"/>
      <c r="T321" s="12"/>
      <c r="U321" s="12">
        <f t="shared" si="183"/>
        <v>4</v>
      </c>
      <c r="V321" s="28">
        <f t="shared" ca="1" si="184"/>
        <v>5.84</v>
      </c>
      <c r="W321" s="28">
        <f t="shared" si="185"/>
        <v>2.0852775631424517E-2</v>
      </c>
      <c r="X321" s="12">
        <f t="shared" si="186"/>
        <v>9.1852036489935003</v>
      </c>
      <c r="Y321" s="12">
        <f t="shared" si="187"/>
        <v>9.2185338858498991</v>
      </c>
      <c r="Z321" s="12">
        <f t="shared" si="188"/>
        <v>9.2317463479010993</v>
      </c>
      <c r="AA321" s="12">
        <f t="shared" si="189"/>
        <v>9.2261550541277995</v>
      </c>
      <c r="AB321" s="12" t="str">
        <f t="shared" si="190"/>
        <v/>
      </c>
      <c r="AC321" s="12" t="str">
        <f t="shared" si="191"/>
        <v/>
      </c>
      <c r="AD321" s="12" t="str">
        <f t="shared" si="192"/>
        <v/>
      </c>
      <c r="AE321" s="12" t="str">
        <f t="shared" si="193"/>
        <v/>
      </c>
      <c r="AF321" s="12" t="str">
        <f t="shared" si="194"/>
        <v/>
      </c>
      <c r="AG321" s="12"/>
      <c r="AH321" s="12">
        <f t="shared" si="195"/>
        <v>10.891496781529101</v>
      </c>
      <c r="AI321" s="12">
        <f t="shared" si="196"/>
        <v>10.9248270183855</v>
      </c>
      <c r="AJ321" s="12">
        <f t="shared" si="197"/>
        <v>10.9380394804367</v>
      </c>
      <c r="AK321" s="12">
        <f t="shared" si="198"/>
        <v>10.9324481866634</v>
      </c>
      <c r="AL321" s="12" t="str">
        <f t="shared" si="199"/>
        <v/>
      </c>
      <c r="AM321" s="12" t="str">
        <f t="shared" si="200"/>
        <v/>
      </c>
      <c r="AN321" s="12" t="str">
        <f t="shared" si="201"/>
        <v/>
      </c>
      <c r="AO321" s="12" t="str">
        <f t="shared" si="202"/>
        <v/>
      </c>
      <c r="AP321" s="12" t="str">
        <f t="shared" si="203"/>
        <v/>
      </c>
    </row>
    <row r="322" spans="1:42">
      <c r="A322" s="9">
        <f t="shared" si="204"/>
        <v>43123.870381944442</v>
      </c>
      <c r="B322" s="22">
        <f t="shared" si="205"/>
        <v>2458142.3703819443</v>
      </c>
      <c r="C322" s="23">
        <f t="shared" si="206"/>
        <v>9.1971222166510742</v>
      </c>
      <c r="D322" s="24">
        <f t="shared" ca="1" si="207"/>
        <v>4.3093026826532065E-2</v>
      </c>
      <c r="E322" s="24">
        <f t="shared" si="208"/>
        <v>1.4757885899497282E-2</v>
      </c>
      <c r="F322" s="25">
        <f t="shared" si="209"/>
        <v>10.954628976795675</v>
      </c>
      <c r="G322" s="7">
        <v>43123.870381944442</v>
      </c>
      <c r="H322" s="11">
        <v>2458142.3703820002</v>
      </c>
      <c r="I322" s="11">
        <v>-13.130460789514</v>
      </c>
      <c r="J322" s="11">
        <v>-11.372954029369399</v>
      </c>
      <c r="K322" s="11">
        <v>-13.7802207518932</v>
      </c>
      <c r="L322" s="11">
        <v>-12.650529076077</v>
      </c>
      <c r="M322" s="11">
        <v>-12.8827486351462</v>
      </c>
      <c r="N322" s="11">
        <v>-12.4318335615439</v>
      </c>
      <c r="O322" s="11"/>
      <c r="P322" s="11"/>
      <c r="Q322" s="11"/>
      <c r="R322" s="11"/>
      <c r="S322" s="11"/>
      <c r="T322" s="12"/>
      <c r="U322" s="12">
        <f t="shared" si="183"/>
        <v>4</v>
      </c>
      <c r="V322" s="28">
        <f t="shared" ca="1" si="184"/>
        <v>5.84</v>
      </c>
      <c r="W322" s="28">
        <f t="shared" si="185"/>
        <v>1.4757885899497282E-2</v>
      </c>
      <c r="X322" s="12">
        <f t="shared" si="186"/>
        <v>9.1757599623791997</v>
      </c>
      <c r="Y322" s="12">
        <f t="shared" si="187"/>
        <v>9.1990682865629996</v>
      </c>
      <c r="Z322" s="12">
        <f t="shared" si="188"/>
        <v>9.2052878456321992</v>
      </c>
      <c r="AA322" s="12">
        <f t="shared" si="189"/>
        <v>9.2083727720299002</v>
      </c>
      <c r="AB322" s="12" t="str">
        <f t="shared" si="190"/>
        <v/>
      </c>
      <c r="AC322" s="12" t="str">
        <f t="shared" si="191"/>
        <v/>
      </c>
      <c r="AD322" s="12" t="str">
        <f t="shared" si="192"/>
        <v/>
      </c>
      <c r="AE322" s="12" t="str">
        <f t="shared" si="193"/>
        <v/>
      </c>
      <c r="AF322" s="12" t="str">
        <f t="shared" si="194"/>
        <v/>
      </c>
      <c r="AG322" s="12"/>
      <c r="AH322" s="12">
        <f t="shared" si="195"/>
        <v>10.9332667225238</v>
      </c>
      <c r="AI322" s="12">
        <f t="shared" si="196"/>
        <v>10.9565750467076</v>
      </c>
      <c r="AJ322" s="12">
        <f t="shared" si="197"/>
        <v>10.9627946057768</v>
      </c>
      <c r="AK322" s="12">
        <f t="shared" si="198"/>
        <v>10.965879532174501</v>
      </c>
      <c r="AL322" s="12" t="str">
        <f t="shared" si="199"/>
        <v/>
      </c>
      <c r="AM322" s="12" t="str">
        <f t="shared" si="200"/>
        <v/>
      </c>
      <c r="AN322" s="12" t="str">
        <f t="shared" si="201"/>
        <v/>
      </c>
      <c r="AO322" s="12" t="str">
        <f t="shared" si="202"/>
        <v/>
      </c>
      <c r="AP322" s="12" t="str">
        <f t="shared" si="203"/>
        <v/>
      </c>
    </row>
    <row r="323" spans="1:42">
      <c r="A323" s="9">
        <f t="shared" si="204"/>
        <v>43123.870798611111</v>
      </c>
      <c r="B323" s="22">
        <f t="shared" si="205"/>
        <v>2458142.3707986111</v>
      </c>
      <c r="C323" s="23">
        <f t="shared" si="206"/>
        <v>9.185579955046574</v>
      </c>
      <c r="D323" s="24">
        <f t="shared" ca="1" si="207"/>
        <v>4.913389236085048E-2</v>
      </c>
      <c r="E323" s="24">
        <f t="shared" si="208"/>
        <v>1.6826675466044685E-2</v>
      </c>
      <c r="F323" s="25">
        <f t="shared" si="209"/>
        <v>10.922617957747272</v>
      </c>
      <c r="G323" s="7">
        <v>43123.870798611111</v>
      </c>
      <c r="H323" s="11">
        <v>2458142.3707989999</v>
      </c>
      <c r="I323" s="11">
        <v>-13.140574593951101</v>
      </c>
      <c r="J323" s="11">
        <v>-11.403536591250401</v>
      </c>
      <c r="K323" s="11">
        <v>-13.7761260440156</v>
      </c>
      <c r="L323" s="11">
        <v>-12.661867142849699</v>
      </c>
      <c r="M323" s="11">
        <v>-12.8802811531909</v>
      </c>
      <c r="N323" s="11">
        <v>-12.4213438559345</v>
      </c>
      <c r="O323" s="11"/>
      <c r="P323" s="11"/>
      <c r="Q323" s="11"/>
      <c r="R323" s="11"/>
      <c r="S323" s="11"/>
      <c r="T323" s="12"/>
      <c r="U323" s="12">
        <f t="shared" si="183"/>
        <v>4</v>
      </c>
      <c r="V323" s="28">
        <f t="shared" ca="1" si="184"/>
        <v>5.84</v>
      </c>
      <c r="W323" s="28">
        <f t="shared" si="185"/>
        <v>1.6826675466044685E-2</v>
      </c>
      <c r="X323" s="12">
        <f t="shared" si="186"/>
        <v>9.1615514500644988</v>
      </c>
      <c r="Y323" s="12">
        <f t="shared" si="187"/>
        <v>9.2002925488985987</v>
      </c>
      <c r="Z323" s="12">
        <f t="shared" si="188"/>
        <v>9.1927065592397987</v>
      </c>
      <c r="AA323" s="12">
        <f t="shared" si="189"/>
        <v>9.1877692619833997</v>
      </c>
      <c r="AB323" s="12" t="str">
        <f t="shared" si="190"/>
        <v/>
      </c>
      <c r="AC323" s="12" t="str">
        <f t="shared" si="191"/>
        <v/>
      </c>
      <c r="AD323" s="12" t="str">
        <f t="shared" si="192"/>
        <v/>
      </c>
      <c r="AE323" s="12" t="str">
        <f t="shared" si="193"/>
        <v/>
      </c>
      <c r="AF323" s="12" t="str">
        <f t="shared" si="194"/>
        <v/>
      </c>
      <c r="AG323" s="12"/>
      <c r="AH323" s="12">
        <f t="shared" si="195"/>
        <v>10.898589452765199</v>
      </c>
      <c r="AI323" s="12">
        <f t="shared" si="196"/>
        <v>10.937330551599299</v>
      </c>
      <c r="AJ323" s="12">
        <f t="shared" si="197"/>
        <v>10.929744561940499</v>
      </c>
      <c r="AK323" s="12">
        <f t="shared" si="198"/>
        <v>10.9248072646841</v>
      </c>
      <c r="AL323" s="12" t="str">
        <f t="shared" si="199"/>
        <v/>
      </c>
      <c r="AM323" s="12" t="str">
        <f t="shared" si="200"/>
        <v/>
      </c>
      <c r="AN323" s="12" t="str">
        <f t="shared" si="201"/>
        <v/>
      </c>
      <c r="AO323" s="12" t="str">
        <f t="shared" si="202"/>
        <v/>
      </c>
      <c r="AP323" s="12" t="str">
        <f t="shared" si="203"/>
        <v/>
      </c>
    </row>
    <row r="324" spans="1:42">
      <c r="A324" s="9">
        <f t="shared" si="204"/>
        <v>43123.87122685185</v>
      </c>
      <c r="B324" s="22">
        <f t="shared" si="205"/>
        <v>2458142.3712268518</v>
      </c>
      <c r="C324" s="23">
        <f t="shared" si="206"/>
        <v>9.172666976347049</v>
      </c>
      <c r="D324" s="24">
        <f t="shared" ca="1" si="207"/>
        <v>5.6914738803133434E-2</v>
      </c>
      <c r="E324" s="24">
        <f t="shared" si="208"/>
        <v>1.9491348905182684E-2</v>
      </c>
      <c r="F324" s="25">
        <f t="shared" si="209"/>
        <v>10.94260435382775</v>
      </c>
      <c r="G324" s="7">
        <v>43123.87122685185</v>
      </c>
      <c r="H324" s="11">
        <v>2458142.3712269999</v>
      </c>
      <c r="I324" s="11">
        <v>-13.155108325356</v>
      </c>
      <c r="J324" s="11">
        <v>-11.3851709478753</v>
      </c>
      <c r="K324" s="11">
        <v>-13.773046470514201</v>
      </c>
      <c r="L324" s="11">
        <v>-12.653617824683099</v>
      </c>
      <c r="M324" s="11">
        <v>-12.885035539259</v>
      </c>
      <c r="N324" s="11">
        <v>-12.4344013723559</v>
      </c>
      <c r="O324" s="11"/>
      <c r="P324" s="11"/>
      <c r="Q324" s="11"/>
      <c r="R324" s="11"/>
      <c r="S324" s="11"/>
      <c r="T324" s="12"/>
      <c r="U324" s="12">
        <f t="shared" si="183"/>
        <v>4</v>
      </c>
      <c r="V324" s="28">
        <f t="shared" ca="1" si="184"/>
        <v>5.84</v>
      </c>
      <c r="W324" s="28">
        <f t="shared" si="185"/>
        <v>1.9491348905182684E-2</v>
      </c>
      <c r="X324" s="12">
        <f t="shared" si="186"/>
        <v>9.1439381451582005</v>
      </c>
      <c r="Y324" s="12">
        <f t="shared" si="187"/>
        <v>9.1775094993270994</v>
      </c>
      <c r="Z324" s="12">
        <f t="shared" si="188"/>
        <v>9.1829272139029996</v>
      </c>
      <c r="AA324" s="12">
        <f t="shared" si="189"/>
        <v>9.1862930469999</v>
      </c>
      <c r="AB324" s="12" t="str">
        <f t="shared" si="190"/>
        <v/>
      </c>
      <c r="AC324" s="12" t="str">
        <f t="shared" si="191"/>
        <v/>
      </c>
      <c r="AD324" s="12" t="str">
        <f t="shared" si="192"/>
        <v/>
      </c>
      <c r="AE324" s="12" t="str">
        <f t="shared" si="193"/>
        <v/>
      </c>
      <c r="AF324" s="12" t="str">
        <f t="shared" si="194"/>
        <v/>
      </c>
      <c r="AG324" s="12"/>
      <c r="AH324" s="12">
        <f t="shared" si="195"/>
        <v>10.9138755226389</v>
      </c>
      <c r="AI324" s="12">
        <f t="shared" si="196"/>
        <v>10.947446876807799</v>
      </c>
      <c r="AJ324" s="12">
        <f t="shared" si="197"/>
        <v>10.952864591383699</v>
      </c>
      <c r="AK324" s="12">
        <f t="shared" si="198"/>
        <v>10.9562304244806</v>
      </c>
      <c r="AL324" s="12" t="str">
        <f t="shared" si="199"/>
        <v/>
      </c>
      <c r="AM324" s="12" t="str">
        <f t="shared" si="200"/>
        <v/>
      </c>
      <c r="AN324" s="12" t="str">
        <f t="shared" si="201"/>
        <v/>
      </c>
      <c r="AO324" s="12" t="str">
        <f t="shared" si="202"/>
        <v/>
      </c>
      <c r="AP324" s="12" t="str">
        <f t="shared" si="203"/>
        <v/>
      </c>
    </row>
    <row r="325" spans="1:42">
      <c r="A325" s="9">
        <f t="shared" si="204"/>
        <v>43123.87164351852</v>
      </c>
      <c r="B325" s="22">
        <f t="shared" si="205"/>
        <v>2458142.3716435186</v>
      </c>
      <c r="C325" s="23">
        <f t="shared" si="206"/>
        <v>9.1570001941034995</v>
      </c>
      <c r="D325" s="24">
        <f t="shared" ca="1" si="207"/>
        <v>4.1544848058555024E-2</v>
      </c>
      <c r="E325" s="24">
        <f t="shared" si="208"/>
        <v>1.4227687691285967E-2</v>
      </c>
      <c r="F325" s="25">
        <f t="shared" si="209"/>
        <v>10.9555623557146</v>
      </c>
      <c r="G325" s="7">
        <v>43123.87164351852</v>
      </c>
      <c r="H325" s="11">
        <v>2458142.3716440001</v>
      </c>
      <c r="I325" s="11">
        <v>-13.1708921335109</v>
      </c>
      <c r="J325" s="11">
        <v>-11.3723299718998</v>
      </c>
      <c r="K325" s="11">
        <v>-13.780971488078199</v>
      </c>
      <c r="L325" s="11">
        <v>-12.6519048272215</v>
      </c>
      <c r="M325" s="11">
        <v>-12.8835547007044</v>
      </c>
      <c r="N325" s="11">
        <v>-12.430138294453499</v>
      </c>
      <c r="O325" s="11"/>
      <c r="P325" s="11"/>
      <c r="Q325" s="11"/>
      <c r="R325" s="11"/>
      <c r="S325" s="11"/>
      <c r="T325" s="12"/>
      <c r="U325" s="12">
        <f t="shared" si="183"/>
        <v>4</v>
      </c>
      <c r="V325" s="28">
        <f t="shared" ca="1" si="184"/>
        <v>5.84</v>
      </c>
      <c r="W325" s="28">
        <f t="shared" si="185"/>
        <v>1.4227687691285967E-2</v>
      </c>
      <c r="X325" s="12">
        <f t="shared" si="186"/>
        <v>9.1360793545672987</v>
      </c>
      <c r="Y325" s="12">
        <f t="shared" si="187"/>
        <v>9.1600126937106001</v>
      </c>
      <c r="Z325" s="12">
        <f t="shared" si="188"/>
        <v>9.1656625671934986</v>
      </c>
      <c r="AA325" s="12">
        <f t="shared" si="189"/>
        <v>9.1662461609425989</v>
      </c>
      <c r="AB325" s="12" t="str">
        <f t="shared" si="190"/>
        <v/>
      </c>
      <c r="AC325" s="12" t="str">
        <f t="shared" si="191"/>
        <v/>
      </c>
      <c r="AD325" s="12" t="str">
        <f t="shared" si="192"/>
        <v/>
      </c>
      <c r="AE325" s="12" t="str">
        <f t="shared" si="193"/>
        <v/>
      </c>
      <c r="AF325" s="12" t="str">
        <f t="shared" si="194"/>
        <v/>
      </c>
      <c r="AG325" s="12"/>
      <c r="AH325" s="12">
        <f t="shared" si="195"/>
        <v>10.934641516178399</v>
      </c>
      <c r="AI325" s="12">
        <f t="shared" si="196"/>
        <v>10.9585748553217</v>
      </c>
      <c r="AJ325" s="12">
        <f t="shared" si="197"/>
        <v>10.964224728804599</v>
      </c>
      <c r="AK325" s="12">
        <f t="shared" si="198"/>
        <v>10.964808322553699</v>
      </c>
      <c r="AL325" s="12" t="str">
        <f t="shared" si="199"/>
        <v/>
      </c>
      <c r="AM325" s="12" t="str">
        <f t="shared" si="200"/>
        <v/>
      </c>
      <c r="AN325" s="12" t="str">
        <f t="shared" si="201"/>
        <v/>
      </c>
      <c r="AO325" s="12" t="str">
        <f t="shared" si="202"/>
        <v/>
      </c>
      <c r="AP325" s="12" t="str">
        <f t="shared" si="203"/>
        <v/>
      </c>
    </row>
    <row r="326" spans="1:42">
      <c r="A326" s="9">
        <f t="shared" si="204"/>
        <v>43123.872060185182</v>
      </c>
      <c r="B326" s="22">
        <f t="shared" si="205"/>
        <v>2458142.3720601853</v>
      </c>
      <c r="C326" s="23">
        <f t="shared" si="206"/>
        <v>9.1498985495210015</v>
      </c>
      <c r="D326" s="24">
        <f t="shared" ca="1" si="207"/>
        <v>4.7994188179231921E-2</v>
      </c>
      <c r="E326" s="24">
        <f t="shared" si="208"/>
        <v>1.6436365814805454E-2</v>
      </c>
      <c r="F326" s="25">
        <f t="shared" si="209"/>
        <v>10.965577336254999</v>
      </c>
      <c r="G326" s="7">
        <v>43123.872060185182</v>
      </c>
      <c r="H326" s="11">
        <v>2458142.37206</v>
      </c>
      <c r="I326" s="11">
        <v>-13.181194701847</v>
      </c>
      <c r="J326" s="11">
        <v>-11.365515915113001</v>
      </c>
      <c r="K326" s="11">
        <v>-13.781022978686799</v>
      </c>
      <c r="L326" s="11">
        <v>-12.6569903394129</v>
      </c>
      <c r="M326" s="11">
        <v>-12.884266827367799</v>
      </c>
      <c r="N326" s="11">
        <v>-12.437092860004499</v>
      </c>
      <c r="O326" s="11"/>
      <c r="P326" s="11"/>
      <c r="Q326" s="11"/>
      <c r="R326" s="11"/>
      <c r="S326" s="11"/>
      <c r="T326" s="12"/>
      <c r="U326" s="12">
        <f t="shared" si="183"/>
        <v>4</v>
      </c>
      <c r="V326" s="28">
        <f t="shared" ca="1" si="184"/>
        <v>5.84</v>
      </c>
      <c r="W326" s="28">
        <f t="shared" si="185"/>
        <v>1.6436365814805454E-2</v>
      </c>
      <c r="X326" s="12">
        <f t="shared" si="186"/>
        <v>9.1258282768397994</v>
      </c>
      <c r="Y326" s="12">
        <f t="shared" si="187"/>
        <v>9.1547956375659005</v>
      </c>
      <c r="Z326" s="12">
        <f t="shared" si="188"/>
        <v>9.1560721255207991</v>
      </c>
      <c r="AA326" s="12">
        <f t="shared" si="189"/>
        <v>9.1628981581574998</v>
      </c>
      <c r="AB326" s="12" t="str">
        <f t="shared" si="190"/>
        <v/>
      </c>
      <c r="AC326" s="12" t="str">
        <f t="shared" si="191"/>
        <v/>
      </c>
      <c r="AD326" s="12" t="str">
        <f t="shared" si="192"/>
        <v/>
      </c>
      <c r="AE326" s="12" t="str">
        <f t="shared" si="193"/>
        <v/>
      </c>
      <c r="AF326" s="12" t="str">
        <f t="shared" si="194"/>
        <v/>
      </c>
      <c r="AG326" s="12"/>
      <c r="AH326" s="12">
        <f t="shared" si="195"/>
        <v>10.941507063573798</v>
      </c>
      <c r="AI326" s="12">
        <f t="shared" si="196"/>
        <v>10.970474424299899</v>
      </c>
      <c r="AJ326" s="12">
        <f t="shared" si="197"/>
        <v>10.971750912254798</v>
      </c>
      <c r="AK326" s="12">
        <f t="shared" si="198"/>
        <v>10.978576944891499</v>
      </c>
      <c r="AL326" s="12" t="str">
        <f t="shared" si="199"/>
        <v/>
      </c>
      <c r="AM326" s="12" t="str">
        <f t="shared" si="200"/>
        <v/>
      </c>
      <c r="AN326" s="12" t="str">
        <f t="shared" si="201"/>
        <v/>
      </c>
      <c r="AO326" s="12" t="str">
        <f t="shared" si="202"/>
        <v/>
      </c>
      <c r="AP326" s="12" t="str">
        <f t="shared" si="203"/>
        <v/>
      </c>
    </row>
    <row r="327" spans="1:42">
      <c r="A327" s="9">
        <f t="shared" si="204"/>
        <v>43123.872476851851</v>
      </c>
      <c r="B327" s="22">
        <f t="shared" si="205"/>
        <v>2458142.372476852</v>
      </c>
      <c r="C327" s="23">
        <f t="shared" si="206"/>
        <v>9.1490945926121015</v>
      </c>
      <c r="D327" s="24">
        <f t="shared" ca="1" si="207"/>
        <v>6.605168541421326E-2</v>
      </c>
      <c r="E327" s="24">
        <f t="shared" si="208"/>
        <v>2.2620440210347006E-2</v>
      </c>
      <c r="F327" s="25">
        <f t="shared" si="209"/>
        <v>10.939938672605999</v>
      </c>
      <c r="G327" s="7">
        <v>43123.872476851851</v>
      </c>
      <c r="H327" s="11">
        <v>2458142.3724770001</v>
      </c>
      <c r="I327" s="11">
        <v>-13.186357529383899</v>
      </c>
      <c r="J327" s="11">
        <v>-11.39551344939</v>
      </c>
      <c r="K327" s="11">
        <v>-13.778071453630099</v>
      </c>
      <c r="L327" s="11">
        <v>-12.659815033072</v>
      </c>
      <c r="M327" s="11">
        <v>-12.887902377324201</v>
      </c>
      <c r="N327" s="11">
        <v>-12.4510196239577</v>
      </c>
      <c r="O327" s="11"/>
      <c r="P327" s="11"/>
      <c r="Q327" s="11"/>
      <c r="R327" s="11"/>
      <c r="S327" s="11"/>
      <c r="T327" s="12"/>
      <c r="U327" s="12">
        <f t="shared" si="183"/>
        <v>4</v>
      </c>
      <c r="V327" s="28">
        <f t="shared" ca="1" si="184"/>
        <v>5.84</v>
      </c>
      <c r="W327" s="28">
        <f t="shared" si="185"/>
        <v>2.2620440210347006E-2</v>
      </c>
      <c r="X327" s="12">
        <f t="shared" si="186"/>
        <v>9.1177139242461998</v>
      </c>
      <c r="Y327" s="12">
        <f t="shared" si="187"/>
        <v>9.1524575036881011</v>
      </c>
      <c r="Z327" s="12">
        <f t="shared" si="188"/>
        <v>9.1545448479403007</v>
      </c>
      <c r="AA327" s="12">
        <f t="shared" si="189"/>
        <v>9.1716620945738008</v>
      </c>
      <c r="AB327" s="12" t="str">
        <f t="shared" si="190"/>
        <v/>
      </c>
      <c r="AC327" s="12" t="str">
        <f t="shared" si="191"/>
        <v/>
      </c>
      <c r="AD327" s="12" t="str">
        <f t="shared" si="192"/>
        <v/>
      </c>
      <c r="AE327" s="12" t="str">
        <f t="shared" si="193"/>
        <v/>
      </c>
      <c r="AF327" s="12" t="str">
        <f t="shared" si="194"/>
        <v/>
      </c>
      <c r="AG327" s="12"/>
      <c r="AH327" s="12">
        <f t="shared" si="195"/>
        <v>10.908558004240099</v>
      </c>
      <c r="AI327" s="12">
        <f t="shared" si="196"/>
        <v>10.943301583682</v>
      </c>
      <c r="AJ327" s="12">
        <f t="shared" si="197"/>
        <v>10.9453889279342</v>
      </c>
      <c r="AK327" s="12">
        <f t="shared" si="198"/>
        <v>10.9625061745677</v>
      </c>
      <c r="AL327" s="12" t="str">
        <f t="shared" si="199"/>
        <v/>
      </c>
      <c r="AM327" s="12" t="str">
        <f t="shared" si="200"/>
        <v/>
      </c>
      <c r="AN327" s="12" t="str">
        <f t="shared" si="201"/>
        <v/>
      </c>
      <c r="AO327" s="12" t="str">
        <f t="shared" si="202"/>
        <v/>
      </c>
      <c r="AP327" s="12" t="str">
        <f t="shared" si="203"/>
        <v/>
      </c>
    </row>
    <row r="328" spans="1:42">
      <c r="A328" s="9">
        <f t="shared" si="204"/>
        <v>43123.87290509259</v>
      </c>
      <c r="B328" s="22">
        <f t="shared" si="205"/>
        <v>2458142.3729050928</v>
      </c>
      <c r="C328" s="23">
        <f t="shared" si="206"/>
        <v>9.1280275199114733</v>
      </c>
      <c r="D328" s="24">
        <f t="shared" ca="1" si="207"/>
        <v>5.4283040321191037E-2</v>
      </c>
      <c r="E328" s="24">
        <f t="shared" si="208"/>
        <v>1.8590082301777753E-2</v>
      </c>
      <c r="F328" s="25">
        <f t="shared" si="209"/>
        <v>10.910526600292675</v>
      </c>
      <c r="G328" s="7">
        <v>43123.87290509259</v>
      </c>
      <c r="H328" s="11">
        <v>2458142.3729050001</v>
      </c>
      <c r="I328" s="11">
        <v>-13.2039012015872</v>
      </c>
      <c r="J328" s="11">
        <v>-11.421402121206</v>
      </c>
      <c r="K328" s="11">
        <v>-13.779176112212101</v>
      </c>
      <c r="L328" s="11">
        <v>-12.668637618469701</v>
      </c>
      <c r="M328" s="11">
        <v>-12.887031288936299</v>
      </c>
      <c r="N328" s="11">
        <v>-12.4278698663766</v>
      </c>
      <c r="O328" s="11"/>
      <c r="P328" s="11"/>
      <c r="Q328" s="11"/>
      <c r="R328" s="11"/>
      <c r="S328" s="11"/>
      <c r="T328" s="12"/>
      <c r="U328" s="12">
        <f t="shared" si="183"/>
        <v>4</v>
      </c>
      <c r="V328" s="28">
        <f t="shared" ca="1" si="184"/>
        <v>5.84</v>
      </c>
      <c r="W328" s="28">
        <f t="shared" si="185"/>
        <v>1.8590082301777753E-2</v>
      </c>
      <c r="X328" s="12">
        <f t="shared" si="186"/>
        <v>9.1012749106249</v>
      </c>
      <c r="Y328" s="12">
        <f t="shared" si="187"/>
        <v>9.1437364168825006</v>
      </c>
      <c r="Z328" s="12">
        <f t="shared" si="188"/>
        <v>9.1361300873490983</v>
      </c>
      <c r="AA328" s="12">
        <f t="shared" si="189"/>
        <v>9.1309686647893997</v>
      </c>
      <c r="AB328" s="12" t="str">
        <f t="shared" si="190"/>
        <v/>
      </c>
      <c r="AC328" s="12" t="str">
        <f t="shared" si="191"/>
        <v/>
      </c>
      <c r="AD328" s="12" t="str">
        <f t="shared" si="192"/>
        <v/>
      </c>
      <c r="AE328" s="12" t="str">
        <f t="shared" si="193"/>
        <v/>
      </c>
      <c r="AF328" s="12" t="str">
        <f t="shared" si="194"/>
        <v/>
      </c>
      <c r="AG328" s="12"/>
      <c r="AH328" s="12">
        <f t="shared" si="195"/>
        <v>10.8837739910061</v>
      </c>
      <c r="AI328" s="12">
        <f t="shared" si="196"/>
        <v>10.926235497263701</v>
      </c>
      <c r="AJ328" s="12">
        <f t="shared" si="197"/>
        <v>10.918629167730298</v>
      </c>
      <c r="AK328" s="12">
        <f t="shared" si="198"/>
        <v>10.9134677451706</v>
      </c>
      <c r="AL328" s="12" t="str">
        <f t="shared" si="199"/>
        <v/>
      </c>
      <c r="AM328" s="12" t="str">
        <f t="shared" si="200"/>
        <v/>
      </c>
      <c r="AN328" s="12" t="str">
        <f t="shared" si="201"/>
        <v/>
      </c>
      <c r="AO328" s="12" t="str">
        <f t="shared" si="202"/>
        <v/>
      </c>
      <c r="AP328" s="12" t="str">
        <f t="shared" si="203"/>
        <v/>
      </c>
    </row>
    <row r="329" spans="1:42">
      <c r="A329" s="9">
        <f t="shared" si="204"/>
        <v>43123.87332175926</v>
      </c>
      <c r="B329" s="22">
        <f t="shared" si="205"/>
        <v>2458142.373321759</v>
      </c>
      <c r="C329" s="23">
        <f t="shared" si="206"/>
        <v>9.1303828754140746</v>
      </c>
      <c r="D329" s="24">
        <f t="shared" ca="1" si="207"/>
        <v>5.9188865976480903E-2</v>
      </c>
      <c r="E329" s="24">
        <f t="shared" si="208"/>
        <v>2.0270159580986612E-2</v>
      </c>
      <c r="F329" s="25">
        <f t="shared" si="209"/>
        <v>10.943081286955575</v>
      </c>
      <c r="G329" s="7">
        <v>43123.87332175926</v>
      </c>
      <c r="H329" s="11">
        <v>2458142.3733219998</v>
      </c>
      <c r="I329" s="11">
        <v>-13.1960622493343</v>
      </c>
      <c r="J329" s="11">
        <v>-11.3833638377928</v>
      </c>
      <c r="K329" s="11">
        <v>-13.7718592373365</v>
      </c>
      <c r="L329" s="11">
        <v>-12.6591368198208</v>
      </c>
      <c r="M329" s="11">
        <v>-12.8901409343973</v>
      </c>
      <c r="N329" s="11">
        <v>-12.4196435074389</v>
      </c>
      <c r="O329" s="11"/>
      <c r="P329" s="11"/>
      <c r="Q329" s="11"/>
      <c r="R329" s="11"/>
      <c r="S329" s="11"/>
      <c r="T329" s="12"/>
      <c r="U329" s="12">
        <f t="shared" si="183"/>
        <v>4</v>
      </c>
      <c r="V329" s="28">
        <f t="shared" ca="1" si="184"/>
        <v>5.84</v>
      </c>
      <c r="W329" s="28">
        <f t="shared" si="185"/>
        <v>2.0270159580986612E-2</v>
      </c>
      <c r="X329" s="12">
        <f t="shared" si="186"/>
        <v>9.1017969880021994</v>
      </c>
      <c r="Y329" s="12">
        <f t="shared" si="187"/>
        <v>9.1420745704864999</v>
      </c>
      <c r="Z329" s="12">
        <f t="shared" si="188"/>
        <v>9.1470786850629988</v>
      </c>
      <c r="AA329" s="12">
        <f t="shared" si="189"/>
        <v>9.1305812581046002</v>
      </c>
      <c r="AB329" s="12" t="str">
        <f t="shared" si="190"/>
        <v/>
      </c>
      <c r="AC329" s="12" t="str">
        <f t="shared" si="191"/>
        <v/>
      </c>
      <c r="AD329" s="12" t="str">
        <f t="shared" si="192"/>
        <v/>
      </c>
      <c r="AE329" s="12" t="str">
        <f t="shared" si="193"/>
        <v/>
      </c>
      <c r="AF329" s="12" t="str">
        <f t="shared" si="194"/>
        <v/>
      </c>
      <c r="AG329" s="12"/>
      <c r="AH329" s="12">
        <f t="shared" si="195"/>
        <v>10.9144953995437</v>
      </c>
      <c r="AI329" s="12">
        <f t="shared" si="196"/>
        <v>10.954772982028</v>
      </c>
      <c r="AJ329" s="12">
        <f t="shared" si="197"/>
        <v>10.959777096604499</v>
      </c>
      <c r="AK329" s="12">
        <f t="shared" si="198"/>
        <v>10.943279669646101</v>
      </c>
      <c r="AL329" s="12" t="str">
        <f t="shared" si="199"/>
        <v/>
      </c>
      <c r="AM329" s="12" t="str">
        <f t="shared" si="200"/>
        <v/>
      </c>
      <c r="AN329" s="12" t="str">
        <f t="shared" si="201"/>
        <v/>
      </c>
      <c r="AO329" s="12" t="str">
        <f t="shared" si="202"/>
        <v/>
      </c>
      <c r="AP329" s="12" t="str">
        <f t="shared" si="203"/>
        <v/>
      </c>
    </row>
    <row r="330" spans="1:42">
      <c r="A330" s="9">
        <f t="shared" si="204"/>
        <v>43123.873749999999</v>
      </c>
      <c r="B330" s="22">
        <f t="shared" si="205"/>
        <v>2458142.3737499998</v>
      </c>
      <c r="C330" s="23">
        <f t="shared" si="206"/>
        <v>9.1174399236124248</v>
      </c>
      <c r="D330" s="24">
        <f t="shared" ca="1" si="207"/>
        <v>5.8692466115708719E-2</v>
      </c>
      <c r="E330" s="24">
        <f t="shared" si="208"/>
        <v>2.0100159628667371E-2</v>
      </c>
      <c r="F330" s="25">
        <f t="shared" si="209"/>
        <v>10.938688793393124</v>
      </c>
      <c r="G330" s="7">
        <v>43123.873749999999</v>
      </c>
      <c r="H330" s="11">
        <v>2458142.3737499998</v>
      </c>
      <c r="I330" s="11">
        <v>-13.2066381692531</v>
      </c>
      <c r="J330" s="11">
        <v>-11.385389299472401</v>
      </c>
      <c r="K330" s="11">
        <v>-13.7689463564799</v>
      </c>
      <c r="L330" s="11">
        <v>-12.649084007761401</v>
      </c>
      <c r="M330" s="11">
        <v>-12.8796604019265</v>
      </c>
      <c r="N330" s="11">
        <v>-12.4336216052943</v>
      </c>
      <c r="O330" s="11"/>
      <c r="P330" s="11"/>
      <c r="Q330" s="11"/>
      <c r="R330" s="11"/>
      <c r="S330" s="11"/>
      <c r="T330" s="12"/>
      <c r="U330" s="12">
        <f t="shared" si="183"/>
        <v>4</v>
      </c>
      <c r="V330" s="28">
        <f t="shared" ca="1" si="184"/>
        <v>5.84</v>
      </c>
      <c r="W330" s="28">
        <f t="shared" si="185"/>
        <v>2.0100159628667371E-2</v>
      </c>
      <c r="X330" s="12">
        <f t="shared" si="186"/>
        <v>9.088308187226799</v>
      </c>
      <c r="Y330" s="12">
        <f t="shared" si="187"/>
        <v>9.1214458385083006</v>
      </c>
      <c r="Z330" s="12">
        <f t="shared" si="188"/>
        <v>9.1260222326733995</v>
      </c>
      <c r="AA330" s="12">
        <f t="shared" si="189"/>
        <v>9.1339834360412002</v>
      </c>
      <c r="AB330" s="12" t="str">
        <f t="shared" si="190"/>
        <v/>
      </c>
      <c r="AC330" s="12" t="str">
        <f t="shared" si="191"/>
        <v/>
      </c>
      <c r="AD330" s="12" t="str">
        <f t="shared" si="192"/>
        <v/>
      </c>
      <c r="AE330" s="12" t="str">
        <f t="shared" si="193"/>
        <v/>
      </c>
      <c r="AF330" s="12" t="str">
        <f t="shared" si="194"/>
        <v/>
      </c>
      <c r="AG330" s="12"/>
      <c r="AH330" s="12">
        <f t="shared" si="195"/>
        <v>10.909557057007499</v>
      </c>
      <c r="AI330" s="12">
        <f t="shared" si="196"/>
        <v>10.942694708289</v>
      </c>
      <c r="AJ330" s="12">
        <f t="shared" si="197"/>
        <v>10.947271102454099</v>
      </c>
      <c r="AK330" s="12">
        <f t="shared" si="198"/>
        <v>10.9552323058219</v>
      </c>
      <c r="AL330" s="12" t="str">
        <f t="shared" si="199"/>
        <v/>
      </c>
      <c r="AM330" s="12" t="str">
        <f t="shared" si="200"/>
        <v/>
      </c>
      <c r="AN330" s="12" t="str">
        <f t="shared" si="201"/>
        <v/>
      </c>
      <c r="AO330" s="12" t="str">
        <f t="shared" si="202"/>
        <v/>
      </c>
      <c r="AP330" s="12" t="str">
        <f t="shared" si="203"/>
        <v/>
      </c>
    </row>
    <row r="331" spans="1:42">
      <c r="A331" s="9">
        <f t="shared" si="204"/>
        <v>43123.874166666668</v>
      </c>
      <c r="B331" s="22">
        <f t="shared" si="205"/>
        <v>2458142.3741666665</v>
      </c>
      <c r="C331" s="23">
        <f t="shared" si="206"/>
        <v>9.1185165685647007</v>
      </c>
      <c r="D331" s="24">
        <f t="shared" ca="1" si="207"/>
        <v>6.0653734407819612E-2</v>
      </c>
      <c r="E331" s="24">
        <f t="shared" si="208"/>
        <v>2.0771826851993018E-2</v>
      </c>
      <c r="F331" s="25">
        <f t="shared" si="209"/>
        <v>10.895535198435899</v>
      </c>
      <c r="G331" s="7">
        <v>43123.874166666668</v>
      </c>
      <c r="H331" s="11">
        <v>2458142.3741669999</v>
      </c>
      <c r="I331" s="11">
        <v>-13.196514882078899</v>
      </c>
      <c r="J331" s="11">
        <v>-11.419496252207701</v>
      </c>
      <c r="K331" s="11">
        <v>-13.758098051149201</v>
      </c>
      <c r="L331" s="11">
        <v>-12.6466976303506</v>
      </c>
      <c r="M331" s="11">
        <v>-12.8751968652416</v>
      </c>
      <c r="N331" s="11">
        <v>-12.415133255833</v>
      </c>
      <c r="O331" s="11"/>
      <c r="P331" s="11"/>
      <c r="Q331" s="11"/>
      <c r="R331" s="11"/>
      <c r="S331" s="11"/>
      <c r="T331" s="12"/>
      <c r="U331" s="12">
        <f t="shared" si="183"/>
        <v>4</v>
      </c>
      <c r="V331" s="28">
        <f t="shared" ca="1" si="184"/>
        <v>5.84</v>
      </c>
      <c r="W331" s="28">
        <f t="shared" si="185"/>
        <v>2.0771826851993018E-2</v>
      </c>
      <c r="X331" s="12">
        <f t="shared" si="186"/>
        <v>9.0875831690703013</v>
      </c>
      <c r="Y331" s="12">
        <f t="shared" si="187"/>
        <v>9.1291827482717007</v>
      </c>
      <c r="Z331" s="12">
        <f t="shared" si="188"/>
        <v>9.1316819831627001</v>
      </c>
      <c r="AA331" s="12">
        <f t="shared" si="189"/>
        <v>9.1256183737541008</v>
      </c>
      <c r="AB331" s="12" t="str">
        <f t="shared" si="190"/>
        <v/>
      </c>
      <c r="AC331" s="12" t="str">
        <f t="shared" si="191"/>
        <v/>
      </c>
      <c r="AD331" s="12" t="str">
        <f t="shared" si="192"/>
        <v/>
      </c>
      <c r="AE331" s="12" t="str">
        <f t="shared" si="193"/>
        <v/>
      </c>
      <c r="AF331" s="12" t="str">
        <f t="shared" si="194"/>
        <v/>
      </c>
      <c r="AG331" s="12"/>
      <c r="AH331" s="12">
        <f t="shared" si="195"/>
        <v>10.8646017989415</v>
      </c>
      <c r="AI331" s="12">
        <f t="shared" si="196"/>
        <v>10.906201378142899</v>
      </c>
      <c r="AJ331" s="12">
        <f t="shared" si="197"/>
        <v>10.908700613033899</v>
      </c>
      <c r="AK331" s="12">
        <f t="shared" si="198"/>
        <v>10.9026370036253</v>
      </c>
      <c r="AL331" s="12" t="str">
        <f t="shared" si="199"/>
        <v/>
      </c>
      <c r="AM331" s="12" t="str">
        <f t="shared" si="200"/>
        <v/>
      </c>
      <c r="AN331" s="12" t="str">
        <f t="shared" si="201"/>
        <v/>
      </c>
      <c r="AO331" s="12" t="str">
        <f t="shared" si="202"/>
        <v/>
      </c>
      <c r="AP331" s="12" t="str">
        <f t="shared" si="203"/>
        <v/>
      </c>
    </row>
    <row r="332" spans="1:42">
      <c r="A332" s="9">
        <f t="shared" si="204"/>
        <v>43123.874594907407</v>
      </c>
      <c r="B332" s="22">
        <f t="shared" si="205"/>
        <v>2458142.3745949073</v>
      </c>
      <c r="C332" s="23">
        <f t="shared" si="206"/>
        <v>9.1001730450696492</v>
      </c>
      <c r="D332" s="24">
        <f t="shared" ca="1" si="207"/>
        <v>5.0845793356969246E-2</v>
      </c>
      <c r="E332" s="24">
        <f t="shared" si="208"/>
        <v>1.7412942930468921E-2</v>
      </c>
      <c r="F332" s="25">
        <f t="shared" si="209"/>
        <v>10.919669416146352</v>
      </c>
      <c r="G332" s="7">
        <v>43123.874594907407</v>
      </c>
      <c r="H332" s="11">
        <v>2458142.3745949999</v>
      </c>
      <c r="I332" s="11">
        <v>-13.214344245299101</v>
      </c>
      <c r="J332" s="11">
        <v>-11.3948478742224</v>
      </c>
      <c r="K332" s="11">
        <v>-13.765314406477</v>
      </c>
      <c r="L332" s="11">
        <v>-12.6397851669795</v>
      </c>
      <c r="M332" s="11">
        <v>-12.880306164683001</v>
      </c>
      <c r="N332" s="11">
        <v>-12.407663423335499</v>
      </c>
      <c r="O332" s="11"/>
      <c r="P332" s="11"/>
      <c r="Q332" s="11"/>
      <c r="R332" s="11"/>
      <c r="S332" s="11"/>
      <c r="T332" s="12"/>
      <c r="U332" s="12">
        <f t="shared" si="183"/>
        <v>4</v>
      </c>
      <c r="V332" s="28">
        <f t="shared" ca="1" si="184"/>
        <v>5.84</v>
      </c>
      <c r="W332" s="28">
        <f t="shared" si="185"/>
        <v>1.7412942930468921E-2</v>
      </c>
      <c r="X332" s="12">
        <f t="shared" si="186"/>
        <v>9.0769701611778988</v>
      </c>
      <c r="Y332" s="12">
        <f t="shared" si="187"/>
        <v>9.1044409216803999</v>
      </c>
      <c r="Z332" s="12">
        <f t="shared" si="188"/>
        <v>9.1189619193838993</v>
      </c>
      <c r="AA332" s="12">
        <f t="shared" si="189"/>
        <v>9.1003191780363988</v>
      </c>
      <c r="AB332" s="12" t="str">
        <f t="shared" si="190"/>
        <v/>
      </c>
      <c r="AC332" s="12" t="str">
        <f t="shared" si="191"/>
        <v/>
      </c>
      <c r="AD332" s="12" t="str">
        <f t="shared" si="192"/>
        <v/>
      </c>
      <c r="AE332" s="12" t="str">
        <f t="shared" si="193"/>
        <v/>
      </c>
      <c r="AF332" s="12" t="str">
        <f t="shared" si="194"/>
        <v/>
      </c>
      <c r="AG332" s="12"/>
      <c r="AH332" s="12">
        <f t="shared" si="195"/>
        <v>10.8964665322546</v>
      </c>
      <c r="AI332" s="12">
        <f t="shared" si="196"/>
        <v>10.923937292757101</v>
      </c>
      <c r="AJ332" s="12">
        <f t="shared" si="197"/>
        <v>10.9384582904606</v>
      </c>
      <c r="AK332" s="12">
        <f t="shared" si="198"/>
        <v>10.9198155491131</v>
      </c>
      <c r="AL332" s="12" t="str">
        <f t="shared" si="199"/>
        <v/>
      </c>
      <c r="AM332" s="12" t="str">
        <f t="shared" si="200"/>
        <v/>
      </c>
      <c r="AN332" s="12" t="str">
        <f t="shared" si="201"/>
        <v/>
      </c>
      <c r="AO332" s="12" t="str">
        <f t="shared" si="202"/>
        <v/>
      </c>
      <c r="AP332" s="12" t="str">
        <f t="shared" si="203"/>
        <v/>
      </c>
    </row>
    <row r="333" spans="1:42">
      <c r="A333" s="9">
        <f t="shared" si="204"/>
        <v>43123.875011574077</v>
      </c>
      <c r="B333" s="22">
        <f t="shared" si="205"/>
        <v>2458142.375011574</v>
      </c>
      <c r="C333" s="23">
        <f t="shared" si="206"/>
        <v>9.1053214729145004</v>
      </c>
      <c r="D333" s="24">
        <f t="shared" ca="1" si="207"/>
        <v>5.9111815332251294E-2</v>
      </c>
      <c r="E333" s="24">
        <f t="shared" si="208"/>
        <v>2.0243772374058663E-2</v>
      </c>
      <c r="F333" s="25">
        <f t="shared" si="209"/>
        <v>10.930500647725101</v>
      </c>
      <c r="G333" s="7">
        <v>43123.875011574077</v>
      </c>
      <c r="H333" s="11">
        <v>2458142.3750120001</v>
      </c>
      <c r="I333" s="11">
        <v>-13.210489748195799</v>
      </c>
      <c r="J333" s="11">
        <v>-11.385310573385199</v>
      </c>
      <c r="K333" s="11">
        <v>-13.760150743962001</v>
      </c>
      <c r="L333" s="11">
        <v>-12.648370324730999</v>
      </c>
      <c r="M333" s="11">
        <v>-12.876972891968499</v>
      </c>
      <c r="N333" s="11">
        <v>-12.412750923779701</v>
      </c>
      <c r="O333" s="11"/>
      <c r="P333" s="11"/>
      <c r="Q333" s="11"/>
      <c r="R333" s="11"/>
      <c r="S333" s="11"/>
      <c r="T333" s="12"/>
      <c r="U333" s="12">
        <f t="shared" si="183"/>
        <v>4</v>
      </c>
      <c r="V333" s="28">
        <f t="shared" ca="1" si="184"/>
        <v>5.84</v>
      </c>
      <c r="W333" s="28">
        <f t="shared" si="185"/>
        <v>2.0243772374058663E-2</v>
      </c>
      <c r="X333" s="12">
        <f t="shared" si="186"/>
        <v>9.0756609957662011</v>
      </c>
      <c r="Y333" s="12">
        <f t="shared" si="187"/>
        <v>9.1168805765352001</v>
      </c>
      <c r="Z333" s="12">
        <f t="shared" si="188"/>
        <v>9.1194831437726993</v>
      </c>
      <c r="AA333" s="12">
        <f t="shared" si="189"/>
        <v>9.1092611755839012</v>
      </c>
      <c r="AB333" s="12" t="str">
        <f t="shared" si="190"/>
        <v/>
      </c>
      <c r="AC333" s="12" t="str">
        <f t="shared" si="191"/>
        <v/>
      </c>
      <c r="AD333" s="12" t="str">
        <f t="shared" si="192"/>
        <v/>
      </c>
      <c r="AE333" s="12" t="str">
        <f t="shared" si="193"/>
        <v/>
      </c>
      <c r="AF333" s="12" t="str">
        <f t="shared" si="194"/>
        <v/>
      </c>
      <c r="AG333" s="12"/>
      <c r="AH333" s="12">
        <f t="shared" si="195"/>
        <v>10.900840170576801</v>
      </c>
      <c r="AI333" s="12">
        <f t="shared" si="196"/>
        <v>10.9420597513458</v>
      </c>
      <c r="AJ333" s="12">
        <f t="shared" si="197"/>
        <v>10.944662318583299</v>
      </c>
      <c r="AK333" s="12">
        <f t="shared" si="198"/>
        <v>10.934440350394501</v>
      </c>
      <c r="AL333" s="12" t="str">
        <f t="shared" si="199"/>
        <v/>
      </c>
      <c r="AM333" s="12" t="str">
        <f t="shared" si="200"/>
        <v/>
      </c>
      <c r="AN333" s="12" t="str">
        <f t="shared" si="201"/>
        <v/>
      </c>
      <c r="AO333" s="12" t="str">
        <f t="shared" si="202"/>
        <v/>
      </c>
      <c r="AP333" s="12" t="str">
        <f t="shared" si="203"/>
        <v/>
      </c>
    </row>
    <row r="334" spans="1:42">
      <c r="A334" s="9">
        <f t="shared" si="204"/>
        <v>43123.875428240739</v>
      </c>
      <c r="B334" s="22">
        <f t="shared" si="205"/>
        <v>2458142.3754282407</v>
      </c>
      <c r="C334" s="23">
        <f t="shared" si="206"/>
        <v>9.0917896326487497</v>
      </c>
      <c r="D334" s="24">
        <f t="shared" ca="1" si="207"/>
        <v>5.9915985645256381E-2</v>
      </c>
      <c r="E334" s="24">
        <f t="shared" si="208"/>
        <v>2.0519173166183693E-2</v>
      </c>
      <c r="F334" s="25">
        <f t="shared" si="209"/>
        <v>10.94428231249845</v>
      </c>
      <c r="G334" s="7">
        <v>43123.875428240739</v>
      </c>
      <c r="H334" s="11">
        <v>2458142.375428</v>
      </c>
      <c r="I334" s="11">
        <v>-13.2328684522831</v>
      </c>
      <c r="J334" s="11">
        <v>-11.3803757724334</v>
      </c>
      <c r="K334" s="11">
        <v>-13.7682566122818</v>
      </c>
      <c r="L334" s="11">
        <v>-12.6518908332544</v>
      </c>
      <c r="M334" s="11">
        <v>-12.8817488205611</v>
      </c>
      <c r="N334" s="11">
        <v>-12.4317360736301</v>
      </c>
      <c r="O334" s="11"/>
      <c r="P334" s="11"/>
      <c r="Q334" s="11"/>
      <c r="R334" s="11"/>
      <c r="S334" s="11"/>
      <c r="T334" s="12"/>
      <c r="U334" s="12">
        <f t="shared" si="183"/>
        <v>4</v>
      </c>
      <c r="V334" s="28">
        <f t="shared" ca="1" si="184"/>
        <v>5.84</v>
      </c>
      <c r="W334" s="28">
        <f t="shared" si="185"/>
        <v>2.0519173166183693E-2</v>
      </c>
      <c r="X334" s="12">
        <f t="shared" si="186"/>
        <v>9.0613881599986996</v>
      </c>
      <c r="Y334" s="12">
        <f t="shared" si="187"/>
        <v>9.098022380971301</v>
      </c>
      <c r="Z334" s="12">
        <f t="shared" si="188"/>
        <v>9.1018803682779996</v>
      </c>
      <c r="AA334" s="12">
        <f t="shared" si="189"/>
        <v>9.1058676213470005</v>
      </c>
      <c r="AB334" s="12" t="str">
        <f t="shared" si="190"/>
        <v/>
      </c>
      <c r="AC334" s="12" t="str">
        <f t="shared" si="191"/>
        <v/>
      </c>
      <c r="AD334" s="12" t="str">
        <f t="shared" si="192"/>
        <v/>
      </c>
      <c r="AE334" s="12" t="str">
        <f t="shared" si="193"/>
        <v/>
      </c>
      <c r="AF334" s="12" t="str">
        <f t="shared" si="194"/>
        <v/>
      </c>
      <c r="AG334" s="12"/>
      <c r="AH334" s="12">
        <f t="shared" si="195"/>
        <v>10.9138808398484</v>
      </c>
      <c r="AI334" s="12">
        <f t="shared" si="196"/>
        <v>10.950515060821001</v>
      </c>
      <c r="AJ334" s="12">
        <f t="shared" si="197"/>
        <v>10.9543730481277</v>
      </c>
      <c r="AK334" s="12">
        <f t="shared" si="198"/>
        <v>10.9583603011967</v>
      </c>
      <c r="AL334" s="12" t="str">
        <f t="shared" si="199"/>
        <v/>
      </c>
      <c r="AM334" s="12" t="str">
        <f t="shared" si="200"/>
        <v/>
      </c>
      <c r="AN334" s="12" t="str">
        <f t="shared" si="201"/>
        <v/>
      </c>
      <c r="AO334" s="12" t="str">
        <f t="shared" si="202"/>
        <v/>
      </c>
      <c r="AP334" s="12" t="str">
        <f t="shared" si="203"/>
        <v/>
      </c>
    </row>
    <row r="335" spans="1:42">
      <c r="A335" s="9">
        <f t="shared" si="204"/>
        <v>43123.875856481478</v>
      </c>
      <c r="B335" s="22">
        <f t="shared" si="205"/>
        <v>2458142.3758564815</v>
      </c>
      <c r="C335" s="23">
        <f t="shared" si="206"/>
        <v>9.0964162567688511</v>
      </c>
      <c r="D335" s="24">
        <f t="shared" ca="1" si="207"/>
        <v>4.9816349106491659E-2</v>
      </c>
      <c r="E335" s="24">
        <f t="shared" si="208"/>
        <v>1.7060393529620431E-2</v>
      </c>
      <c r="F335" s="25">
        <f t="shared" si="209"/>
        <v>10.934113104549049</v>
      </c>
      <c r="G335" s="7">
        <v>43123.875856481478</v>
      </c>
      <c r="H335" s="11">
        <v>2458142.375856</v>
      </c>
      <c r="I335" s="11">
        <v>-13.2143415602999</v>
      </c>
      <c r="J335" s="11">
        <v>-11.376644712519701</v>
      </c>
      <c r="K335" s="11">
        <v>-13.759936300725199</v>
      </c>
      <c r="L335" s="11">
        <v>-12.6342716383308</v>
      </c>
      <c r="M335" s="11">
        <v>-12.869893367543501</v>
      </c>
      <c r="N335" s="11">
        <v>-12.4139299616755</v>
      </c>
      <c r="O335" s="11"/>
      <c r="P335" s="11"/>
      <c r="Q335" s="11"/>
      <c r="R335" s="11"/>
      <c r="S335" s="11"/>
      <c r="T335" s="12"/>
      <c r="U335" s="12">
        <f t="shared" si="183"/>
        <v>4</v>
      </c>
      <c r="V335" s="28">
        <f t="shared" ca="1" si="184"/>
        <v>5.84</v>
      </c>
      <c r="W335" s="28">
        <f t="shared" si="185"/>
        <v>1.7060393529620431E-2</v>
      </c>
      <c r="X335" s="12">
        <f t="shared" si="186"/>
        <v>9.071594740425299</v>
      </c>
      <c r="Y335" s="12">
        <f t="shared" si="187"/>
        <v>9.0989300780309001</v>
      </c>
      <c r="Z335" s="12">
        <f t="shared" si="188"/>
        <v>9.1085518072436003</v>
      </c>
      <c r="AA335" s="12">
        <f t="shared" si="189"/>
        <v>9.1065884013755998</v>
      </c>
      <c r="AB335" s="12" t="str">
        <f t="shared" si="190"/>
        <v/>
      </c>
      <c r="AC335" s="12" t="str">
        <f t="shared" si="191"/>
        <v/>
      </c>
      <c r="AD335" s="12" t="str">
        <f t="shared" si="192"/>
        <v/>
      </c>
      <c r="AE335" s="12" t="str">
        <f t="shared" si="193"/>
        <v/>
      </c>
      <c r="AF335" s="12" t="str">
        <f t="shared" si="194"/>
        <v/>
      </c>
      <c r="AG335" s="12"/>
      <c r="AH335" s="12">
        <f t="shared" si="195"/>
        <v>10.909291588205498</v>
      </c>
      <c r="AI335" s="12">
        <f t="shared" si="196"/>
        <v>10.936626925811099</v>
      </c>
      <c r="AJ335" s="12">
        <f t="shared" si="197"/>
        <v>10.946248655023799</v>
      </c>
      <c r="AK335" s="12">
        <f t="shared" si="198"/>
        <v>10.944285249155799</v>
      </c>
      <c r="AL335" s="12" t="str">
        <f t="shared" si="199"/>
        <v/>
      </c>
      <c r="AM335" s="12" t="str">
        <f t="shared" si="200"/>
        <v/>
      </c>
      <c r="AN335" s="12" t="str">
        <f t="shared" si="201"/>
        <v/>
      </c>
      <c r="AO335" s="12" t="str">
        <f t="shared" si="202"/>
        <v/>
      </c>
      <c r="AP335" s="12" t="str">
        <f t="shared" si="203"/>
        <v/>
      </c>
    </row>
    <row r="336" spans="1:42">
      <c r="A336" s="9">
        <f t="shared" si="204"/>
        <v>43123.876273148147</v>
      </c>
      <c r="B336" s="22">
        <f t="shared" si="205"/>
        <v>2458142.3762731482</v>
      </c>
      <c r="C336" s="23">
        <f t="shared" si="206"/>
        <v>9.1026253218091746</v>
      </c>
      <c r="D336" s="24">
        <f t="shared" ca="1" si="207"/>
        <v>4.7710124653898789E-2</v>
      </c>
      <c r="E336" s="24">
        <f t="shared" si="208"/>
        <v>1.6339083785581777E-2</v>
      </c>
      <c r="F336" s="25">
        <f t="shared" si="209"/>
        <v>10.898067665191574</v>
      </c>
      <c r="G336" s="7">
        <v>43123.876273148147</v>
      </c>
      <c r="H336" s="11">
        <v>2458142.3762730001</v>
      </c>
      <c r="I336" s="11">
        <v>-13.2173923465879</v>
      </c>
      <c r="J336" s="11">
        <v>-11.421950003205501</v>
      </c>
      <c r="K336" s="11">
        <v>-13.7702339258491</v>
      </c>
      <c r="L336" s="11">
        <v>-12.6544986531182</v>
      </c>
      <c r="M336" s="11">
        <v>-12.8717106758466</v>
      </c>
      <c r="N336" s="11">
        <v>-12.418627418774401</v>
      </c>
      <c r="O336" s="11"/>
      <c r="P336" s="11"/>
      <c r="Q336" s="11"/>
      <c r="R336" s="11"/>
      <c r="S336" s="11"/>
      <c r="T336" s="12"/>
      <c r="U336" s="12">
        <f t="shared" si="183"/>
        <v>4</v>
      </c>
      <c r="V336" s="28">
        <f t="shared" ca="1" si="184"/>
        <v>5.84</v>
      </c>
      <c r="W336" s="28">
        <f t="shared" si="185"/>
        <v>1.6339083785581777E-2</v>
      </c>
      <c r="X336" s="12">
        <f t="shared" si="186"/>
        <v>9.0788415792611996</v>
      </c>
      <c r="Y336" s="12">
        <f t="shared" si="187"/>
        <v>9.1161063065303001</v>
      </c>
      <c r="Z336" s="12">
        <f t="shared" si="188"/>
        <v>9.1073183292586997</v>
      </c>
      <c r="AA336" s="12">
        <f t="shared" si="189"/>
        <v>9.1082350721865009</v>
      </c>
      <c r="AB336" s="12" t="str">
        <f t="shared" si="190"/>
        <v/>
      </c>
      <c r="AC336" s="12" t="str">
        <f t="shared" si="191"/>
        <v/>
      </c>
      <c r="AD336" s="12" t="str">
        <f t="shared" si="192"/>
        <v/>
      </c>
      <c r="AE336" s="12" t="str">
        <f t="shared" si="193"/>
        <v/>
      </c>
      <c r="AF336" s="12" t="str">
        <f t="shared" si="194"/>
        <v/>
      </c>
      <c r="AG336" s="12"/>
      <c r="AH336" s="12">
        <f t="shared" si="195"/>
        <v>10.874283922643599</v>
      </c>
      <c r="AI336" s="12">
        <f t="shared" si="196"/>
        <v>10.911548649912699</v>
      </c>
      <c r="AJ336" s="12">
        <f t="shared" si="197"/>
        <v>10.902760672641099</v>
      </c>
      <c r="AK336" s="12">
        <f t="shared" si="198"/>
        <v>10.9036774155689</v>
      </c>
      <c r="AL336" s="12" t="str">
        <f t="shared" si="199"/>
        <v/>
      </c>
      <c r="AM336" s="12" t="str">
        <f t="shared" si="200"/>
        <v/>
      </c>
      <c r="AN336" s="12" t="str">
        <f t="shared" si="201"/>
        <v/>
      </c>
      <c r="AO336" s="12" t="str">
        <f t="shared" si="202"/>
        <v/>
      </c>
      <c r="AP336" s="12" t="str">
        <f t="shared" si="203"/>
        <v/>
      </c>
    </row>
    <row r="337" spans="1:42">
      <c r="A337" s="9">
        <f t="shared" si="204"/>
        <v>43123.876701388886</v>
      </c>
      <c r="B337" s="22">
        <f t="shared" si="205"/>
        <v>2458142.376701389</v>
      </c>
      <c r="C337" s="23">
        <f t="shared" si="206"/>
        <v>9.0878425910533256</v>
      </c>
      <c r="D337" s="24">
        <f t="shared" ca="1" si="207"/>
        <v>5.3585485226681238E-2</v>
      </c>
      <c r="E337" s="24">
        <f t="shared" si="208"/>
        <v>1.8351193570781247E-2</v>
      </c>
      <c r="F337" s="25">
        <f t="shared" si="209"/>
        <v>10.921821627164327</v>
      </c>
      <c r="G337" s="7">
        <v>43123.876701388886</v>
      </c>
      <c r="H337" s="11">
        <v>2458142.3767010001</v>
      </c>
      <c r="I337" s="11">
        <v>-13.227162960581101</v>
      </c>
      <c r="J337" s="11">
        <v>-11.393183924470099</v>
      </c>
      <c r="K337" s="11">
        <v>-13.763431060901301</v>
      </c>
      <c r="L337" s="11">
        <v>-12.6439458389818</v>
      </c>
      <c r="M337" s="11">
        <v>-12.879120653462101</v>
      </c>
      <c r="N337" s="11">
        <v>-12.408524653192501</v>
      </c>
      <c r="O337" s="11"/>
      <c r="P337" s="11"/>
      <c r="Q337" s="11"/>
      <c r="R337" s="11"/>
      <c r="S337" s="11"/>
      <c r="T337" s="12"/>
      <c r="U337" s="12">
        <f t="shared" si="183"/>
        <v>4</v>
      </c>
      <c r="V337" s="28">
        <f t="shared" ca="1" si="184"/>
        <v>5.84</v>
      </c>
      <c r="W337" s="28">
        <f t="shared" si="185"/>
        <v>1.8351193570781247E-2</v>
      </c>
      <c r="X337" s="12">
        <f t="shared" si="186"/>
        <v>9.0622681003201997</v>
      </c>
      <c r="Y337" s="12">
        <f t="shared" si="187"/>
        <v>9.0957828784006995</v>
      </c>
      <c r="Z337" s="12">
        <f t="shared" si="188"/>
        <v>9.1049576928809994</v>
      </c>
      <c r="AA337" s="12">
        <f t="shared" si="189"/>
        <v>9.0883616926114001</v>
      </c>
      <c r="AB337" s="12" t="str">
        <f t="shared" si="190"/>
        <v/>
      </c>
      <c r="AC337" s="12" t="str">
        <f t="shared" si="191"/>
        <v/>
      </c>
      <c r="AD337" s="12" t="str">
        <f t="shared" si="192"/>
        <v/>
      </c>
      <c r="AE337" s="12" t="str">
        <f t="shared" si="193"/>
        <v/>
      </c>
      <c r="AF337" s="12" t="str">
        <f t="shared" si="194"/>
        <v/>
      </c>
      <c r="AG337" s="12"/>
      <c r="AH337" s="12">
        <f t="shared" si="195"/>
        <v>10.896247136431201</v>
      </c>
      <c r="AI337" s="12">
        <f t="shared" si="196"/>
        <v>10.929761914511701</v>
      </c>
      <c r="AJ337" s="12">
        <f t="shared" si="197"/>
        <v>10.938936728992001</v>
      </c>
      <c r="AK337" s="12">
        <f t="shared" si="198"/>
        <v>10.922340728722402</v>
      </c>
      <c r="AL337" s="12" t="str">
        <f t="shared" si="199"/>
        <v/>
      </c>
      <c r="AM337" s="12" t="str">
        <f t="shared" si="200"/>
        <v/>
      </c>
      <c r="AN337" s="12" t="str">
        <f t="shared" si="201"/>
        <v/>
      </c>
      <c r="AO337" s="12" t="str">
        <f t="shared" si="202"/>
        <v/>
      </c>
      <c r="AP337" s="12" t="str">
        <f t="shared" si="203"/>
        <v/>
      </c>
    </row>
    <row r="338" spans="1:42">
      <c r="A338" s="9">
        <f t="shared" si="204"/>
        <v>43123.877118055556</v>
      </c>
      <c r="B338" s="22">
        <f t="shared" si="205"/>
        <v>2458142.3771180557</v>
      </c>
      <c r="C338" s="23">
        <f t="shared" si="206"/>
        <v>9.0900480126709979</v>
      </c>
      <c r="D338" s="24">
        <f t="shared" ca="1" si="207"/>
        <v>5.3038363892402504E-2</v>
      </c>
      <c r="E338" s="24">
        <f t="shared" si="208"/>
        <v>1.8163823250822775E-2</v>
      </c>
      <c r="F338" s="25">
        <f t="shared" si="209"/>
        <v>10.914673644374501</v>
      </c>
      <c r="G338" s="7">
        <v>43123.877118055556</v>
      </c>
      <c r="H338" s="11">
        <v>2458142.3771179998</v>
      </c>
      <c r="I338" s="11">
        <v>-13.230652150727201</v>
      </c>
      <c r="J338" s="11">
        <v>-11.406026519023699</v>
      </c>
      <c r="K338" s="11">
        <v>-13.7685413102891</v>
      </c>
      <c r="L338" s="11">
        <v>-12.6433433887814</v>
      </c>
      <c r="M338" s="11">
        <v>-12.881025600373601</v>
      </c>
      <c r="N338" s="11">
        <v>-12.424890354148699</v>
      </c>
      <c r="O338" s="11"/>
      <c r="P338" s="11"/>
      <c r="Q338" s="11"/>
      <c r="R338" s="11"/>
      <c r="S338" s="11"/>
      <c r="T338" s="12"/>
      <c r="U338" s="12">
        <f t="shared" si="183"/>
        <v>4</v>
      </c>
      <c r="V338" s="28">
        <f t="shared" ca="1" si="184"/>
        <v>5.84</v>
      </c>
      <c r="W338" s="28">
        <f t="shared" si="185"/>
        <v>1.8163823250822775E-2</v>
      </c>
      <c r="X338" s="12">
        <f t="shared" si="186"/>
        <v>9.0638891595618993</v>
      </c>
      <c r="Y338" s="12">
        <f t="shared" si="187"/>
        <v>9.0916912380541994</v>
      </c>
      <c r="Z338" s="12">
        <f t="shared" si="188"/>
        <v>9.1033734496463996</v>
      </c>
      <c r="AA338" s="12">
        <f t="shared" si="189"/>
        <v>9.1012382034214987</v>
      </c>
      <c r="AB338" s="12" t="str">
        <f t="shared" si="190"/>
        <v/>
      </c>
      <c r="AC338" s="12" t="str">
        <f t="shared" si="191"/>
        <v/>
      </c>
      <c r="AD338" s="12" t="str">
        <f t="shared" si="192"/>
        <v/>
      </c>
      <c r="AE338" s="12" t="str">
        <f t="shared" si="193"/>
        <v/>
      </c>
      <c r="AF338" s="12" t="str">
        <f t="shared" si="194"/>
        <v/>
      </c>
      <c r="AG338" s="12"/>
      <c r="AH338" s="12">
        <f t="shared" si="195"/>
        <v>10.888514791265401</v>
      </c>
      <c r="AI338" s="12">
        <f t="shared" si="196"/>
        <v>10.916316869757701</v>
      </c>
      <c r="AJ338" s="12">
        <f t="shared" si="197"/>
        <v>10.927999081349901</v>
      </c>
      <c r="AK338" s="12">
        <f t="shared" si="198"/>
        <v>10.925863835125</v>
      </c>
      <c r="AL338" s="12" t="str">
        <f t="shared" si="199"/>
        <v/>
      </c>
      <c r="AM338" s="12" t="str">
        <f t="shared" si="200"/>
        <v/>
      </c>
      <c r="AN338" s="12" t="str">
        <f t="shared" si="201"/>
        <v/>
      </c>
      <c r="AO338" s="12" t="str">
        <f t="shared" si="202"/>
        <v/>
      </c>
      <c r="AP338" s="12" t="str">
        <f t="shared" si="203"/>
        <v/>
      </c>
    </row>
    <row r="339" spans="1:42">
      <c r="A339" s="9" t="str">
        <f t="shared" si="204"/>
        <v/>
      </c>
      <c r="B339" s="22" t="str">
        <f t="shared" si="205"/>
        <v/>
      </c>
      <c r="C339" s="23" t="str">
        <f t="shared" si="206"/>
        <v/>
      </c>
      <c r="D339" s="24" t="str">
        <f t="shared" si="207"/>
        <v/>
      </c>
      <c r="E339" s="24" t="str">
        <f t="shared" si="208"/>
        <v/>
      </c>
      <c r="F339" s="25" t="str">
        <f t="shared" si="209"/>
        <v/>
      </c>
      <c r="G339" s="7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2"/>
      <c r="U339" s="12">
        <f t="shared" si="183"/>
        <v>0</v>
      </c>
      <c r="V339" s="28" t="str">
        <f t="shared" ca="1" si="184"/>
        <v/>
      </c>
      <c r="W339" s="28" t="str">
        <f t="shared" si="185"/>
        <v/>
      </c>
      <c r="X339" s="12" t="str">
        <f t="shared" si="186"/>
        <v/>
      </c>
      <c r="Y339" s="12" t="str">
        <f t="shared" si="187"/>
        <v/>
      </c>
      <c r="Z339" s="12" t="str">
        <f t="shared" si="188"/>
        <v/>
      </c>
      <c r="AA339" s="12" t="str">
        <f t="shared" si="189"/>
        <v/>
      </c>
      <c r="AB339" s="12" t="str">
        <f t="shared" si="190"/>
        <v/>
      </c>
      <c r="AC339" s="12" t="str">
        <f t="shared" si="191"/>
        <v/>
      </c>
      <c r="AD339" s="12" t="str">
        <f t="shared" si="192"/>
        <v/>
      </c>
      <c r="AE339" s="12" t="str">
        <f t="shared" si="193"/>
        <v/>
      </c>
      <c r="AF339" s="12" t="str">
        <f t="shared" si="194"/>
        <v/>
      </c>
      <c r="AG339" s="12"/>
      <c r="AH339" s="12" t="str">
        <f t="shared" si="195"/>
        <v/>
      </c>
      <c r="AI339" s="12" t="str">
        <f t="shared" si="196"/>
        <v/>
      </c>
      <c r="AJ339" s="12" t="str">
        <f t="shared" si="197"/>
        <v/>
      </c>
      <c r="AK339" s="12" t="str">
        <f t="shared" si="198"/>
        <v/>
      </c>
      <c r="AL339" s="12" t="str">
        <f t="shared" si="199"/>
        <v/>
      </c>
      <c r="AM339" s="12" t="str">
        <f t="shared" si="200"/>
        <v/>
      </c>
      <c r="AN339" s="12" t="str">
        <f t="shared" si="201"/>
        <v/>
      </c>
      <c r="AO339" s="12" t="str">
        <f t="shared" si="202"/>
        <v/>
      </c>
      <c r="AP339" s="12" t="str">
        <f t="shared" si="203"/>
        <v/>
      </c>
    </row>
    <row r="340" spans="1:42">
      <c r="A340" s="9" t="str">
        <f t="shared" si="204"/>
        <v/>
      </c>
      <c r="B340" s="22" t="str">
        <f t="shared" si="205"/>
        <v/>
      </c>
      <c r="C340" s="23" t="str">
        <f t="shared" si="206"/>
        <v/>
      </c>
      <c r="D340" s="24" t="str">
        <f t="shared" si="207"/>
        <v/>
      </c>
      <c r="E340" s="24" t="str">
        <f t="shared" si="208"/>
        <v/>
      </c>
      <c r="F340" s="25" t="str">
        <f t="shared" si="209"/>
        <v/>
      </c>
      <c r="G340" s="7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2"/>
      <c r="U340" s="12">
        <f t="shared" si="183"/>
        <v>0</v>
      </c>
      <c r="V340" s="28" t="str">
        <f t="shared" ca="1" si="184"/>
        <v/>
      </c>
      <c r="W340" s="28" t="str">
        <f t="shared" si="185"/>
        <v/>
      </c>
      <c r="X340" s="12" t="str">
        <f t="shared" si="186"/>
        <v/>
      </c>
      <c r="Y340" s="12" t="str">
        <f t="shared" si="187"/>
        <v/>
      </c>
      <c r="Z340" s="12" t="str">
        <f t="shared" si="188"/>
        <v/>
      </c>
      <c r="AA340" s="12" t="str">
        <f t="shared" si="189"/>
        <v/>
      </c>
      <c r="AB340" s="12" t="str">
        <f t="shared" si="190"/>
        <v/>
      </c>
      <c r="AC340" s="12" t="str">
        <f t="shared" si="191"/>
        <v/>
      </c>
      <c r="AD340" s="12" t="str">
        <f t="shared" si="192"/>
        <v/>
      </c>
      <c r="AE340" s="12" t="str">
        <f t="shared" si="193"/>
        <v/>
      </c>
      <c r="AF340" s="12" t="str">
        <f t="shared" si="194"/>
        <v/>
      </c>
      <c r="AG340" s="12"/>
      <c r="AH340" s="12" t="str">
        <f t="shared" si="195"/>
        <v/>
      </c>
      <c r="AI340" s="12" t="str">
        <f t="shared" si="196"/>
        <v/>
      </c>
      <c r="AJ340" s="12" t="str">
        <f t="shared" si="197"/>
        <v/>
      </c>
      <c r="AK340" s="12" t="str">
        <f t="shared" si="198"/>
        <v/>
      </c>
      <c r="AL340" s="12" t="str">
        <f t="shared" si="199"/>
        <v/>
      </c>
      <c r="AM340" s="12" t="str">
        <f t="shared" si="200"/>
        <v/>
      </c>
      <c r="AN340" s="12" t="str">
        <f t="shared" si="201"/>
        <v/>
      </c>
      <c r="AO340" s="12" t="str">
        <f t="shared" si="202"/>
        <v/>
      </c>
      <c r="AP340" s="12" t="str">
        <f t="shared" si="203"/>
        <v/>
      </c>
    </row>
    <row r="341" spans="1:42">
      <c r="A341" s="9" t="str">
        <f t="shared" si="204"/>
        <v/>
      </c>
      <c r="B341" s="22" t="str">
        <f t="shared" si="205"/>
        <v/>
      </c>
      <c r="C341" s="23" t="str">
        <f t="shared" si="206"/>
        <v/>
      </c>
      <c r="D341" s="24" t="str">
        <f t="shared" si="207"/>
        <v/>
      </c>
      <c r="E341" s="24" t="str">
        <f t="shared" si="208"/>
        <v/>
      </c>
      <c r="F341" s="25" t="str">
        <f t="shared" si="209"/>
        <v/>
      </c>
      <c r="G341" s="7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2"/>
      <c r="U341" s="12">
        <f t="shared" si="183"/>
        <v>0</v>
      </c>
      <c r="V341" s="28" t="str">
        <f t="shared" ca="1" si="184"/>
        <v/>
      </c>
      <c r="W341" s="28" t="str">
        <f t="shared" si="185"/>
        <v/>
      </c>
      <c r="X341" s="12" t="str">
        <f t="shared" si="186"/>
        <v/>
      </c>
      <c r="Y341" s="12" t="str">
        <f t="shared" si="187"/>
        <v/>
      </c>
      <c r="Z341" s="12" t="str">
        <f t="shared" si="188"/>
        <v/>
      </c>
      <c r="AA341" s="12" t="str">
        <f t="shared" si="189"/>
        <v/>
      </c>
      <c r="AB341" s="12" t="str">
        <f t="shared" si="190"/>
        <v/>
      </c>
      <c r="AC341" s="12" t="str">
        <f t="shared" si="191"/>
        <v/>
      </c>
      <c r="AD341" s="12" t="str">
        <f t="shared" si="192"/>
        <v/>
      </c>
      <c r="AE341" s="12" t="str">
        <f t="shared" si="193"/>
        <v/>
      </c>
      <c r="AF341" s="12" t="str">
        <f t="shared" si="194"/>
        <v/>
      </c>
      <c r="AG341" s="12"/>
      <c r="AH341" s="12" t="str">
        <f t="shared" si="195"/>
        <v/>
      </c>
      <c r="AI341" s="12" t="str">
        <f t="shared" si="196"/>
        <v/>
      </c>
      <c r="AJ341" s="12" t="str">
        <f t="shared" si="197"/>
        <v/>
      </c>
      <c r="AK341" s="12" t="str">
        <f t="shared" si="198"/>
        <v/>
      </c>
      <c r="AL341" s="12" t="str">
        <f t="shared" si="199"/>
        <v/>
      </c>
      <c r="AM341" s="12" t="str">
        <f t="shared" si="200"/>
        <v/>
      </c>
      <c r="AN341" s="12" t="str">
        <f t="shared" si="201"/>
        <v/>
      </c>
      <c r="AO341" s="12" t="str">
        <f t="shared" si="202"/>
        <v/>
      </c>
      <c r="AP341" s="12" t="str">
        <f t="shared" si="203"/>
        <v/>
      </c>
    </row>
    <row r="342" spans="1:42">
      <c r="A342" s="9" t="str">
        <f t="shared" si="204"/>
        <v/>
      </c>
      <c r="B342" s="22" t="str">
        <f t="shared" si="205"/>
        <v/>
      </c>
      <c r="C342" s="23" t="str">
        <f t="shared" si="206"/>
        <v/>
      </c>
      <c r="D342" s="24" t="str">
        <f t="shared" si="207"/>
        <v/>
      </c>
      <c r="E342" s="24" t="str">
        <f t="shared" si="208"/>
        <v/>
      </c>
      <c r="F342" s="25" t="str">
        <f t="shared" si="209"/>
        <v/>
      </c>
      <c r="G342" s="7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2"/>
      <c r="U342" s="12">
        <f t="shared" si="183"/>
        <v>0</v>
      </c>
      <c r="V342" s="28" t="str">
        <f t="shared" ca="1" si="184"/>
        <v/>
      </c>
      <c r="W342" s="28" t="str">
        <f t="shared" si="185"/>
        <v/>
      </c>
      <c r="X342" s="12" t="str">
        <f t="shared" si="186"/>
        <v/>
      </c>
      <c r="Y342" s="12" t="str">
        <f t="shared" si="187"/>
        <v/>
      </c>
      <c r="Z342" s="12" t="str">
        <f t="shared" si="188"/>
        <v/>
      </c>
      <c r="AA342" s="12" t="str">
        <f t="shared" si="189"/>
        <v/>
      </c>
      <c r="AB342" s="12" t="str">
        <f t="shared" si="190"/>
        <v/>
      </c>
      <c r="AC342" s="12" t="str">
        <f t="shared" si="191"/>
        <v/>
      </c>
      <c r="AD342" s="12" t="str">
        <f t="shared" si="192"/>
        <v/>
      </c>
      <c r="AE342" s="12" t="str">
        <f t="shared" si="193"/>
        <v/>
      </c>
      <c r="AF342" s="12" t="str">
        <f t="shared" si="194"/>
        <v/>
      </c>
      <c r="AG342" s="12"/>
      <c r="AH342" s="12" t="str">
        <f t="shared" si="195"/>
        <v/>
      </c>
      <c r="AI342" s="12" t="str">
        <f t="shared" si="196"/>
        <v/>
      </c>
      <c r="AJ342" s="12" t="str">
        <f t="shared" si="197"/>
        <v/>
      </c>
      <c r="AK342" s="12" t="str">
        <f t="shared" si="198"/>
        <v/>
      </c>
      <c r="AL342" s="12" t="str">
        <f t="shared" si="199"/>
        <v/>
      </c>
      <c r="AM342" s="12" t="str">
        <f t="shared" si="200"/>
        <v/>
      </c>
      <c r="AN342" s="12" t="str">
        <f t="shared" si="201"/>
        <v/>
      </c>
      <c r="AO342" s="12" t="str">
        <f t="shared" si="202"/>
        <v/>
      </c>
      <c r="AP342" s="12" t="str">
        <f t="shared" si="203"/>
        <v/>
      </c>
    </row>
    <row r="343" spans="1:42">
      <c r="A343" s="9" t="str">
        <f t="shared" si="204"/>
        <v/>
      </c>
      <c r="B343" s="22" t="str">
        <f t="shared" si="205"/>
        <v/>
      </c>
      <c r="C343" s="23" t="str">
        <f t="shared" si="206"/>
        <v/>
      </c>
      <c r="D343" s="24" t="str">
        <f t="shared" si="207"/>
        <v/>
      </c>
      <c r="E343" s="24" t="str">
        <f t="shared" si="208"/>
        <v/>
      </c>
      <c r="F343" s="25" t="str">
        <f t="shared" si="209"/>
        <v/>
      </c>
      <c r="G343" s="7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2"/>
      <c r="U343" s="12">
        <f t="shared" si="183"/>
        <v>0</v>
      </c>
      <c r="V343" s="28" t="str">
        <f t="shared" ca="1" si="184"/>
        <v/>
      </c>
      <c r="W343" s="28" t="str">
        <f t="shared" si="185"/>
        <v/>
      </c>
      <c r="X343" s="12" t="str">
        <f t="shared" si="186"/>
        <v/>
      </c>
      <c r="Y343" s="12" t="str">
        <f t="shared" si="187"/>
        <v/>
      </c>
      <c r="Z343" s="12" t="str">
        <f t="shared" si="188"/>
        <v/>
      </c>
      <c r="AA343" s="12" t="str">
        <f t="shared" si="189"/>
        <v/>
      </c>
      <c r="AB343" s="12" t="str">
        <f t="shared" si="190"/>
        <v/>
      </c>
      <c r="AC343" s="12" t="str">
        <f t="shared" si="191"/>
        <v/>
      </c>
      <c r="AD343" s="12" t="str">
        <f t="shared" si="192"/>
        <v/>
      </c>
      <c r="AE343" s="12" t="str">
        <f t="shared" si="193"/>
        <v/>
      </c>
      <c r="AF343" s="12" t="str">
        <f t="shared" si="194"/>
        <v/>
      </c>
      <c r="AG343" s="12"/>
      <c r="AH343" s="12" t="str">
        <f t="shared" si="195"/>
        <v/>
      </c>
      <c r="AI343" s="12" t="str">
        <f t="shared" si="196"/>
        <v/>
      </c>
      <c r="AJ343" s="12" t="str">
        <f t="shared" si="197"/>
        <v/>
      </c>
      <c r="AK343" s="12" t="str">
        <f t="shared" si="198"/>
        <v/>
      </c>
      <c r="AL343" s="12" t="str">
        <f t="shared" si="199"/>
        <v/>
      </c>
      <c r="AM343" s="12" t="str">
        <f t="shared" si="200"/>
        <v/>
      </c>
      <c r="AN343" s="12" t="str">
        <f t="shared" si="201"/>
        <v/>
      </c>
      <c r="AO343" s="12" t="str">
        <f t="shared" si="202"/>
        <v/>
      </c>
      <c r="AP343" s="12" t="str">
        <f t="shared" si="203"/>
        <v/>
      </c>
    </row>
    <row r="344" spans="1:42">
      <c r="A344" s="9" t="str">
        <f t="shared" si="204"/>
        <v/>
      </c>
      <c r="B344" s="22" t="str">
        <f t="shared" si="205"/>
        <v/>
      </c>
      <c r="C344" s="23" t="str">
        <f t="shared" si="206"/>
        <v/>
      </c>
      <c r="D344" s="24" t="str">
        <f t="shared" si="207"/>
        <v/>
      </c>
      <c r="E344" s="24" t="str">
        <f t="shared" si="208"/>
        <v/>
      </c>
      <c r="F344" s="25" t="str">
        <f t="shared" si="209"/>
        <v/>
      </c>
      <c r="G344" s="7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2"/>
      <c r="U344" s="12">
        <f t="shared" si="183"/>
        <v>0</v>
      </c>
      <c r="V344" s="28" t="str">
        <f t="shared" ca="1" si="184"/>
        <v/>
      </c>
      <c r="W344" s="28" t="str">
        <f t="shared" si="185"/>
        <v/>
      </c>
      <c r="X344" s="12" t="str">
        <f t="shared" si="186"/>
        <v/>
      </c>
      <c r="Y344" s="12" t="str">
        <f t="shared" si="187"/>
        <v/>
      </c>
      <c r="Z344" s="12" t="str">
        <f t="shared" si="188"/>
        <v/>
      </c>
      <c r="AA344" s="12" t="str">
        <f t="shared" si="189"/>
        <v/>
      </c>
      <c r="AB344" s="12" t="str">
        <f t="shared" si="190"/>
        <v/>
      </c>
      <c r="AC344" s="12" t="str">
        <f t="shared" si="191"/>
        <v/>
      </c>
      <c r="AD344" s="12" t="str">
        <f t="shared" si="192"/>
        <v/>
      </c>
      <c r="AE344" s="12" t="str">
        <f t="shared" si="193"/>
        <v/>
      </c>
      <c r="AF344" s="12" t="str">
        <f t="shared" si="194"/>
        <v/>
      </c>
      <c r="AG344" s="12"/>
      <c r="AH344" s="12" t="str">
        <f t="shared" si="195"/>
        <v/>
      </c>
      <c r="AI344" s="12" t="str">
        <f t="shared" si="196"/>
        <v/>
      </c>
      <c r="AJ344" s="12" t="str">
        <f t="shared" si="197"/>
        <v/>
      </c>
      <c r="AK344" s="12" t="str">
        <f t="shared" si="198"/>
        <v/>
      </c>
      <c r="AL344" s="12" t="str">
        <f t="shared" si="199"/>
        <v/>
      </c>
      <c r="AM344" s="12" t="str">
        <f t="shared" si="200"/>
        <v/>
      </c>
      <c r="AN344" s="12" t="str">
        <f t="shared" si="201"/>
        <v/>
      </c>
      <c r="AO344" s="12" t="str">
        <f t="shared" si="202"/>
        <v/>
      </c>
      <c r="AP344" s="12" t="str">
        <f t="shared" si="203"/>
        <v/>
      </c>
    </row>
    <row r="345" spans="1:42">
      <c r="A345" s="9" t="str">
        <f t="shared" si="204"/>
        <v/>
      </c>
      <c r="B345" s="22" t="str">
        <f t="shared" si="205"/>
        <v/>
      </c>
      <c r="C345" s="23" t="str">
        <f t="shared" si="206"/>
        <v/>
      </c>
      <c r="D345" s="24" t="str">
        <f t="shared" si="207"/>
        <v/>
      </c>
      <c r="E345" s="24" t="str">
        <f t="shared" si="208"/>
        <v/>
      </c>
      <c r="F345" s="25" t="str">
        <f t="shared" si="209"/>
        <v/>
      </c>
      <c r="G345" s="7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2"/>
      <c r="U345" s="12">
        <f t="shared" si="183"/>
        <v>0</v>
      </c>
      <c r="V345" s="28" t="str">
        <f t="shared" ca="1" si="184"/>
        <v/>
      </c>
      <c r="W345" s="28" t="str">
        <f t="shared" si="185"/>
        <v/>
      </c>
      <c r="X345" s="12" t="str">
        <f t="shared" si="186"/>
        <v/>
      </c>
      <c r="Y345" s="12" t="str">
        <f t="shared" si="187"/>
        <v/>
      </c>
      <c r="Z345" s="12" t="str">
        <f t="shared" si="188"/>
        <v/>
      </c>
      <c r="AA345" s="12" t="str">
        <f t="shared" si="189"/>
        <v/>
      </c>
      <c r="AB345" s="12" t="str">
        <f t="shared" si="190"/>
        <v/>
      </c>
      <c r="AC345" s="12" t="str">
        <f t="shared" si="191"/>
        <v/>
      </c>
      <c r="AD345" s="12" t="str">
        <f t="shared" si="192"/>
        <v/>
      </c>
      <c r="AE345" s="12" t="str">
        <f t="shared" si="193"/>
        <v/>
      </c>
      <c r="AF345" s="12" t="str">
        <f t="shared" si="194"/>
        <v/>
      </c>
      <c r="AG345" s="12"/>
      <c r="AH345" s="12" t="str">
        <f t="shared" si="195"/>
        <v/>
      </c>
      <c r="AI345" s="12" t="str">
        <f t="shared" si="196"/>
        <v/>
      </c>
      <c r="AJ345" s="12" t="str">
        <f t="shared" si="197"/>
        <v/>
      </c>
      <c r="AK345" s="12" t="str">
        <f t="shared" si="198"/>
        <v/>
      </c>
      <c r="AL345" s="12" t="str">
        <f t="shared" si="199"/>
        <v/>
      </c>
      <c r="AM345" s="12" t="str">
        <f t="shared" si="200"/>
        <v/>
      </c>
      <c r="AN345" s="12" t="str">
        <f t="shared" si="201"/>
        <v/>
      </c>
      <c r="AO345" s="12" t="str">
        <f t="shared" si="202"/>
        <v/>
      </c>
      <c r="AP345" s="12" t="str">
        <f t="shared" si="203"/>
        <v/>
      </c>
    </row>
    <row r="346" spans="1:42">
      <c r="A346" s="9" t="str">
        <f t="shared" si="204"/>
        <v/>
      </c>
      <c r="B346" s="22" t="str">
        <f t="shared" si="205"/>
        <v/>
      </c>
      <c r="C346" s="23" t="str">
        <f t="shared" si="206"/>
        <v/>
      </c>
      <c r="D346" s="24" t="str">
        <f t="shared" si="207"/>
        <v/>
      </c>
      <c r="E346" s="24" t="str">
        <f t="shared" si="208"/>
        <v/>
      </c>
      <c r="F346" s="25" t="str">
        <f t="shared" si="209"/>
        <v/>
      </c>
      <c r="G346" s="7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2"/>
      <c r="U346" s="12">
        <f t="shared" si="183"/>
        <v>0</v>
      </c>
      <c r="V346" s="28" t="str">
        <f t="shared" ca="1" si="184"/>
        <v/>
      </c>
      <c r="W346" s="28" t="str">
        <f t="shared" si="185"/>
        <v/>
      </c>
      <c r="X346" s="12" t="str">
        <f t="shared" si="186"/>
        <v/>
      </c>
      <c r="Y346" s="12" t="str">
        <f t="shared" si="187"/>
        <v/>
      </c>
      <c r="Z346" s="12" t="str">
        <f t="shared" si="188"/>
        <v/>
      </c>
      <c r="AA346" s="12" t="str">
        <f t="shared" si="189"/>
        <v/>
      </c>
      <c r="AB346" s="12" t="str">
        <f t="shared" si="190"/>
        <v/>
      </c>
      <c r="AC346" s="12" t="str">
        <f t="shared" si="191"/>
        <v/>
      </c>
      <c r="AD346" s="12" t="str">
        <f t="shared" si="192"/>
        <v/>
      </c>
      <c r="AE346" s="12" t="str">
        <f t="shared" si="193"/>
        <v/>
      </c>
      <c r="AF346" s="12" t="str">
        <f t="shared" si="194"/>
        <v/>
      </c>
      <c r="AG346" s="12"/>
      <c r="AH346" s="12" t="str">
        <f t="shared" si="195"/>
        <v/>
      </c>
      <c r="AI346" s="12" t="str">
        <f t="shared" si="196"/>
        <v/>
      </c>
      <c r="AJ346" s="12" t="str">
        <f t="shared" si="197"/>
        <v/>
      </c>
      <c r="AK346" s="12" t="str">
        <f t="shared" si="198"/>
        <v/>
      </c>
      <c r="AL346" s="12" t="str">
        <f t="shared" si="199"/>
        <v/>
      </c>
      <c r="AM346" s="12" t="str">
        <f t="shared" si="200"/>
        <v/>
      </c>
      <c r="AN346" s="12" t="str">
        <f t="shared" si="201"/>
        <v/>
      </c>
      <c r="AO346" s="12" t="str">
        <f t="shared" si="202"/>
        <v/>
      </c>
      <c r="AP346" s="12" t="str">
        <f t="shared" si="203"/>
        <v/>
      </c>
    </row>
    <row r="347" spans="1:42">
      <c r="A347" s="9" t="str">
        <f t="shared" si="204"/>
        <v/>
      </c>
      <c r="B347" s="22" t="str">
        <f t="shared" si="205"/>
        <v/>
      </c>
      <c r="C347" s="23" t="str">
        <f t="shared" si="206"/>
        <v/>
      </c>
      <c r="D347" s="24" t="str">
        <f t="shared" si="207"/>
        <v/>
      </c>
      <c r="E347" s="24" t="str">
        <f t="shared" si="208"/>
        <v/>
      </c>
      <c r="F347" s="25" t="str">
        <f t="shared" si="209"/>
        <v/>
      </c>
      <c r="G347" s="7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2"/>
      <c r="U347" s="12">
        <f t="shared" si="183"/>
        <v>0</v>
      </c>
      <c r="V347" s="28" t="str">
        <f t="shared" ca="1" si="184"/>
        <v/>
      </c>
      <c r="W347" s="28" t="str">
        <f t="shared" si="185"/>
        <v/>
      </c>
      <c r="X347" s="12" t="str">
        <f t="shared" si="186"/>
        <v/>
      </c>
      <c r="Y347" s="12" t="str">
        <f t="shared" si="187"/>
        <v/>
      </c>
      <c r="Z347" s="12" t="str">
        <f t="shared" si="188"/>
        <v/>
      </c>
      <c r="AA347" s="12" t="str">
        <f t="shared" si="189"/>
        <v/>
      </c>
      <c r="AB347" s="12" t="str">
        <f t="shared" si="190"/>
        <v/>
      </c>
      <c r="AC347" s="12" t="str">
        <f t="shared" si="191"/>
        <v/>
      </c>
      <c r="AD347" s="12" t="str">
        <f t="shared" si="192"/>
        <v/>
      </c>
      <c r="AE347" s="12" t="str">
        <f t="shared" si="193"/>
        <v/>
      </c>
      <c r="AF347" s="12" t="str">
        <f t="shared" si="194"/>
        <v/>
      </c>
      <c r="AG347" s="12"/>
      <c r="AH347" s="12" t="str">
        <f t="shared" si="195"/>
        <v/>
      </c>
      <c r="AI347" s="12" t="str">
        <f t="shared" si="196"/>
        <v/>
      </c>
      <c r="AJ347" s="12" t="str">
        <f t="shared" si="197"/>
        <v/>
      </c>
      <c r="AK347" s="12" t="str">
        <f t="shared" si="198"/>
        <v/>
      </c>
      <c r="AL347" s="12" t="str">
        <f t="shared" si="199"/>
        <v/>
      </c>
      <c r="AM347" s="12" t="str">
        <f t="shared" si="200"/>
        <v/>
      </c>
      <c r="AN347" s="12" t="str">
        <f t="shared" si="201"/>
        <v/>
      </c>
      <c r="AO347" s="12" t="str">
        <f t="shared" si="202"/>
        <v/>
      </c>
      <c r="AP347" s="12" t="str">
        <f t="shared" si="203"/>
        <v/>
      </c>
    </row>
    <row r="348" spans="1:42">
      <c r="A348" s="9" t="str">
        <f t="shared" si="204"/>
        <v/>
      </c>
      <c r="B348" s="22" t="str">
        <f t="shared" si="205"/>
        <v/>
      </c>
      <c r="C348" s="23" t="str">
        <f t="shared" si="206"/>
        <v/>
      </c>
      <c r="D348" s="24" t="str">
        <f t="shared" si="207"/>
        <v/>
      </c>
      <c r="E348" s="24" t="str">
        <f t="shared" si="208"/>
        <v/>
      </c>
      <c r="F348" s="25" t="str">
        <f t="shared" si="209"/>
        <v/>
      </c>
      <c r="G348" s="7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2"/>
      <c r="U348" s="12">
        <f t="shared" si="183"/>
        <v>0</v>
      </c>
      <c r="V348" s="28" t="str">
        <f t="shared" ca="1" si="184"/>
        <v/>
      </c>
      <c r="W348" s="28" t="str">
        <f t="shared" si="185"/>
        <v/>
      </c>
      <c r="X348" s="12" t="str">
        <f t="shared" si="186"/>
        <v/>
      </c>
      <c r="Y348" s="12" t="str">
        <f t="shared" si="187"/>
        <v/>
      </c>
      <c r="Z348" s="12" t="str">
        <f t="shared" si="188"/>
        <v/>
      </c>
      <c r="AA348" s="12" t="str">
        <f t="shared" si="189"/>
        <v/>
      </c>
      <c r="AB348" s="12" t="str">
        <f t="shared" si="190"/>
        <v/>
      </c>
      <c r="AC348" s="12" t="str">
        <f t="shared" si="191"/>
        <v/>
      </c>
      <c r="AD348" s="12" t="str">
        <f t="shared" si="192"/>
        <v/>
      </c>
      <c r="AE348" s="12" t="str">
        <f t="shared" si="193"/>
        <v/>
      </c>
      <c r="AF348" s="12" t="str">
        <f t="shared" si="194"/>
        <v/>
      </c>
      <c r="AG348" s="12"/>
      <c r="AH348" s="12" t="str">
        <f t="shared" si="195"/>
        <v/>
      </c>
      <c r="AI348" s="12" t="str">
        <f t="shared" si="196"/>
        <v/>
      </c>
      <c r="AJ348" s="12" t="str">
        <f t="shared" si="197"/>
        <v/>
      </c>
      <c r="AK348" s="12" t="str">
        <f t="shared" si="198"/>
        <v/>
      </c>
      <c r="AL348" s="12" t="str">
        <f t="shared" si="199"/>
        <v/>
      </c>
      <c r="AM348" s="12" t="str">
        <f t="shared" si="200"/>
        <v/>
      </c>
      <c r="AN348" s="12" t="str">
        <f t="shared" si="201"/>
        <v/>
      </c>
      <c r="AO348" s="12" t="str">
        <f t="shared" si="202"/>
        <v/>
      </c>
      <c r="AP348" s="12" t="str">
        <f t="shared" si="203"/>
        <v/>
      </c>
    </row>
    <row r="349" spans="1:42">
      <c r="A349" s="9" t="str">
        <f t="shared" si="204"/>
        <v/>
      </c>
      <c r="B349" s="22" t="str">
        <f t="shared" si="205"/>
        <v/>
      </c>
      <c r="C349" s="23" t="str">
        <f t="shared" si="206"/>
        <v/>
      </c>
      <c r="D349" s="24" t="str">
        <f t="shared" si="207"/>
        <v/>
      </c>
      <c r="E349" s="24" t="str">
        <f t="shared" si="208"/>
        <v/>
      </c>
      <c r="F349" s="25" t="str">
        <f t="shared" si="209"/>
        <v/>
      </c>
      <c r="G349" s="7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2"/>
      <c r="U349" s="12">
        <f t="shared" si="183"/>
        <v>0</v>
      </c>
      <c r="V349" s="28" t="str">
        <f t="shared" ca="1" si="184"/>
        <v/>
      </c>
      <c r="W349" s="28" t="str">
        <f t="shared" si="185"/>
        <v/>
      </c>
      <c r="X349" s="12" t="str">
        <f t="shared" si="186"/>
        <v/>
      </c>
      <c r="Y349" s="12" t="str">
        <f t="shared" si="187"/>
        <v/>
      </c>
      <c r="Z349" s="12" t="str">
        <f t="shared" si="188"/>
        <v/>
      </c>
      <c r="AA349" s="12" t="str">
        <f t="shared" si="189"/>
        <v/>
      </c>
      <c r="AB349" s="12" t="str">
        <f t="shared" si="190"/>
        <v/>
      </c>
      <c r="AC349" s="12" t="str">
        <f t="shared" si="191"/>
        <v/>
      </c>
      <c r="AD349" s="12" t="str">
        <f t="shared" si="192"/>
        <v/>
      </c>
      <c r="AE349" s="12" t="str">
        <f t="shared" si="193"/>
        <v/>
      </c>
      <c r="AF349" s="12" t="str">
        <f t="shared" si="194"/>
        <v/>
      </c>
      <c r="AG349" s="12"/>
      <c r="AH349" s="12" t="str">
        <f t="shared" si="195"/>
        <v/>
      </c>
      <c r="AI349" s="12" t="str">
        <f t="shared" si="196"/>
        <v/>
      </c>
      <c r="AJ349" s="12" t="str">
        <f t="shared" si="197"/>
        <v/>
      </c>
      <c r="AK349" s="12" t="str">
        <f t="shared" si="198"/>
        <v/>
      </c>
      <c r="AL349" s="12" t="str">
        <f t="shared" si="199"/>
        <v/>
      </c>
      <c r="AM349" s="12" t="str">
        <f t="shared" si="200"/>
        <v/>
      </c>
      <c r="AN349" s="12" t="str">
        <f t="shared" si="201"/>
        <v/>
      </c>
      <c r="AO349" s="12" t="str">
        <f t="shared" si="202"/>
        <v/>
      </c>
      <c r="AP349" s="12" t="str">
        <f t="shared" si="203"/>
        <v/>
      </c>
    </row>
    <row r="350" spans="1:42">
      <c r="A350" s="9" t="str">
        <f t="shared" si="204"/>
        <v/>
      </c>
      <c r="B350" s="22" t="str">
        <f t="shared" si="205"/>
        <v/>
      </c>
      <c r="C350" s="23" t="str">
        <f t="shared" si="206"/>
        <v/>
      </c>
      <c r="D350" s="24" t="str">
        <f t="shared" si="207"/>
        <v/>
      </c>
      <c r="E350" s="24" t="str">
        <f t="shared" si="208"/>
        <v/>
      </c>
      <c r="F350" s="25" t="str">
        <f t="shared" si="209"/>
        <v/>
      </c>
      <c r="G350" s="7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2"/>
      <c r="U350" s="12">
        <f t="shared" si="183"/>
        <v>0</v>
      </c>
      <c r="V350" s="28" t="str">
        <f t="shared" ca="1" si="184"/>
        <v/>
      </c>
      <c r="W350" s="28" t="str">
        <f t="shared" si="185"/>
        <v/>
      </c>
      <c r="X350" s="12" t="str">
        <f t="shared" si="186"/>
        <v/>
      </c>
      <c r="Y350" s="12" t="str">
        <f t="shared" si="187"/>
        <v/>
      </c>
      <c r="Z350" s="12" t="str">
        <f t="shared" si="188"/>
        <v/>
      </c>
      <c r="AA350" s="12" t="str">
        <f t="shared" si="189"/>
        <v/>
      </c>
      <c r="AB350" s="12" t="str">
        <f t="shared" si="190"/>
        <v/>
      </c>
      <c r="AC350" s="12" t="str">
        <f t="shared" si="191"/>
        <v/>
      </c>
      <c r="AD350" s="12" t="str">
        <f t="shared" si="192"/>
        <v/>
      </c>
      <c r="AE350" s="12" t="str">
        <f t="shared" si="193"/>
        <v/>
      </c>
      <c r="AF350" s="12" t="str">
        <f t="shared" si="194"/>
        <v/>
      </c>
      <c r="AG350" s="12"/>
      <c r="AH350" s="12" t="str">
        <f t="shared" si="195"/>
        <v/>
      </c>
      <c r="AI350" s="12" t="str">
        <f t="shared" si="196"/>
        <v/>
      </c>
      <c r="AJ350" s="12" t="str">
        <f t="shared" si="197"/>
        <v/>
      </c>
      <c r="AK350" s="12" t="str">
        <f t="shared" si="198"/>
        <v/>
      </c>
      <c r="AL350" s="12" t="str">
        <f t="shared" si="199"/>
        <v/>
      </c>
      <c r="AM350" s="12" t="str">
        <f t="shared" si="200"/>
        <v/>
      </c>
      <c r="AN350" s="12" t="str">
        <f t="shared" si="201"/>
        <v/>
      </c>
      <c r="AO350" s="12" t="str">
        <f t="shared" si="202"/>
        <v/>
      </c>
      <c r="AP350" s="12" t="str">
        <f t="shared" si="203"/>
        <v/>
      </c>
    </row>
    <row r="351" spans="1:42">
      <c r="A351" s="9" t="str">
        <f t="shared" si="204"/>
        <v/>
      </c>
      <c r="B351" s="22" t="str">
        <f t="shared" si="205"/>
        <v/>
      </c>
      <c r="C351" s="23" t="str">
        <f t="shared" si="206"/>
        <v/>
      </c>
      <c r="D351" s="24" t="str">
        <f t="shared" si="207"/>
        <v/>
      </c>
      <c r="E351" s="24" t="str">
        <f t="shared" si="208"/>
        <v/>
      </c>
      <c r="F351" s="25" t="str">
        <f t="shared" si="209"/>
        <v/>
      </c>
      <c r="G351" s="7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2"/>
      <c r="U351" s="12">
        <f t="shared" si="183"/>
        <v>0</v>
      </c>
      <c r="V351" s="28" t="str">
        <f t="shared" ca="1" si="184"/>
        <v/>
      </c>
      <c r="W351" s="28" t="str">
        <f t="shared" si="185"/>
        <v/>
      </c>
      <c r="X351" s="12" t="str">
        <f t="shared" si="186"/>
        <v/>
      </c>
      <c r="Y351" s="12" t="str">
        <f t="shared" si="187"/>
        <v/>
      </c>
      <c r="Z351" s="12" t="str">
        <f t="shared" si="188"/>
        <v/>
      </c>
      <c r="AA351" s="12" t="str">
        <f t="shared" si="189"/>
        <v/>
      </c>
      <c r="AB351" s="12" t="str">
        <f t="shared" si="190"/>
        <v/>
      </c>
      <c r="AC351" s="12" t="str">
        <f t="shared" si="191"/>
        <v/>
      </c>
      <c r="AD351" s="12" t="str">
        <f t="shared" si="192"/>
        <v/>
      </c>
      <c r="AE351" s="12" t="str">
        <f t="shared" si="193"/>
        <v/>
      </c>
      <c r="AF351" s="12" t="str">
        <f t="shared" si="194"/>
        <v/>
      </c>
      <c r="AG351" s="12"/>
      <c r="AH351" s="12" t="str">
        <f t="shared" si="195"/>
        <v/>
      </c>
      <c r="AI351" s="12" t="str">
        <f t="shared" si="196"/>
        <v/>
      </c>
      <c r="AJ351" s="12" t="str">
        <f t="shared" si="197"/>
        <v/>
      </c>
      <c r="AK351" s="12" t="str">
        <f t="shared" si="198"/>
        <v/>
      </c>
      <c r="AL351" s="12" t="str">
        <f t="shared" si="199"/>
        <v/>
      </c>
      <c r="AM351" s="12" t="str">
        <f t="shared" si="200"/>
        <v/>
      </c>
      <c r="AN351" s="12" t="str">
        <f t="shared" si="201"/>
        <v/>
      </c>
      <c r="AO351" s="12" t="str">
        <f t="shared" si="202"/>
        <v/>
      </c>
      <c r="AP351" s="12" t="str">
        <f t="shared" si="203"/>
        <v/>
      </c>
    </row>
    <row r="352" spans="1:42">
      <c r="A352" s="9" t="str">
        <f t="shared" si="204"/>
        <v/>
      </c>
      <c r="B352" s="22" t="str">
        <f t="shared" si="205"/>
        <v/>
      </c>
      <c r="C352" s="23" t="str">
        <f t="shared" si="206"/>
        <v/>
      </c>
      <c r="D352" s="24" t="str">
        <f t="shared" si="207"/>
        <v/>
      </c>
      <c r="E352" s="24" t="str">
        <f t="shared" si="208"/>
        <v/>
      </c>
      <c r="F352" s="25" t="str">
        <f t="shared" si="209"/>
        <v/>
      </c>
      <c r="G352" s="7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2"/>
      <c r="U352" s="12">
        <f t="shared" si="183"/>
        <v>0</v>
      </c>
      <c r="V352" s="28" t="str">
        <f t="shared" ca="1" si="184"/>
        <v/>
      </c>
      <c r="W352" s="28" t="str">
        <f t="shared" si="185"/>
        <v/>
      </c>
      <c r="X352" s="12" t="str">
        <f t="shared" si="186"/>
        <v/>
      </c>
      <c r="Y352" s="12" t="str">
        <f t="shared" si="187"/>
        <v/>
      </c>
      <c r="Z352" s="12" t="str">
        <f t="shared" si="188"/>
        <v/>
      </c>
      <c r="AA352" s="12" t="str">
        <f t="shared" si="189"/>
        <v/>
      </c>
      <c r="AB352" s="12" t="str">
        <f t="shared" si="190"/>
        <v/>
      </c>
      <c r="AC352" s="12" t="str">
        <f t="shared" si="191"/>
        <v/>
      </c>
      <c r="AD352" s="12" t="str">
        <f t="shared" si="192"/>
        <v/>
      </c>
      <c r="AE352" s="12" t="str">
        <f t="shared" si="193"/>
        <v/>
      </c>
      <c r="AF352" s="12" t="str">
        <f t="shared" si="194"/>
        <v/>
      </c>
      <c r="AG352" s="12"/>
      <c r="AH352" s="12" t="str">
        <f t="shared" si="195"/>
        <v/>
      </c>
      <c r="AI352" s="12" t="str">
        <f t="shared" si="196"/>
        <v/>
      </c>
      <c r="AJ352" s="12" t="str">
        <f t="shared" si="197"/>
        <v/>
      </c>
      <c r="AK352" s="12" t="str">
        <f t="shared" si="198"/>
        <v/>
      </c>
      <c r="AL352" s="12" t="str">
        <f t="shared" si="199"/>
        <v/>
      </c>
      <c r="AM352" s="12" t="str">
        <f t="shared" si="200"/>
        <v/>
      </c>
      <c r="AN352" s="12" t="str">
        <f t="shared" si="201"/>
        <v/>
      </c>
      <c r="AO352" s="12" t="str">
        <f t="shared" si="202"/>
        <v/>
      </c>
      <c r="AP352" s="12" t="str">
        <f t="shared" si="203"/>
        <v/>
      </c>
    </row>
    <row r="353" spans="1:42">
      <c r="A353" s="9" t="str">
        <f t="shared" si="204"/>
        <v/>
      </c>
      <c r="B353" s="22" t="str">
        <f t="shared" si="205"/>
        <v/>
      </c>
      <c r="C353" s="23" t="str">
        <f t="shared" si="206"/>
        <v/>
      </c>
      <c r="D353" s="24" t="str">
        <f t="shared" si="207"/>
        <v/>
      </c>
      <c r="E353" s="24" t="str">
        <f t="shared" si="208"/>
        <v/>
      </c>
      <c r="F353" s="25" t="str">
        <f t="shared" si="209"/>
        <v/>
      </c>
      <c r="G353" s="7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2"/>
      <c r="U353" s="12">
        <f t="shared" si="183"/>
        <v>0</v>
      </c>
      <c r="V353" s="28" t="str">
        <f t="shared" ca="1" si="184"/>
        <v/>
      </c>
      <c r="W353" s="28" t="str">
        <f t="shared" si="185"/>
        <v/>
      </c>
      <c r="X353" s="12" t="str">
        <f t="shared" si="186"/>
        <v/>
      </c>
      <c r="Y353" s="12" t="str">
        <f t="shared" si="187"/>
        <v/>
      </c>
      <c r="Z353" s="12" t="str">
        <f t="shared" si="188"/>
        <v/>
      </c>
      <c r="AA353" s="12" t="str">
        <f t="shared" si="189"/>
        <v/>
      </c>
      <c r="AB353" s="12" t="str">
        <f t="shared" si="190"/>
        <v/>
      </c>
      <c r="AC353" s="12" t="str">
        <f t="shared" si="191"/>
        <v/>
      </c>
      <c r="AD353" s="12" t="str">
        <f t="shared" si="192"/>
        <v/>
      </c>
      <c r="AE353" s="12" t="str">
        <f t="shared" si="193"/>
        <v/>
      </c>
      <c r="AF353" s="12" t="str">
        <f t="shared" si="194"/>
        <v/>
      </c>
      <c r="AG353" s="12"/>
      <c r="AH353" s="12" t="str">
        <f t="shared" si="195"/>
        <v/>
      </c>
      <c r="AI353" s="12" t="str">
        <f t="shared" si="196"/>
        <v/>
      </c>
      <c r="AJ353" s="12" t="str">
        <f t="shared" si="197"/>
        <v/>
      </c>
      <c r="AK353" s="12" t="str">
        <f t="shared" si="198"/>
        <v/>
      </c>
      <c r="AL353" s="12" t="str">
        <f t="shared" si="199"/>
        <v/>
      </c>
      <c r="AM353" s="12" t="str">
        <f t="shared" si="200"/>
        <v/>
      </c>
      <c r="AN353" s="12" t="str">
        <f t="shared" si="201"/>
        <v/>
      </c>
      <c r="AO353" s="12" t="str">
        <f t="shared" si="202"/>
        <v/>
      </c>
      <c r="AP353" s="12" t="str">
        <f t="shared" si="203"/>
        <v/>
      </c>
    </row>
    <row r="354" spans="1:42">
      <c r="A354" s="9" t="str">
        <f t="shared" si="204"/>
        <v/>
      </c>
      <c r="B354" s="22" t="str">
        <f t="shared" si="205"/>
        <v/>
      </c>
      <c r="C354" s="23" t="str">
        <f t="shared" si="206"/>
        <v/>
      </c>
      <c r="D354" s="24" t="str">
        <f t="shared" si="207"/>
        <v/>
      </c>
      <c r="E354" s="24" t="str">
        <f t="shared" si="208"/>
        <v/>
      </c>
      <c r="F354" s="25" t="str">
        <f t="shared" si="209"/>
        <v/>
      </c>
      <c r="G354" s="7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2"/>
      <c r="U354" s="12">
        <f t="shared" si="183"/>
        <v>0</v>
      </c>
      <c r="V354" s="28" t="str">
        <f t="shared" ca="1" si="184"/>
        <v/>
      </c>
      <c r="W354" s="28" t="str">
        <f t="shared" si="185"/>
        <v/>
      </c>
      <c r="X354" s="12" t="str">
        <f t="shared" si="186"/>
        <v/>
      </c>
      <c r="Y354" s="12" t="str">
        <f t="shared" si="187"/>
        <v/>
      </c>
      <c r="Z354" s="12" t="str">
        <f t="shared" si="188"/>
        <v/>
      </c>
      <c r="AA354" s="12" t="str">
        <f t="shared" si="189"/>
        <v/>
      </c>
      <c r="AB354" s="12" t="str">
        <f t="shared" si="190"/>
        <v/>
      </c>
      <c r="AC354" s="12" t="str">
        <f t="shared" si="191"/>
        <v/>
      </c>
      <c r="AD354" s="12" t="str">
        <f t="shared" si="192"/>
        <v/>
      </c>
      <c r="AE354" s="12" t="str">
        <f t="shared" si="193"/>
        <v/>
      </c>
      <c r="AF354" s="12" t="str">
        <f t="shared" si="194"/>
        <v/>
      </c>
      <c r="AG354" s="12"/>
      <c r="AH354" s="12" t="str">
        <f t="shared" si="195"/>
        <v/>
      </c>
      <c r="AI354" s="12" t="str">
        <f t="shared" si="196"/>
        <v/>
      </c>
      <c r="AJ354" s="12" t="str">
        <f t="shared" si="197"/>
        <v/>
      </c>
      <c r="AK354" s="12" t="str">
        <f t="shared" si="198"/>
        <v/>
      </c>
      <c r="AL354" s="12" t="str">
        <f t="shared" si="199"/>
        <v/>
      </c>
      <c r="AM354" s="12" t="str">
        <f t="shared" si="200"/>
        <v/>
      </c>
      <c r="AN354" s="12" t="str">
        <f t="shared" si="201"/>
        <v/>
      </c>
      <c r="AO354" s="12" t="str">
        <f t="shared" si="202"/>
        <v/>
      </c>
      <c r="AP354" s="12" t="str">
        <f t="shared" si="203"/>
        <v/>
      </c>
    </row>
    <row r="355" spans="1:42">
      <c r="A355" s="9" t="str">
        <f t="shared" si="204"/>
        <v/>
      </c>
      <c r="B355" s="22" t="str">
        <f t="shared" si="205"/>
        <v/>
      </c>
      <c r="C355" s="23" t="str">
        <f t="shared" si="206"/>
        <v/>
      </c>
      <c r="D355" s="24" t="str">
        <f t="shared" si="207"/>
        <v/>
      </c>
      <c r="E355" s="24" t="str">
        <f t="shared" si="208"/>
        <v/>
      </c>
      <c r="F355" s="25" t="str">
        <f t="shared" si="209"/>
        <v/>
      </c>
      <c r="G355" s="7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2"/>
      <c r="U355" s="12">
        <f t="shared" si="183"/>
        <v>0</v>
      </c>
      <c r="V355" s="28" t="str">
        <f t="shared" ca="1" si="184"/>
        <v/>
      </c>
      <c r="W355" s="28" t="str">
        <f t="shared" si="185"/>
        <v/>
      </c>
      <c r="X355" s="12" t="str">
        <f t="shared" si="186"/>
        <v/>
      </c>
      <c r="Y355" s="12" t="str">
        <f t="shared" si="187"/>
        <v/>
      </c>
      <c r="Z355" s="12" t="str">
        <f t="shared" si="188"/>
        <v/>
      </c>
      <c r="AA355" s="12" t="str">
        <f t="shared" si="189"/>
        <v/>
      </c>
      <c r="AB355" s="12" t="str">
        <f t="shared" si="190"/>
        <v/>
      </c>
      <c r="AC355" s="12" t="str">
        <f t="shared" si="191"/>
        <v/>
      </c>
      <c r="AD355" s="12" t="str">
        <f t="shared" si="192"/>
        <v/>
      </c>
      <c r="AE355" s="12" t="str">
        <f t="shared" si="193"/>
        <v/>
      </c>
      <c r="AF355" s="12" t="str">
        <f t="shared" si="194"/>
        <v/>
      </c>
      <c r="AG355" s="12"/>
      <c r="AH355" s="12" t="str">
        <f t="shared" si="195"/>
        <v/>
      </c>
      <c r="AI355" s="12" t="str">
        <f t="shared" si="196"/>
        <v/>
      </c>
      <c r="AJ355" s="12" t="str">
        <f t="shared" si="197"/>
        <v/>
      </c>
      <c r="AK355" s="12" t="str">
        <f t="shared" si="198"/>
        <v/>
      </c>
      <c r="AL355" s="12" t="str">
        <f t="shared" si="199"/>
        <v/>
      </c>
      <c r="AM355" s="12" t="str">
        <f t="shared" si="200"/>
        <v/>
      </c>
      <c r="AN355" s="12" t="str">
        <f t="shared" si="201"/>
        <v/>
      </c>
      <c r="AO355" s="12" t="str">
        <f t="shared" si="202"/>
        <v/>
      </c>
      <c r="AP355" s="12" t="str">
        <f t="shared" si="203"/>
        <v/>
      </c>
    </row>
    <row r="356" spans="1:42">
      <c r="A356" s="9" t="str">
        <f t="shared" si="204"/>
        <v/>
      </c>
      <c r="B356" s="22" t="str">
        <f t="shared" si="205"/>
        <v/>
      </c>
      <c r="C356" s="23" t="str">
        <f t="shared" si="206"/>
        <v/>
      </c>
      <c r="D356" s="24" t="str">
        <f t="shared" si="207"/>
        <v/>
      </c>
      <c r="E356" s="24" t="str">
        <f t="shared" si="208"/>
        <v/>
      </c>
      <c r="F356" s="25" t="str">
        <f t="shared" si="209"/>
        <v/>
      </c>
      <c r="G356" s="7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2"/>
      <c r="U356" s="12">
        <f t="shared" si="183"/>
        <v>0</v>
      </c>
      <c r="V356" s="28" t="str">
        <f t="shared" ca="1" si="184"/>
        <v/>
      </c>
      <c r="W356" s="28" t="str">
        <f t="shared" si="185"/>
        <v/>
      </c>
      <c r="X356" s="12" t="str">
        <f t="shared" si="186"/>
        <v/>
      </c>
      <c r="Y356" s="12" t="str">
        <f t="shared" si="187"/>
        <v/>
      </c>
      <c r="Z356" s="12" t="str">
        <f t="shared" si="188"/>
        <v/>
      </c>
      <c r="AA356" s="12" t="str">
        <f t="shared" si="189"/>
        <v/>
      </c>
      <c r="AB356" s="12" t="str">
        <f t="shared" si="190"/>
        <v/>
      </c>
      <c r="AC356" s="12" t="str">
        <f t="shared" si="191"/>
        <v/>
      </c>
      <c r="AD356" s="12" t="str">
        <f t="shared" si="192"/>
        <v/>
      </c>
      <c r="AE356" s="12" t="str">
        <f t="shared" si="193"/>
        <v/>
      </c>
      <c r="AF356" s="12" t="str">
        <f t="shared" si="194"/>
        <v/>
      </c>
      <c r="AG356" s="12"/>
      <c r="AH356" s="12" t="str">
        <f t="shared" si="195"/>
        <v/>
      </c>
      <c r="AI356" s="12" t="str">
        <f t="shared" si="196"/>
        <v/>
      </c>
      <c r="AJ356" s="12" t="str">
        <f t="shared" si="197"/>
        <v/>
      </c>
      <c r="AK356" s="12" t="str">
        <f t="shared" si="198"/>
        <v/>
      </c>
      <c r="AL356" s="12" t="str">
        <f t="shared" si="199"/>
        <v/>
      </c>
      <c r="AM356" s="12" t="str">
        <f t="shared" si="200"/>
        <v/>
      </c>
      <c r="AN356" s="12" t="str">
        <f t="shared" si="201"/>
        <v/>
      </c>
      <c r="AO356" s="12" t="str">
        <f t="shared" si="202"/>
        <v/>
      </c>
      <c r="AP356" s="12" t="str">
        <f t="shared" si="203"/>
        <v/>
      </c>
    </row>
    <row r="357" spans="1:42">
      <c r="A357" s="9" t="str">
        <f t="shared" si="204"/>
        <v/>
      </c>
      <c r="B357" s="22" t="str">
        <f t="shared" si="205"/>
        <v/>
      </c>
      <c r="C357" s="23" t="str">
        <f t="shared" si="206"/>
        <v/>
      </c>
      <c r="D357" s="24" t="str">
        <f t="shared" si="207"/>
        <v/>
      </c>
      <c r="E357" s="24" t="str">
        <f t="shared" si="208"/>
        <v/>
      </c>
      <c r="F357" s="25" t="str">
        <f t="shared" si="209"/>
        <v/>
      </c>
      <c r="G357" s="7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2"/>
      <c r="U357" s="12">
        <f t="shared" si="183"/>
        <v>0</v>
      </c>
      <c r="V357" s="28" t="str">
        <f t="shared" ca="1" si="184"/>
        <v/>
      </c>
      <c r="W357" s="28" t="str">
        <f t="shared" si="185"/>
        <v/>
      </c>
      <c r="X357" s="12" t="str">
        <f t="shared" si="186"/>
        <v/>
      </c>
      <c r="Y357" s="12" t="str">
        <f t="shared" si="187"/>
        <v/>
      </c>
      <c r="Z357" s="12" t="str">
        <f t="shared" si="188"/>
        <v/>
      </c>
      <c r="AA357" s="12" t="str">
        <f t="shared" si="189"/>
        <v/>
      </c>
      <c r="AB357" s="12" t="str">
        <f t="shared" si="190"/>
        <v/>
      </c>
      <c r="AC357" s="12" t="str">
        <f t="shared" si="191"/>
        <v/>
      </c>
      <c r="AD357" s="12" t="str">
        <f t="shared" si="192"/>
        <v/>
      </c>
      <c r="AE357" s="12" t="str">
        <f t="shared" si="193"/>
        <v/>
      </c>
      <c r="AF357" s="12" t="str">
        <f t="shared" si="194"/>
        <v/>
      </c>
      <c r="AG357" s="12"/>
      <c r="AH357" s="12" t="str">
        <f t="shared" si="195"/>
        <v/>
      </c>
      <c r="AI357" s="12" t="str">
        <f t="shared" si="196"/>
        <v/>
      </c>
      <c r="AJ357" s="12" t="str">
        <f t="shared" si="197"/>
        <v/>
      </c>
      <c r="AK357" s="12" t="str">
        <f t="shared" si="198"/>
        <v/>
      </c>
      <c r="AL357" s="12" t="str">
        <f t="shared" si="199"/>
        <v/>
      </c>
      <c r="AM357" s="12" t="str">
        <f t="shared" si="200"/>
        <v/>
      </c>
      <c r="AN357" s="12" t="str">
        <f t="shared" si="201"/>
        <v/>
      </c>
      <c r="AO357" s="12" t="str">
        <f t="shared" si="202"/>
        <v/>
      </c>
      <c r="AP357" s="12" t="str">
        <f t="shared" si="203"/>
        <v/>
      </c>
    </row>
    <row r="358" spans="1:42">
      <c r="A358" s="9" t="str">
        <f t="shared" si="204"/>
        <v/>
      </c>
      <c r="B358" s="22" t="str">
        <f t="shared" si="205"/>
        <v/>
      </c>
      <c r="C358" s="23" t="str">
        <f t="shared" si="206"/>
        <v/>
      </c>
      <c r="D358" s="24" t="str">
        <f t="shared" si="207"/>
        <v/>
      </c>
      <c r="E358" s="24" t="str">
        <f t="shared" si="208"/>
        <v/>
      </c>
      <c r="F358" s="25" t="str">
        <f t="shared" si="209"/>
        <v/>
      </c>
      <c r="G358" s="7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2"/>
      <c r="U358" s="12">
        <f t="shared" si="183"/>
        <v>0</v>
      </c>
      <c r="V358" s="28" t="str">
        <f t="shared" ca="1" si="184"/>
        <v/>
      </c>
      <c r="W358" s="28" t="str">
        <f t="shared" si="185"/>
        <v/>
      </c>
      <c r="X358" s="12" t="str">
        <f t="shared" si="186"/>
        <v/>
      </c>
      <c r="Y358" s="12" t="str">
        <f t="shared" si="187"/>
        <v/>
      </c>
      <c r="Z358" s="12" t="str">
        <f t="shared" si="188"/>
        <v/>
      </c>
      <c r="AA358" s="12" t="str">
        <f t="shared" si="189"/>
        <v/>
      </c>
      <c r="AB358" s="12" t="str">
        <f t="shared" si="190"/>
        <v/>
      </c>
      <c r="AC358" s="12" t="str">
        <f t="shared" si="191"/>
        <v/>
      </c>
      <c r="AD358" s="12" t="str">
        <f t="shared" si="192"/>
        <v/>
      </c>
      <c r="AE358" s="12" t="str">
        <f t="shared" si="193"/>
        <v/>
      </c>
      <c r="AF358" s="12" t="str">
        <f t="shared" si="194"/>
        <v/>
      </c>
      <c r="AG358" s="12"/>
      <c r="AH358" s="12" t="str">
        <f t="shared" si="195"/>
        <v/>
      </c>
      <c r="AI358" s="12" t="str">
        <f t="shared" si="196"/>
        <v/>
      </c>
      <c r="AJ358" s="12" t="str">
        <f t="shared" si="197"/>
        <v/>
      </c>
      <c r="AK358" s="12" t="str">
        <f t="shared" si="198"/>
        <v/>
      </c>
      <c r="AL358" s="12" t="str">
        <f t="shared" si="199"/>
        <v/>
      </c>
      <c r="AM358" s="12" t="str">
        <f t="shared" si="200"/>
        <v/>
      </c>
      <c r="AN358" s="12" t="str">
        <f t="shared" si="201"/>
        <v/>
      </c>
      <c r="AO358" s="12" t="str">
        <f t="shared" si="202"/>
        <v/>
      </c>
      <c r="AP358" s="12" t="str">
        <f t="shared" si="203"/>
        <v/>
      </c>
    </row>
    <row r="359" spans="1:42">
      <c r="A359" s="9" t="str">
        <f t="shared" si="204"/>
        <v/>
      </c>
      <c r="B359" s="22" t="str">
        <f t="shared" si="205"/>
        <v/>
      </c>
      <c r="C359" s="23" t="str">
        <f t="shared" si="206"/>
        <v/>
      </c>
      <c r="D359" s="24" t="str">
        <f t="shared" si="207"/>
        <v/>
      </c>
      <c r="E359" s="24" t="str">
        <f t="shared" si="208"/>
        <v/>
      </c>
      <c r="F359" s="25" t="str">
        <f t="shared" si="209"/>
        <v/>
      </c>
      <c r="G359" s="7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2"/>
      <c r="U359" s="12">
        <f t="shared" si="183"/>
        <v>0</v>
      </c>
      <c r="V359" s="28" t="str">
        <f t="shared" ca="1" si="184"/>
        <v/>
      </c>
      <c r="W359" s="28" t="str">
        <f t="shared" si="185"/>
        <v/>
      </c>
      <c r="X359" s="12" t="str">
        <f t="shared" si="186"/>
        <v/>
      </c>
      <c r="Y359" s="12" t="str">
        <f t="shared" si="187"/>
        <v/>
      </c>
      <c r="Z359" s="12" t="str">
        <f t="shared" si="188"/>
        <v/>
      </c>
      <c r="AA359" s="12" t="str">
        <f t="shared" si="189"/>
        <v/>
      </c>
      <c r="AB359" s="12" t="str">
        <f t="shared" si="190"/>
        <v/>
      </c>
      <c r="AC359" s="12" t="str">
        <f t="shared" si="191"/>
        <v/>
      </c>
      <c r="AD359" s="12" t="str">
        <f t="shared" si="192"/>
        <v/>
      </c>
      <c r="AE359" s="12" t="str">
        <f t="shared" si="193"/>
        <v/>
      </c>
      <c r="AF359" s="12" t="str">
        <f t="shared" si="194"/>
        <v/>
      </c>
      <c r="AG359" s="12"/>
      <c r="AH359" s="12" t="str">
        <f t="shared" si="195"/>
        <v/>
      </c>
      <c r="AI359" s="12" t="str">
        <f t="shared" si="196"/>
        <v/>
      </c>
      <c r="AJ359" s="12" t="str">
        <f t="shared" si="197"/>
        <v/>
      </c>
      <c r="AK359" s="12" t="str">
        <f t="shared" si="198"/>
        <v/>
      </c>
      <c r="AL359" s="12" t="str">
        <f t="shared" si="199"/>
        <v/>
      </c>
      <c r="AM359" s="12" t="str">
        <f t="shared" si="200"/>
        <v/>
      </c>
      <c r="AN359" s="12" t="str">
        <f t="shared" si="201"/>
        <v/>
      </c>
      <c r="AO359" s="12" t="str">
        <f t="shared" si="202"/>
        <v/>
      </c>
      <c r="AP359" s="12" t="str">
        <f t="shared" si="203"/>
        <v/>
      </c>
    </row>
    <row r="360" spans="1:42">
      <c r="A360" s="9" t="str">
        <f t="shared" si="204"/>
        <v/>
      </c>
      <c r="B360" s="22" t="str">
        <f t="shared" si="205"/>
        <v/>
      </c>
      <c r="C360" s="23" t="str">
        <f t="shared" si="206"/>
        <v/>
      </c>
      <c r="D360" s="24" t="str">
        <f t="shared" si="207"/>
        <v/>
      </c>
      <c r="E360" s="24" t="str">
        <f t="shared" si="208"/>
        <v/>
      </c>
      <c r="F360" s="25" t="str">
        <f t="shared" si="209"/>
        <v/>
      </c>
      <c r="G360" s="7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2"/>
      <c r="U360" s="12">
        <f t="shared" si="183"/>
        <v>0</v>
      </c>
      <c r="V360" s="28" t="str">
        <f t="shared" ca="1" si="184"/>
        <v/>
      </c>
      <c r="W360" s="28" t="str">
        <f t="shared" si="185"/>
        <v/>
      </c>
      <c r="X360" s="12" t="str">
        <f t="shared" si="186"/>
        <v/>
      </c>
      <c r="Y360" s="12" t="str">
        <f t="shared" si="187"/>
        <v/>
      </c>
      <c r="Z360" s="12" t="str">
        <f t="shared" si="188"/>
        <v/>
      </c>
      <c r="AA360" s="12" t="str">
        <f t="shared" si="189"/>
        <v/>
      </c>
      <c r="AB360" s="12" t="str">
        <f t="shared" si="190"/>
        <v/>
      </c>
      <c r="AC360" s="12" t="str">
        <f t="shared" si="191"/>
        <v/>
      </c>
      <c r="AD360" s="12" t="str">
        <f t="shared" si="192"/>
        <v/>
      </c>
      <c r="AE360" s="12" t="str">
        <f t="shared" si="193"/>
        <v/>
      </c>
      <c r="AF360" s="12" t="str">
        <f t="shared" si="194"/>
        <v/>
      </c>
      <c r="AG360" s="12"/>
      <c r="AH360" s="12" t="str">
        <f t="shared" si="195"/>
        <v/>
      </c>
      <c r="AI360" s="12" t="str">
        <f t="shared" si="196"/>
        <v/>
      </c>
      <c r="AJ360" s="12" t="str">
        <f t="shared" si="197"/>
        <v/>
      </c>
      <c r="AK360" s="12" t="str">
        <f t="shared" si="198"/>
        <v/>
      </c>
      <c r="AL360" s="12" t="str">
        <f t="shared" si="199"/>
        <v/>
      </c>
      <c r="AM360" s="12" t="str">
        <f t="shared" si="200"/>
        <v/>
      </c>
      <c r="AN360" s="12" t="str">
        <f t="shared" si="201"/>
        <v/>
      </c>
      <c r="AO360" s="12" t="str">
        <f t="shared" si="202"/>
        <v/>
      </c>
      <c r="AP360" s="12" t="str">
        <f t="shared" si="203"/>
        <v/>
      </c>
    </row>
    <row r="361" spans="1:42">
      <c r="A361" s="9" t="str">
        <f t="shared" si="204"/>
        <v/>
      </c>
      <c r="B361" s="22" t="str">
        <f t="shared" si="205"/>
        <v/>
      </c>
      <c r="C361" s="23" t="str">
        <f t="shared" si="206"/>
        <v/>
      </c>
      <c r="D361" s="24" t="str">
        <f t="shared" si="207"/>
        <v/>
      </c>
      <c r="E361" s="24" t="str">
        <f t="shared" si="208"/>
        <v/>
      </c>
      <c r="F361" s="25" t="str">
        <f t="shared" si="209"/>
        <v/>
      </c>
      <c r="G361" s="7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2"/>
      <c r="U361" s="12">
        <f t="shared" si="183"/>
        <v>0</v>
      </c>
      <c r="V361" s="28" t="str">
        <f t="shared" ca="1" si="184"/>
        <v/>
      </c>
      <c r="W361" s="28" t="str">
        <f t="shared" si="185"/>
        <v/>
      </c>
      <c r="X361" s="12" t="str">
        <f t="shared" si="186"/>
        <v/>
      </c>
      <c r="Y361" s="12" t="str">
        <f t="shared" si="187"/>
        <v/>
      </c>
      <c r="Z361" s="12" t="str">
        <f t="shared" si="188"/>
        <v/>
      </c>
      <c r="AA361" s="12" t="str">
        <f t="shared" si="189"/>
        <v/>
      </c>
      <c r="AB361" s="12" t="str">
        <f t="shared" si="190"/>
        <v/>
      </c>
      <c r="AC361" s="12" t="str">
        <f t="shared" si="191"/>
        <v/>
      </c>
      <c r="AD361" s="12" t="str">
        <f t="shared" si="192"/>
        <v/>
      </c>
      <c r="AE361" s="12" t="str">
        <f t="shared" si="193"/>
        <v/>
      </c>
      <c r="AF361" s="12" t="str">
        <f t="shared" si="194"/>
        <v/>
      </c>
      <c r="AG361" s="12"/>
      <c r="AH361" s="12" t="str">
        <f t="shared" si="195"/>
        <v/>
      </c>
      <c r="AI361" s="12" t="str">
        <f t="shared" si="196"/>
        <v/>
      </c>
      <c r="AJ361" s="12" t="str">
        <f t="shared" si="197"/>
        <v/>
      </c>
      <c r="AK361" s="12" t="str">
        <f t="shared" si="198"/>
        <v/>
      </c>
      <c r="AL361" s="12" t="str">
        <f t="shared" si="199"/>
        <v/>
      </c>
      <c r="AM361" s="12" t="str">
        <f t="shared" si="200"/>
        <v/>
      </c>
      <c r="AN361" s="12" t="str">
        <f t="shared" si="201"/>
        <v/>
      </c>
      <c r="AO361" s="12" t="str">
        <f t="shared" si="202"/>
        <v/>
      </c>
      <c r="AP361" s="12" t="str">
        <f t="shared" si="203"/>
        <v/>
      </c>
    </row>
    <row r="362" spans="1:42">
      <c r="A362" s="9" t="str">
        <f t="shared" si="204"/>
        <v/>
      </c>
      <c r="B362" s="22" t="str">
        <f t="shared" si="205"/>
        <v/>
      </c>
      <c r="C362" s="23" t="str">
        <f t="shared" si="206"/>
        <v/>
      </c>
      <c r="D362" s="24" t="str">
        <f t="shared" si="207"/>
        <v/>
      </c>
      <c r="E362" s="24" t="str">
        <f t="shared" si="208"/>
        <v/>
      </c>
      <c r="F362" s="25" t="str">
        <f t="shared" si="209"/>
        <v/>
      </c>
      <c r="G362" s="7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2"/>
      <c r="U362" s="12">
        <f t="shared" si="183"/>
        <v>0</v>
      </c>
      <c r="V362" s="28" t="str">
        <f t="shared" ca="1" si="184"/>
        <v/>
      </c>
      <c r="W362" s="28" t="str">
        <f t="shared" si="185"/>
        <v/>
      </c>
      <c r="X362" s="12" t="str">
        <f t="shared" si="186"/>
        <v/>
      </c>
      <c r="Y362" s="12" t="str">
        <f t="shared" si="187"/>
        <v/>
      </c>
      <c r="Z362" s="12" t="str">
        <f t="shared" si="188"/>
        <v/>
      </c>
      <c r="AA362" s="12" t="str">
        <f t="shared" si="189"/>
        <v/>
      </c>
      <c r="AB362" s="12" t="str">
        <f t="shared" si="190"/>
        <v/>
      </c>
      <c r="AC362" s="12" t="str">
        <f t="shared" si="191"/>
        <v/>
      </c>
      <c r="AD362" s="12" t="str">
        <f t="shared" si="192"/>
        <v/>
      </c>
      <c r="AE362" s="12" t="str">
        <f t="shared" si="193"/>
        <v/>
      </c>
      <c r="AF362" s="12" t="str">
        <f t="shared" si="194"/>
        <v/>
      </c>
      <c r="AG362" s="12"/>
      <c r="AH362" s="12" t="str">
        <f t="shared" si="195"/>
        <v/>
      </c>
      <c r="AI362" s="12" t="str">
        <f t="shared" si="196"/>
        <v/>
      </c>
      <c r="AJ362" s="12" t="str">
        <f t="shared" si="197"/>
        <v/>
      </c>
      <c r="AK362" s="12" t="str">
        <f t="shared" si="198"/>
        <v/>
      </c>
      <c r="AL362" s="12" t="str">
        <f t="shared" si="199"/>
        <v/>
      </c>
      <c r="AM362" s="12" t="str">
        <f t="shared" si="200"/>
        <v/>
      </c>
      <c r="AN362" s="12" t="str">
        <f t="shared" si="201"/>
        <v/>
      </c>
      <c r="AO362" s="12" t="str">
        <f t="shared" si="202"/>
        <v/>
      </c>
      <c r="AP362" s="12" t="str">
        <f t="shared" si="203"/>
        <v/>
      </c>
    </row>
    <row r="363" spans="1:42">
      <c r="A363" s="9" t="str">
        <f t="shared" si="204"/>
        <v/>
      </c>
      <c r="B363" s="22" t="str">
        <f t="shared" si="205"/>
        <v/>
      </c>
      <c r="C363" s="23" t="str">
        <f t="shared" si="206"/>
        <v/>
      </c>
      <c r="D363" s="24" t="str">
        <f t="shared" si="207"/>
        <v/>
      </c>
      <c r="E363" s="24" t="str">
        <f t="shared" si="208"/>
        <v/>
      </c>
      <c r="F363" s="25" t="str">
        <f t="shared" si="209"/>
        <v/>
      </c>
      <c r="G363" s="7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2"/>
      <c r="U363" s="12">
        <f t="shared" si="183"/>
        <v>0</v>
      </c>
      <c r="V363" s="28" t="str">
        <f t="shared" ca="1" si="184"/>
        <v/>
      </c>
      <c r="W363" s="28" t="str">
        <f t="shared" si="185"/>
        <v/>
      </c>
      <c r="X363" s="12" t="str">
        <f t="shared" si="186"/>
        <v/>
      </c>
      <c r="Y363" s="12" t="str">
        <f t="shared" si="187"/>
        <v/>
      </c>
      <c r="Z363" s="12" t="str">
        <f t="shared" si="188"/>
        <v/>
      </c>
      <c r="AA363" s="12" t="str">
        <f t="shared" si="189"/>
        <v/>
      </c>
      <c r="AB363" s="12" t="str">
        <f t="shared" si="190"/>
        <v/>
      </c>
      <c r="AC363" s="12" t="str">
        <f t="shared" si="191"/>
        <v/>
      </c>
      <c r="AD363" s="12" t="str">
        <f t="shared" si="192"/>
        <v/>
      </c>
      <c r="AE363" s="12" t="str">
        <f t="shared" si="193"/>
        <v/>
      </c>
      <c r="AF363" s="12" t="str">
        <f t="shared" si="194"/>
        <v/>
      </c>
      <c r="AG363" s="12"/>
      <c r="AH363" s="12" t="str">
        <f t="shared" si="195"/>
        <v/>
      </c>
      <c r="AI363" s="12" t="str">
        <f t="shared" si="196"/>
        <v/>
      </c>
      <c r="AJ363" s="12" t="str">
        <f t="shared" si="197"/>
        <v/>
      </c>
      <c r="AK363" s="12" t="str">
        <f t="shared" si="198"/>
        <v/>
      </c>
      <c r="AL363" s="12" t="str">
        <f t="shared" si="199"/>
        <v/>
      </c>
      <c r="AM363" s="12" t="str">
        <f t="shared" si="200"/>
        <v/>
      </c>
      <c r="AN363" s="12" t="str">
        <f t="shared" si="201"/>
        <v/>
      </c>
      <c r="AO363" s="12" t="str">
        <f t="shared" si="202"/>
        <v/>
      </c>
      <c r="AP363" s="12" t="str">
        <f t="shared" si="203"/>
        <v/>
      </c>
    </row>
    <row r="364" spans="1:42">
      <c r="A364" s="9" t="str">
        <f t="shared" si="204"/>
        <v/>
      </c>
      <c r="B364" s="22" t="str">
        <f t="shared" si="205"/>
        <v/>
      </c>
      <c r="C364" s="23" t="str">
        <f t="shared" si="206"/>
        <v/>
      </c>
      <c r="D364" s="24" t="str">
        <f t="shared" si="207"/>
        <v/>
      </c>
      <c r="E364" s="24" t="str">
        <f t="shared" si="208"/>
        <v/>
      </c>
      <c r="F364" s="25" t="str">
        <f t="shared" si="209"/>
        <v/>
      </c>
      <c r="G364" s="7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2"/>
      <c r="U364" s="12">
        <f t="shared" si="183"/>
        <v>0</v>
      </c>
      <c r="V364" s="28" t="str">
        <f t="shared" ca="1" si="184"/>
        <v/>
      </c>
      <c r="W364" s="28" t="str">
        <f t="shared" si="185"/>
        <v/>
      </c>
      <c r="X364" s="12" t="str">
        <f t="shared" si="186"/>
        <v/>
      </c>
      <c r="Y364" s="12" t="str">
        <f t="shared" si="187"/>
        <v/>
      </c>
      <c r="Z364" s="12" t="str">
        <f t="shared" si="188"/>
        <v/>
      </c>
      <c r="AA364" s="12" t="str">
        <f t="shared" si="189"/>
        <v/>
      </c>
      <c r="AB364" s="12" t="str">
        <f t="shared" si="190"/>
        <v/>
      </c>
      <c r="AC364" s="12" t="str">
        <f t="shared" si="191"/>
        <v/>
      </c>
      <c r="AD364" s="12" t="str">
        <f t="shared" si="192"/>
        <v/>
      </c>
      <c r="AE364" s="12" t="str">
        <f t="shared" si="193"/>
        <v/>
      </c>
      <c r="AF364" s="12" t="str">
        <f t="shared" si="194"/>
        <v/>
      </c>
      <c r="AG364" s="12"/>
      <c r="AH364" s="12" t="str">
        <f t="shared" si="195"/>
        <v/>
      </c>
      <c r="AI364" s="12" t="str">
        <f t="shared" si="196"/>
        <v/>
      </c>
      <c r="AJ364" s="12" t="str">
        <f t="shared" si="197"/>
        <v/>
      </c>
      <c r="AK364" s="12" t="str">
        <f t="shared" si="198"/>
        <v/>
      </c>
      <c r="AL364" s="12" t="str">
        <f t="shared" si="199"/>
        <v/>
      </c>
      <c r="AM364" s="12" t="str">
        <f t="shared" si="200"/>
        <v/>
      </c>
      <c r="AN364" s="12" t="str">
        <f t="shared" si="201"/>
        <v/>
      </c>
      <c r="AO364" s="12" t="str">
        <f t="shared" si="202"/>
        <v/>
      </c>
      <c r="AP364" s="12" t="str">
        <f t="shared" si="203"/>
        <v/>
      </c>
    </row>
    <row r="365" spans="1:42">
      <c r="A365" s="9" t="str">
        <f t="shared" si="204"/>
        <v/>
      </c>
      <c r="B365" s="22" t="str">
        <f t="shared" si="205"/>
        <v/>
      </c>
      <c r="C365" s="23" t="str">
        <f t="shared" si="206"/>
        <v/>
      </c>
      <c r="D365" s="24" t="str">
        <f t="shared" si="207"/>
        <v/>
      </c>
      <c r="E365" s="24" t="str">
        <f t="shared" si="208"/>
        <v/>
      </c>
      <c r="F365" s="25" t="str">
        <f t="shared" si="209"/>
        <v/>
      </c>
      <c r="G365" s="7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2"/>
      <c r="U365" s="12">
        <f t="shared" si="183"/>
        <v>0</v>
      </c>
      <c r="V365" s="28" t="str">
        <f t="shared" ca="1" si="184"/>
        <v/>
      </c>
      <c r="W365" s="28" t="str">
        <f t="shared" si="185"/>
        <v/>
      </c>
      <c r="X365" s="12" t="str">
        <f t="shared" si="186"/>
        <v/>
      </c>
      <c r="Y365" s="12" t="str">
        <f t="shared" si="187"/>
        <v/>
      </c>
      <c r="Z365" s="12" t="str">
        <f t="shared" si="188"/>
        <v/>
      </c>
      <c r="AA365" s="12" t="str">
        <f t="shared" si="189"/>
        <v/>
      </c>
      <c r="AB365" s="12" t="str">
        <f t="shared" si="190"/>
        <v/>
      </c>
      <c r="AC365" s="12" t="str">
        <f t="shared" si="191"/>
        <v/>
      </c>
      <c r="AD365" s="12" t="str">
        <f t="shared" si="192"/>
        <v/>
      </c>
      <c r="AE365" s="12" t="str">
        <f t="shared" si="193"/>
        <v/>
      </c>
      <c r="AF365" s="12" t="str">
        <f t="shared" si="194"/>
        <v/>
      </c>
      <c r="AG365" s="12"/>
      <c r="AH365" s="12" t="str">
        <f t="shared" si="195"/>
        <v/>
      </c>
      <c r="AI365" s="12" t="str">
        <f t="shared" si="196"/>
        <v/>
      </c>
      <c r="AJ365" s="12" t="str">
        <f t="shared" si="197"/>
        <v/>
      </c>
      <c r="AK365" s="12" t="str">
        <f t="shared" si="198"/>
        <v/>
      </c>
      <c r="AL365" s="12" t="str">
        <f t="shared" si="199"/>
        <v/>
      </c>
      <c r="AM365" s="12" t="str">
        <f t="shared" si="200"/>
        <v/>
      </c>
      <c r="AN365" s="12" t="str">
        <f t="shared" si="201"/>
        <v/>
      </c>
      <c r="AO365" s="12" t="str">
        <f t="shared" si="202"/>
        <v/>
      </c>
      <c r="AP365" s="12" t="str">
        <f t="shared" si="203"/>
        <v/>
      </c>
    </row>
    <row r="366" spans="1:42">
      <c r="A366" s="9" t="str">
        <f t="shared" si="204"/>
        <v/>
      </c>
      <c r="B366" s="22" t="str">
        <f t="shared" si="205"/>
        <v/>
      </c>
      <c r="C366" s="23" t="str">
        <f t="shared" si="206"/>
        <v/>
      </c>
      <c r="D366" s="24" t="str">
        <f t="shared" si="207"/>
        <v/>
      </c>
      <c r="E366" s="24" t="str">
        <f t="shared" si="208"/>
        <v/>
      </c>
      <c r="F366" s="25" t="str">
        <f t="shared" si="209"/>
        <v/>
      </c>
      <c r="G366" s="7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2"/>
      <c r="U366" s="12">
        <f t="shared" si="183"/>
        <v>0</v>
      </c>
      <c r="V366" s="28" t="str">
        <f t="shared" ca="1" si="184"/>
        <v/>
      </c>
      <c r="W366" s="28" t="str">
        <f t="shared" si="185"/>
        <v/>
      </c>
      <c r="X366" s="12" t="str">
        <f t="shared" si="186"/>
        <v/>
      </c>
      <c r="Y366" s="12" t="str">
        <f t="shared" si="187"/>
        <v/>
      </c>
      <c r="Z366" s="12" t="str">
        <f t="shared" si="188"/>
        <v/>
      </c>
      <c r="AA366" s="12" t="str">
        <f t="shared" si="189"/>
        <v/>
      </c>
      <c r="AB366" s="12" t="str">
        <f t="shared" si="190"/>
        <v/>
      </c>
      <c r="AC366" s="12" t="str">
        <f t="shared" si="191"/>
        <v/>
      </c>
      <c r="AD366" s="12" t="str">
        <f t="shared" si="192"/>
        <v/>
      </c>
      <c r="AE366" s="12" t="str">
        <f t="shared" si="193"/>
        <v/>
      </c>
      <c r="AF366" s="12" t="str">
        <f t="shared" si="194"/>
        <v/>
      </c>
      <c r="AG366" s="12"/>
      <c r="AH366" s="12" t="str">
        <f t="shared" si="195"/>
        <v/>
      </c>
      <c r="AI366" s="12" t="str">
        <f t="shared" si="196"/>
        <v/>
      </c>
      <c r="AJ366" s="12" t="str">
        <f t="shared" si="197"/>
        <v/>
      </c>
      <c r="AK366" s="12" t="str">
        <f t="shared" si="198"/>
        <v/>
      </c>
      <c r="AL366" s="12" t="str">
        <f t="shared" si="199"/>
        <v/>
      </c>
      <c r="AM366" s="12" t="str">
        <f t="shared" si="200"/>
        <v/>
      </c>
      <c r="AN366" s="12" t="str">
        <f t="shared" si="201"/>
        <v/>
      </c>
      <c r="AO366" s="12" t="str">
        <f t="shared" si="202"/>
        <v/>
      </c>
      <c r="AP366" s="12" t="str">
        <f t="shared" si="203"/>
        <v/>
      </c>
    </row>
    <row r="367" spans="1:42">
      <c r="A367" s="9" t="str">
        <f t="shared" si="204"/>
        <v/>
      </c>
      <c r="B367" s="22" t="str">
        <f t="shared" si="205"/>
        <v/>
      </c>
      <c r="C367" s="23" t="str">
        <f t="shared" si="206"/>
        <v/>
      </c>
      <c r="D367" s="24" t="str">
        <f t="shared" si="207"/>
        <v/>
      </c>
      <c r="E367" s="24" t="str">
        <f t="shared" si="208"/>
        <v/>
      </c>
      <c r="F367" s="25" t="str">
        <f t="shared" si="209"/>
        <v/>
      </c>
      <c r="G367" s="7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2"/>
      <c r="U367" s="12">
        <f t="shared" si="183"/>
        <v>0</v>
      </c>
      <c r="V367" s="28" t="str">
        <f t="shared" ca="1" si="184"/>
        <v/>
      </c>
      <c r="W367" s="28" t="str">
        <f t="shared" si="185"/>
        <v/>
      </c>
      <c r="X367" s="12" t="str">
        <f t="shared" si="186"/>
        <v/>
      </c>
      <c r="Y367" s="12" t="str">
        <f t="shared" si="187"/>
        <v/>
      </c>
      <c r="Z367" s="12" t="str">
        <f t="shared" si="188"/>
        <v/>
      </c>
      <c r="AA367" s="12" t="str">
        <f t="shared" si="189"/>
        <v/>
      </c>
      <c r="AB367" s="12" t="str">
        <f t="shared" si="190"/>
        <v/>
      </c>
      <c r="AC367" s="12" t="str">
        <f t="shared" si="191"/>
        <v/>
      </c>
      <c r="AD367" s="12" t="str">
        <f t="shared" si="192"/>
        <v/>
      </c>
      <c r="AE367" s="12" t="str">
        <f t="shared" si="193"/>
        <v/>
      </c>
      <c r="AF367" s="12" t="str">
        <f t="shared" si="194"/>
        <v/>
      </c>
      <c r="AG367" s="12"/>
      <c r="AH367" s="12" t="str">
        <f t="shared" si="195"/>
        <v/>
      </c>
      <c r="AI367" s="12" t="str">
        <f t="shared" si="196"/>
        <v/>
      </c>
      <c r="AJ367" s="12" t="str">
        <f t="shared" si="197"/>
        <v/>
      </c>
      <c r="AK367" s="12" t="str">
        <f t="shared" si="198"/>
        <v/>
      </c>
      <c r="AL367" s="12" t="str">
        <f t="shared" si="199"/>
        <v/>
      </c>
      <c r="AM367" s="12" t="str">
        <f t="shared" si="200"/>
        <v/>
      </c>
      <c r="AN367" s="12" t="str">
        <f t="shared" si="201"/>
        <v/>
      </c>
      <c r="AO367" s="12" t="str">
        <f t="shared" si="202"/>
        <v/>
      </c>
      <c r="AP367" s="12" t="str">
        <f t="shared" si="203"/>
        <v/>
      </c>
    </row>
    <row r="368" spans="1:42">
      <c r="A368" s="9" t="str">
        <f t="shared" si="204"/>
        <v/>
      </c>
      <c r="B368" s="22" t="str">
        <f t="shared" si="205"/>
        <v/>
      </c>
      <c r="C368" s="23" t="str">
        <f t="shared" si="206"/>
        <v/>
      </c>
      <c r="D368" s="24" t="str">
        <f t="shared" si="207"/>
        <v/>
      </c>
      <c r="E368" s="24" t="str">
        <f t="shared" si="208"/>
        <v/>
      </c>
      <c r="F368" s="25" t="str">
        <f t="shared" si="209"/>
        <v/>
      </c>
      <c r="G368" s="7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2"/>
      <c r="U368" s="12">
        <f t="shared" si="183"/>
        <v>0</v>
      </c>
      <c r="V368" s="28" t="str">
        <f t="shared" ca="1" si="184"/>
        <v/>
      </c>
      <c r="W368" s="28" t="str">
        <f t="shared" si="185"/>
        <v/>
      </c>
      <c r="X368" s="12" t="str">
        <f t="shared" si="186"/>
        <v/>
      </c>
      <c r="Y368" s="12" t="str">
        <f t="shared" si="187"/>
        <v/>
      </c>
      <c r="Z368" s="12" t="str">
        <f t="shared" si="188"/>
        <v/>
      </c>
      <c r="AA368" s="12" t="str">
        <f t="shared" si="189"/>
        <v/>
      </c>
      <c r="AB368" s="12" t="str">
        <f t="shared" si="190"/>
        <v/>
      </c>
      <c r="AC368" s="12" t="str">
        <f t="shared" si="191"/>
        <v/>
      </c>
      <c r="AD368" s="12" t="str">
        <f t="shared" si="192"/>
        <v/>
      </c>
      <c r="AE368" s="12" t="str">
        <f t="shared" si="193"/>
        <v/>
      </c>
      <c r="AF368" s="12" t="str">
        <f t="shared" si="194"/>
        <v/>
      </c>
      <c r="AG368" s="12"/>
      <c r="AH368" s="12" t="str">
        <f t="shared" si="195"/>
        <v/>
      </c>
      <c r="AI368" s="12" t="str">
        <f t="shared" si="196"/>
        <v/>
      </c>
      <c r="AJ368" s="12" t="str">
        <f t="shared" si="197"/>
        <v/>
      </c>
      <c r="AK368" s="12" t="str">
        <f t="shared" si="198"/>
        <v/>
      </c>
      <c r="AL368" s="12" t="str">
        <f t="shared" si="199"/>
        <v/>
      </c>
      <c r="AM368" s="12" t="str">
        <f t="shared" si="200"/>
        <v/>
      </c>
      <c r="AN368" s="12" t="str">
        <f t="shared" si="201"/>
        <v/>
      </c>
      <c r="AO368" s="12" t="str">
        <f t="shared" si="202"/>
        <v/>
      </c>
      <c r="AP368" s="12" t="str">
        <f t="shared" si="203"/>
        <v/>
      </c>
    </row>
    <row r="369" spans="1:42">
      <c r="A369" s="9" t="str">
        <f t="shared" si="204"/>
        <v/>
      </c>
      <c r="B369" s="22" t="str">
        <f t="shared" si="205"/>
        <v/>
      </c>
      <c r="C369" s="23" t="str">
        <f t="shared" si="206"/>
        <v/>
      </c>
      <c r="D369" s="24" t="str">
        <f t="shared" si="207"/>
        <v/>
      </c>
      <c r="E369" s="24" t="str">
        <f t="shared" si="208"/>
        <v/>
      </c>
      <c r="F369" s="25" t="str">
        <f t="shared" si="209"/>
        <v/>
      </c>
      <c r="G369" s="7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2"/>
      <c r="U369" s="12">
        <f t="shared" si="183"/>
        <v>0</v>
      </c>
      <c r="V369" s="28" t="str">
        <f t="shared" ca="1" si="184"/>
        <v/>
      </c>
      <c r="W369" s="28" t="str">
        <f t="shared" si="185"/>
        <v/>
      </c>
      <c r="X369" s="12" t="str">
        <f t="shared" si="186"/>
        <v/>
      </c>
      <c r="Y369" s="12" t="str">
        <f t="shared" si="187"/>
        <v/>
      </c>
      <c r="Z369" s="12" t="str">
        <f t="shared" si="188"/>
        <v/>
      </c>
      <c r="AA369" s="12" t="str">
        <f t="shared" si="189"/>
        <v/>
      </c>
      <c r="AB369" s="12" t="str">
        <f t="shared" si="190"/>
        <v/>
      </c>
      <c r="AC369" s="12" t="str">
        <f t="shared" si="191"/>
        <v/>
      </c>
      <c r="AD369" s="12" t="str">
        <f t="shared" si="192"/>
        <v/>
      </c>
      <c r="AE369" s="12" t="str">
        <f t="shared" si="193"/>
        <v/>
      </c>
      <c r="AF369" s="12" t="str">
        <f t="shared" si="194"/>
        <v/>
      </c>
      <c r="AG369" s="12"/>
      <c r="AH369" s="12" t="str">
        <f t="shared" si="195"/>
        <v/>
      </c>
      <c r="AI369" s="12" t="str">
        <f t="shared" si="196"/>
        <v/>
      </c>
      <c r="AJ369" s="12" t="str">
        <f t="shared" si="197"/>
        <v/>
      </c>
      <c r="AK369" s="12" t="str">
        <f t="shared" si="198"/>
        <v/>
      </c>
      <c r="AL369" s="12" t="str">
        <f t="shared" si="199"/>
        <v/>
      </c>
      <c r="AM369" s="12" t="str">
        <f t="shared" si="200"/>
        <v/>
      </c>
      <c r="AN369" s="12" t="str">
        <f t="shared" si="201"/>
        <v/>
      </c>
      <c r="AO369" s="12" t="str">
        <f t="shared" si="202"/>
        <v/>
      </c>
      <c r="AP369" s="12" t="str">
        <f t="shared" si="203"/>
        <v/>
      </c>
    </row>
    <row r="370" spans="1:42">
      <c r="A370" s="9" t="str">
        <f t="shared" si="204"/>
        <v/>
      </c>
      <c r="B370" s="22" t="str">
        <f t="shared" si="205"/>
        <v/>
      </c>
      <c r="C370" s="23" t="str">
        <f t="shared" si="206"/>
        <v/>
      </c>
      <c r="D370" s="24" t="str">
        <f t="shared" si="207"/>
        <v/>
      </c>
      <c r="E370" s="24" t="str">
        <f t="shared" si="208"/>
        <v/>
      </c>
      <c r="F370" s="25" t="str">
        <f t="shared" si="209"/>
        <v/>
      </c>
      <c r="G370" s="7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2"/>
      <c r="U370" s="12">
        <f t="shared" si="183"/>
        <v>0</v>
      </c>
      <c r="V370" s="28" t="str">
        <f t="shared" ca="1" si="184"/>
        <v/>
      </c>
      <c r="W370" s="28" t="str">
        <f t="shared" si="185"/>
        <v/>
      </c>
      <c r="X370" s="12" t="str">
        <f t="shared" si="186"/>
        <v/>
      </c>
      <c r="Y370" s="12" t="str">
        <f t="shared" si="187"/>
        <v/>
      </c>
      <c r="Z370" s="12" t="str">
        <f t="shared" si="188"/>
        <v/>
      </c>
      <c r="AA370" s="12" t="str">
        <f t="shared" si="189"/>
        <v/>
      </c>
      <c r="AB370" s="12" t="str">
        <f t="shared" si="190"/>
        <v/>
      </c>
      <c r="AC370" s="12" t="str">
        <f t="shared" si="191"/>
        <v/>
      </c>
      <c r="AD370" s="12" t="str">
        <f t="shared" si="192"/>
        <v/>
      </c>
      <c r="AE370" s="12" t="str">
        <f t="shared" si="193"/>
        <v/>
      </c>
      <c r="AF370" s="12" t="str">
        <f t="shared" si="194"/>
        <v/>
      </c>
      <c r="AG370" s="12"/>
      <c r="AH370" s="12" t="str">
        <f t="shared" si="195"/>
        <v/>
      </c>
      <c r="AI370" s="12" t="str">
        <f t="shared" si="196"/>
        <v/>
      </c>
      <c r="AJ370" s="12" t="str">
        <f t="shared" si="197"/>
        <v/>
      </c>
      <c r="AK370" s="12" t="str">
        <f t="shared" si="198"/>
        <v/>
      </c>
      <c r="AL370" s="12" t="str">
        <f t="shared" si="199"/>
        <v/>
      </c>
      <c r="AM370" s="12" t="str">
        <f t="shared" si="200"/>
        <v/>
      </c>
      <c r="AN370" s="12" t="str">
        <f t="shared" si="201"/>
        <v/>
      </c>
      <c r="AO370" s="12" t="str">
        <f t="shared" si="202"/>
        <v/>
      </c>
      <c r="AP370" s="12" t="str">
        <f t="shared" si="203"/>
        <v/>
      </c>
    </row>
    <row r="371" spans="1:42">
      <c r="A371" s="9" t="str">
        <f t="shared" si="204"/>
        <v/>
      </c>
      <c r="B371" s="22" t="str">
        <f t="shared" si="205"/>
        <v/>
      </c>
      <c r="C371" s="23" t="str">
        <f t="shared" si="206"/>
        <v/>
      </c>
      <c r="D371" s="24" t="str">
        <f t="shared" si="207"/>
        <v/>
      </c>
      <c r="E371" s="24" t="str">
        <f t="shared" si="208"/>
        <v/>
      </c>
      <c r="F371" s="25" t="str">
        <f t="shared" si="209"/>
        <v/>
      </c>
      <c r="G371" s="7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2"/>
      <c r="U371" s="12">
        <f t="shared" si="183"/>
        <v>0</v>
      </c>
      <c r="V371" s="28" t="str">
        <f t="shared" ca="1" si="184"/>
        <v/>
      </c>
      <c r="W371" s="28" t="str">
        <f t="shared" si="185"/>
        <v/>
      </c>
      <c r="X371" s="12" t="str">
        <f t="shared" si="186"/>
        <v/>
      </c>
      <c r="Y371" s="12" t="str">
        <f t="shared" si="187"/>
        <v/>
      </c>
      <c r="Z371" s="12" t="str">
        <f t="shared" si="188"/>
        <v/>
      </c>
      <c r="AA371" s="12" t="str">
        <f t="shared" si="189"/>
        <v/>
      </c>
      <c r="AB371" s="12" t="str">
        <f t="shared" si="190"/>
        <v/>
      </c>
      <c r="AC371" s="12" t="str">
        <f t="shared" si="191"/>
        <v/>
      </c>
      <c r="AD371" s="12" t="str">
        <f t="shared" si="192"/>
        <v/>
      </c>
      <c r="AE371" s="12" t="str">
        <f t="shared" si="193"/>
        <v/>
      </c>
      <c r="AF371" s="12" t="str">
        <f t="shared" si="194"/>
        <v/>
      </c>
      <c r="AG371" s="12"/>
      <c r="AH371" s="12" t="str">
        <f t="shared" si="195"/>
        <v/>
      </c>
      <c r="AI371" s="12" t="str">
        <f t="shared" si="196"/>
        <v/>
      </c>
      <c r="AJ371" s="12" t="str">
        <f t="shared" si="197"/>
        <v/>
      </c>
      <c r="AK371" s="12" t="str">
        <f t="shared" si="198"/>
        <v/>
      </c>
      <c r="AL371" s="12" t="str">
        <f t="shared" si="199"/>
        <v/>
      </c>
      <c r="AM371" s="12" t="str">
        <f t="shared" si="200"/>
        <v/>
      </c>
      <c r="AN371" s="12" t="str">
        <f t="shared" si="201"/>
        <v/>
      </c>
      <c r="AO371" s="12" t="str">
        <f t="shared" si="202"/>
        <v/>
      </c>
      <c r="AP371" s="12" t="str">
        <f t="shared" si="203"/>
        <v/>
      </c>
    </row>
    <row r="372" spans="1:42">
      <c r="A372" s="9" t="str">
        <f t="shared" si="204"/>
        <v/>
      </c>
      <c r="B372" s="22" t="str">
        <f t="shared" si="205"/>
        <v/>
      </c>
      <c r="C372" s="23" t="str">
        <f t="shared" si="206"/>
        <v/>
      </c>
      <c r="D372" s="24" t="str">
        <f t="shared" si="207"/>
        <v/>
      </c>
      <c r="E372" s="24" t="str">
        <f t="shared" si="208"/>
        <v/>
      </c>
      <c r="F372" s="25" t="str">
        <f t="shared" si="209"/>
        <v/>
      </c>
      <c r="G372" s="7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2"/>
      <c r="U372" s="12">
        <f t="shared" si="183"/>
        <v>0</v>
      </c>
      <c r="V372" s="28" t="str">
        <f t="shared" ca="1" si="184"/>
        <v/>
      </c>
      <c r="W372" s="28" t="str">
        <f t="shared" si="185"/>
        <v/>
      </c>
      <c r="X372" s="12" t="str">
        <f t="shared" si="186"/>
        <v/>
      </c>
      <c r="Y372" s="12" t="str">
        <f t="shared" si="187"/>
        <v/>
      </c>
      <c r="Z372" s="12" t="str">
        <f t="shared" si="188"/>
        <v/>
      </c>
      <c r="AA372" s="12" t="str">
        <f t="shared" si="189"/>
        <v/>
      </c>
      <c r="AB372" s="12" t="str">
        <f t="shared" si="190"/>
        <v/>
      </c>
      <c r="AC372" s="12" t="str">
        <f t="shared" si="191"/>
        <v/>
      </c>
      <c r="AD372" s="12" t="str">
        <f t="shared" si="192"/>
        <v/>
      </c>
      <c r="AE372" s="12" t="str">
        <f t="shared" si="193"/>
        <v/>
      </c>
      <c r="AF372" s="12" t="str">
        <f t="shared" si="194"/>
        <v/>
      </c>
      <c r="AG372" s="12"/>
      <c r="AH372" s="12" t="str">
        <f t="shared" si="195"/>
        <v/>
      </c>
      <c r="AI372" s="12" t="str">
        <f t="shared" si="196"/>
        <v/>
      </c>
      <c r="AJ372" s="12" t="str">
        <f t="shared" si="197"/>
        <v/>
      </c>
      <c r="AK372" s="12" t="str">
        <f t="shared" si="198"/>
        <v/>
      </c>
      <c r="AL372" s="12" t="str">
        <f t="shared" si="199"/>
        <v/>
      </c>
      <c r="AM372" s="12" t="str">
        <f t="shared" si="200"/>
        <v/>
      </c>
      <c r="AN372" s="12" t="str">
        <f t="shared" si="201"/>
        <v/>
      </c>
      <c r="AO372" s="12" t="str">
        <f t="shared" si="202"/>
        <v/>
      </c>
      <c r="AP372" s="12" t="str">
        <f t="shared" si="203"/>
        <v/>
      </c>
    </row>
    <row r="373" spans="1:42">
      <c r="A373" s="9" t="str">
        <f t="shared" si="204"/>
        <v/>
      </c>
      <c r="B373" s="22" t="str">
        <f t="shared" si="205"/>
        <v/>
      </c>
      <c r="C373" s="23" t="str">
        <f t="shared" si="206"/>
        <v/>
      </c>
      <c r="D373" s="24" t="str">
        <f t="shared" si="207"/>
        <v/>
      </c>
      <c r="E373" s="24" t="str">
        <f t="shared" si="208"/>
        <v/>
      </c>
      <c r="F373" s="25" t="str">
        <f t="shared" si="209"/>
        <v/>
      </c>
      <c r="G373" s="7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2"/>
      <c r="U373" s="12">
        <f t="shared" si="183"/>
        <v>0</v>
      </c>
      <c r="V373" s="28" t="str">
        <f t="shared" ca="1" si="184"/>
        <v/>
      </c>
      <c r="W373" s="28" t="str">
        <f t="shared" si="185"/>
        <v/>
      </c>
      <c r="X373" s="12" t="str">
        <f t="shared" si="186"/>
        <v/>
      </c>
      <c r="Y373" s="12" t="str">
        <f t="shared" si="187"/>
        <v/>
      </c>
      <c r="Z373" s="12" t="str">
        <f t="shared" si="188"/>
        <v/>
      </c>
      <c r="AA373" s="12" t="str">
        <f t="shared" si="189"/>
        <v/>
      </c>
      <c r="AB373" s="12" t="str">
        <f t="shared" si="190"/>
        <v/>
      </c>
      <c r="AC373" s="12" t="str">
        <f t="shared" si="191"/>
        <v/>
      </c>
      <c r="AD373" s="12" t="str">
        <f t="shared" si="192"/>
        <v/>
      </c>
      <c r="AE373" s="12" t="str">
        <f t="shared" si="193"/>
        <v/>
      </c>
      <c r="AF373" s="12" t="str">
        <f t="shared" si="194"/>
        <v/>
      </c>
      <c r="AG373" s="12"/>
      <c r="AH373" s="12" t="str">
        <f t="shared" si="195"/>
        <v/>
      </c>
      <c r="AI373" s="12" t="str">
        <f t="shared" si="196"/>
        <v/>
      </c>
      <c r="AJ373" s="12" t="str">
        <f t="shared" si="197"/>
        <v/>
      </c>
      <c r="AK373" s="12" t="str">
        <f t="shared" si="198"/>
        <v/>
      </c>
      <c r="AL373" s="12" t="str">
        <f t="shared" si="199"/>
        <v/>
      </c>
      <c r="AM373" s="12" t="str">
        <f t="shared" si="200"/>
        <v/>
      </c>
      <c r="AN373" s="12" t="str">
        <f t="shared" si="201"/>
        <v/>
      </c>
      <c r="AO373" s="12" t="str">
        <f t="shared" si="202"/>
        <v/>
      </c>
      <c r="AP373" s="12" t="str">
        <f t="shared" si="203"/>
        <v/>
      </c>
    </row>
    <row r="374" spans="1:42">
      <c r="A374" s="9" t="str">
        <f t="shared" si="204"/>
        <v/>
      </c>
      <c r="B374" s="22" t="str">
        <f t="shared" si="205"/>
        <v/>
      </c>
      <c r="C374" s="23" t="str">
        <f t="shared" si="206"/>
        <v/>
      </c>
      <c r="D374" s="24" t="str">
        <f t="shared" si="207"/>
        <v/>
      </c>
      <c r="E374" s="24" t="str">
        <f t="shared" si="208"/>
        <v/>
      </c>
      <c r="F374" s="25" t="str">
        <f t="shared" si="209"/>
        <v/>
      </c>
      <c r="G374" s="7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2"/>
      <c r="U374" s="12">
        <f t="shared" si="183"/>
        <v>0</v>
      </c>
      <c r="V374" s="28" t="str">
        <f t="shared" ca="1" si="184"/>
        <v/>
      </c>
      <c r="W374" s="28" t="str">
        <f t="shared" si="185"/>
        <v/>
      </c>
      <c r="X374" s="12" t="str">
        <f t="shared" si="186"/>
        <v/>
      </c>
      <c r="Y374" s="12" t="str">
        <f t="shared" si="187"/>
        <v/>
      </c>
      <c r="Z374" s="12" t="str">
        <f t="shared" si="188"/>
        <v/>
      </c>
      <c r="AA374" s="12" t="str">
        <f t="shared" si="189"/>
        <v/>
      </c>
      <c r="AB374" s="12" t="str">
        <f t="shared" si="190"/>
        <v/>
      </c>
      <c r="AC374" s="12" t="str">
        <f t="shared" si="191"/>
        <v/>
      </c>
      <c r="AD374" s="12" t="str">
        <f t="shared" si="192"/>
        <v/>
      </c>
      <c r="AE374" s="12" t="str">
        <f t="shared" si="193"/>
        <v/>
      </c>
      <c r="AF374" s="12" t="str">
        <f t="shared" si="194"/>
        <v/>
      </c>
      <c r="AG374" s="12"/>
      <c r="AH374" s="12" t="str">
        <f t="shared" si="195"/>
        <v/>
      </c>
      <c r="AI374" s="12" t="str">
        <f t="shared" si="196"/>
        <v/>
      </c>
      <c r="AJ374" s="12" t="str">
        <f t="shared" si="197"/>
        <v/>
      </c>
      <c r="AK374" s="12" t="str">
        <f t="shared" si="198"/>
        <v/>
      </c>
      <c r="AL374" s="12" t="str">
        <f t="shared" si="199"/>
        <v/>
      </c>
      <c r="AM374" s="12" t="str">
        <f t="shared" si="200"/>
        <v/>
      </c>
      <c r="AN374" s="12" t="str">
        <f t="shared" si="201"/>
        <v/>
      </c>
      <c r="AO374" s="12" t="str">
        <f t="shared" si="202"/>
        <v/>
      </c>
      <c r="AP374" s="12" t="str">
        <f t="shared" si="203"/>
        <v/>
      </c>
    </row>
    <row r="375" spans="1:42">
      <c r="A375" s="9" t="str">
        <f t="shared" si="204"/>
        <v/>
      </c>
      <c r="B375" s="22" t="str">
        <f t="shared" si="205"/>
        <v/>
      </c>
      <c r="C375" s="23" t="str">
        <f t="shared" si="206"/>
        <v/>
      </c>
      <c r="D375" s="24" t="str">
        <f t="shared" si="207"/>
        <v/>
      </c>
      <c r="E375" s="24" t="str">
        <f t="shared" si="208"/>
        <v/>
      </c>
      <c r="F375" s="25" t="str">
        <f t="shared" si="209"/>
        <v/>
      </c>
      <c r="G375" s="7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2"/>
      <c r="U375" s="12">
        <f t="shared" si="183"/>
        <v>0</v>
      </c>
      <c r="V375" s="28" t="str">
        <f t="shared" ca="1" si="184"/>
        <v/>
      </c>
      <c r="W375" s="28" t="str">
        <f t="shared" si="185"/>
        <v/>
      </c>
      <c r="X375" s="12" t="str">
        <f t="shared" si="186"/>
        <v/>
      </c>
      <c r="Y375" s="12" t="str">
        <f t="shared" si="187"/>
        <v/>
      </c>
      <c r="Z375" s="12" t="str">
        <f t="shared" si="188"/>
        <v/>
      </c>
      <c r="AA375" s="12" t="str">
        <f t="shared" si="189"/>
        <v/>
      </c>
      <c r="AB375" s="12" t="str">
        <f t="shared" si="190"/>
        <v/>
      </c>
      <c r="AC375" s="12" t="str">
        <f t="shared" si="191"/>
        <v/>
      </c>
      <c r="AD375" s="12" t="str">
        <f t="shared" si="192"/>
        <v/>
      </c>
      <c r="AE375" s="12" t="str">
        <f t="shared" si="193"/>
        <v/>
      </c>
      <c r="AF375" s="12" t="str">
        <f t="shared" si="194"/>
        <v/>
      </c>
      <c r="AG375" s="12"/>
      <c r="AH375" s="12" t="str">
        <f t="shared" si="195"/>
        <v/>
      </c>
      <c r="AI375" s="12" t="str">
        <f t="shared" si="196"/>
        <v/>
      </c>
      <c r="AJ375" s="12" t="str">
        <f t="shared" si="197"/>
        <v/>
      </c>
      <c r="AK375" s="12" t="str">
        <f t="shared" si="198"/>
        <v/>
      </c>
      <c r="AL375" s="12" t="str">
        <f t="shared" si="199"/>
        <v/>
      </c>
      <c r="AM375" s="12" t="str">
        <f t="shared" si="200"/>
        <v/>
      </c>
      <c r="AN375" s="12" t="str">
        <f t="shared" si="201"/>
        <v/>
      </c>
      <c r="AO375" s="12" t="str">
        <f t="shared" si="202"/>
        <v/>
      </c>
      <c r="AP375" s="12" t="str">
        <f t="shared" si="203"/>
        <v/>
      </c>
    </row>
    <row r="376" spans="1:42">
      <c r="A376" s="9" t="str">
        <f t="shared" si="204"/>
        <v/>
      </c>
      <c r="B376" s="22" t="str">
        <f t="shared" si="205"/>
        <v/>
      </c>
      <c r="C376" s="23" t="str">
        <f t="shared" si="206"/>
        <v/>
      </c>
      <c r="D376" s="24" t="str">
        <f t="shared" si="207"/>
        <v/>
      </c>
      <c r="E376" s="24" t="str">
        <f t="shared" si="208"/>
        <v/>
      </c>
      <c r="F376" s="25" t="str">
        <f t="shared" si="209"/>
        <v/>
      </c>
      <c r="G376" s="7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2"/>
      <c r="U376" s="12">
        <f t="shared" si="183"/>
        <v>0</v>
      </c>
      <c r="V376" s="28" t="str">
        <f t="shared" ca="1" si="184"/>
        <v/>
      </c>
      <c r="W376" s="28" t="str">
        <f t="shared" si="185"/>
        <v/>
      </c>
      <c r="X376" s="12" t="str">
        <f t="shared" si="186"/>
        <v/>
      </c>
      <c r="Y376" s="12" t="str">
        <f t="shared" si="187"/>
        <v/>
      </c>
      <c r="Z376" s="12" t="str">
        <f t="shared" si="188"/>
        <v/>
      </c>
      <c r="AA376" s="12" t="str">
        <f t="shared" si="189"/>
        <v/>
      </c>
      <c r="AB376" s="12" t="str">
        <f t="shared" si="190"/>
        <v/>
      </c>
      <c r="AC376" s="12" t="str">
        <f t="shared" si="191"/>
        <v/>
      </c>
      <c r="AD376" s="12" t="str">
        <f t="shared" si="192"/>
        <v/>
      </c>
      <c r="AE376" s="12" t="str">
        <f t="shared" si="193"/>
        <v/>
      </c>
      <c r="AF376" s="12" t="str">
        <f t="shared" si="194"/>
        <v/>
      </c>
      <c r="AG376" s="12"/>
      <c r="AH376" s="12" t="str">
        <f t="shared" si="195"/>
        <v/>
      </c>
      <c r="AI376" s="12" t="str">
        <f t="shared" si="196"/>
        <v/>
      </c>
      <c r="AJ376" s="12" t="str">
        <f t="shared" si="197"/>
        <v/>
      </c>
      <c r="AK376" s="12" t="str">
        <f t="shared" si="198"/>
        <v/>
      </c>
      <c r="AL376" s="12" t="str">
        <f t="shared" si="199"/>
        <v/>
      </c>
      <c r="AM376" s="12" t="str">
        <f t="shared" si="200"/>
        <v/>
      </c>
      <c r="AN376" s="12" t="str">
        <f t="shared" si="201"/>
        <v/>
      </c>
      <c r="AO376" s="12" t="str">
        <f t="shared" si="202"/>
        <v/>
      </c>
      <c r="AP376" s="12" t="str">
        <f t="shared" si="203"/>
        <v/>
      </c>
    </row>
    <row r="377" spans="1:42">
      <c r="A377" s="9" t="str">
        <f t="shared" si="204"/>
        <v/>
      </c>
      <c r="B377" s="22" t="str">
        <f t="shared" si="205"/>
        <v/>
      </c>
      <c r="C377" s="23" t="str">
        <f t="shared" si="206"/>
        <v/>
      </c>
      <c r="D377" s="24" t="str">
        <f t="shared" si="207"/>
        <v/>
      </c>
      <c r="E377" s="24" t="str">
        <f t="shared" si="208"/>
        <v/>
      </c>
      <c r="F377" s="25" t="str">
        <f t="shared" si="209"/>
        <v/>
      </c>
      <c r="G377" s="7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2"/>
      <c r="U377" s="12">
        <f t="shared" si="183"/>
        <v>0</v>
      </c>
      <c r="V377" s="28" t="str">
        <f t="shared" ca="1" si="184"/>
        <v/>
      </c>
      <c r="W377" s="28" t="str">
        <f t="shared" si="185"/>
        <v/>
      </c>
      <c r="X377" s="12" t="str">
        <f t="shared" si="186"/>
        <v/>
      </c>
      <c r="Y377" s="12" t="str">
        <f t="shared" si="187"/>
        <v/>
      </c>
      <c r="Z377" s="12" t="str">
        <f t="shared" si="188"/>
        <v/>
      </c>
      <c r="AA377" s="12" t="str">
        <f t="shared" si="189"/>
        <v/>
      </c>
      <c r="AB377" s="12" t="str">
        <f t="shared" si="190"/>
        <v/>
      </c>
      <c r="AC377" s="12" t="str">
        <f t="shared" si="191"/>
        <v/>
      </c>
      <c r="AD377" s="12" t="str">
        <f t="shared" si="192"/>
        <v/>
      </c>
      <c r="AE377" s="12" t="str">
        <f t="shared" si="193"/>
        <v/>
      </c>
      <c r="AF377" s="12" t="str">
        <f t="shared" si="194"/>
        <v/>
      </c>
      <c r="AG377" s="12"/>
      <c r="AH377" s="12" t="str">
        <f t="shared" si="195"/>
        <v/>
      </c>
      <c r="AI377" s="12" t="str">
        <f t="shared" si="196"/>
        <v/>
      </c>
      <c r="AJ377" s="12" t="str">
        <f t="shared" si="197"/>
        <v/>
      </c>
      <c r="AK377" s="12" t="str">
        <f t="shared" si="198"/>
        <v/>
      </c>
      <c r="AL377" s="12" t="str">
        <f t="shared" si="199"/>
        <v/>
      </c>
      <c r="AM377" s="12" t="str">
        <f t="shared" si="200"/>
        <v/>
      </c>
      <c r="AN377" s="12" t="str">
        <f t="shared" si="201"/>
        <v/>
      </c>
      <c r="AO377" s="12" t="str">
        <f t="shared" si="202"/>
        <v/>
      </c>
      <c r="AP377" s="12" t="str">
        <f t="shared" si="203"/>
        <v/>
      </c>
    </row>
    <row r="378" spans="1:42">
      <c r="A378" s="9" t="str">
        <f t="shared" si="204"/>
        <v/>
      </c>
      <c r="B378" s="22" t="str">
        <f t="shared" si="205"/>
        <v/>
      </c>
      <c r="C378" s="23" t="str">
        <f t="shared" si="206"/>
        <v/>
      </c>
      <c r="D378" s="24" t="str">
        <f t="shared" si="207"/>
        <v/>
      </c>
      <c r="E378" s="24" t="str">
        <f t="shared" si="208"/>
        <v/>
      </c>
      <c r="F378" s="25" t="str">
        <f t="shared" si="209"/>
        <v/>
      </c>
      <c r="G378" s="7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2"/>
      <c r="U378" s="12">
        <f t="shared" si="183"/>
        <v>0</v>
      </c>
      <c r="V378" s="28" t="str">
        <f t="shared" ca="1" si="184"/>
        <v/>
      </c>
      <c r="W378" s="28" t="str">
        <f t="shared" si="185"/>
        <v/>
      </c>
      <c r="X378" s="12" t="str">
        <f t="shared" si="186"/>
        <v/>
      </c>
      <c r="Y378" s="12" t="str">
        <f t="shared" si="187"/>
        <v/>
      </c>
      <c r="Z378" s="12" t="str">
        <f t="shared" si="188"/>
        <v/>
      </c>
      <c r="AA378" s="12" t="str">
        <f t="shared" si="189"/>
        <v/>
      </c>
      <c r="AB378" s="12" t="str">
        <f t="shared" si="190"/>
        <v/>
      </c>
      <c r="AC378" s="12" t="str">
        <f t="shared" si="191"/>
        <v/>
      </c>
      <c r="AD378" s="12" t="str">
        <f t="shared" si="192"/>
        <v/>
      </c>
      <c r="AE378" s="12" t="str">
        <f t="shared" si="193"/>
        <v/>
      </c>
      <c r="AF378" s="12" t="str">
        <f t="shared" si="194"/>
        <v/>
      </c>
      <c r="AG378" s="12"/>
      <c r="AH378" s="12" t="str">
        <f t="shared" si="195"/>
        <v/>
      </c>
      <c r="AI378" s="12" t="str">
        <f t="shared" si="196"/>
        <v/>
      </c>
      <c r="AJ378" s="12" t="str">
        <f t="shared" si="197"/>
        <v/>
      </c>
      <c r="AK378" s="12" t="str">
        <f t="shared" si="198"/>
        <v/>
      </c>
      <c r="AL378" s="12" t="str">
        <f t="shared" si="199"/>
        <v/>
      </c>
      <c r="AM378" s="12" t="str">
        <f t="shared" si="200"/>
        <v/>
      </c>
      <c r="AN378" s="12" t="str">
        <f t="shared" si="201"/>
        <v/>
      </c>
      <c r="AO378" s="12" t="str">
        <f t="shared" si="202"/>
        <v/>
      </c>
      <c r="AP378" s="12" t="str">
        <f t="shared" si="203"/>
        <v/>
      </c>
    </row>
    <row r="379" spans="1:42">
      <c r="A379" s="9" t="str">
        <f t="shared" si="204"/>
        <v/>
      </c>
      <c r="B379" s="22" t="str">
        <f t="shared" si="205"/>
        <v/>
      </c>
      <c r="C379" s="23" t="str">
        <f t="shared" si="206"/>
        <v/>
      </c>
      <c r="D379" s="24" t="str">
        <f t="shared" si="207"/>
        <v/>
      </c>
      <c r="E379" s="24" t="str">
        <f t="shared" si="208"/>
        <v/>
      </c>
      <c r="F379" s="25" t="str">
        <f t="shared" si="209"/>
        <v/>
      </c>
      <c r="G379" s="7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2"/>
      <c r="U379" s="12">
        <f t="shared" si="183"/>
        <v>0</v>
      </c>
      <c r="V379" s="28" t="str">
        <f t="shared" ca="1" si="184"/>
        <v/>
      </c>
      <c r="W379" s="28" t="str">
        <f t="shared" si="185"/>
        <v/>
      </c>
      <c r="X379" s="12" t="str">
        <f t="shared" si="186"/>
        <v/>
      </c>
      <c r="Y379" s="12" t="str">
        <f t="shared" si="187"/>
        <v/>
      </c>
      <c r="Z379" s="12" t="str">
        <f t="shared" si="188"/>
        <v/>
      </c>
      <c r="AA379" s="12" t="str">
        <f t="shared" si="189"/>
        <v/>
      </c>
      <c r="AB379" s="12" t="str">
        <f t="shared" si="190"/>
        <v/>
      </c>
      <c r="AC379" s="12" t="str">
        <f t="shared" si="191"/>
        <v/>
      </c>
      <c r="AD379" s="12" t="str">
        <f t="shared" si="192"/>
        <v/>
      </c>
      <c r="AE379" s="12" t="str">
        <f t="shared" si="193"/>
        <v/>
      </c>
      <c r="AF379" s="12" t="str">
        <f t="shared" si="194"/>
        <v/>
      </c>
      <c r="AG379" s="12"/>
      <c r="AH379" s="12" t="str">
        <f t="shared" si="195"/>
        <v/>
      </c>
      <c r="AI379" s="12" t="str">
        <f t="shared" si="196"/>
        <v/>
      </c>
      <c r="AJ379" s="12" t="str">
        <f t="shared" si="197"/>
        <v/>
      </c>
      <c r="AK379" s="12" t="str">
        <f t="shared" si="198"/>
        <v/>
      </c>
      <c r="AL379" s="12" t="str">
        <f t="shared" si="199"/>
        <v/>
      </c>
      <c r="AM379" s="12" t="str">
        <f t="shared" si="200"/>
        <v/>
      </c>
      <c r="AN379" s="12" t="str">
        <f t="shared" si="201"/>
        <v/>
      </c>
      <c r="AO379" s="12" t="str">
        <f t="shared" si="202"/>
        <v/>
      </c>
      <c r="AP379" s="12" t="str">
        <f t="shared" si="203"/>
        <v/>
      </c>
    </row>
    <row r="380" spans="1:42">
      <c r="A380" s="9" t="str">
        <f t="shared" si="204"/>
        <v/>
      </c>
      <c r="B380" s="22" t="str">
        <f t="shared" si="205"/>
        <v/>
      </c>
      <c r="C380" s="23" t="str">
        <f t="shared" si="206"/>
        <v/>
      </c>
      <c r="D380" s="24" t="str">
        <f t="shared" si="207"/>
        <v/>
      </c>
      <c r="E380" s="24" t="str">
        <f t="shared" si="208"/>
        <v/>
      </c>
      <c r="F380" s="25" t="str">
        <f t="shared" si="209"/>
        <v/>
      </c>
      <c r="G380" s="7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2"/>
      <c r="U380" s="12">
        <f t="shared" si="183"/>
        <v>0</v>
      </c>
      <c r="V380" s="28" t="str">
        <f t="shared" ca="1" si="184"/>
        <v/>
      </c>
      <c r="W380" s="28" t="str">
        <f t="shared" si="185"/>
        <v/>
      </c>
      <c r="X380" s="12" t="str">
        <f t="shared" si="186"/>
        <v/>
      </c>
      <c r="Y380" s="12" t="str">
        <f t="shared" si="187"/>
        <v/>
      </c>
      <c r="Z380" s="12" t="str">
        <f t="shared" si="188"/>
        <v/>
      </c>
      <c r="AA380" s="12" t="str">
        <f t="shared" si="189"/>
        <v/>
      </c>
      <c r="AB380" s="12" t="str">
        <f t="shared" si="190"/>
        <v/>
      </c>
      <c r="AC380" s="12" t="str">
        <f t="shared" si="191"/>
        <v/>
      </c>
      <c r="AD380" s="12" t="str">
        <f t="shared" si="192"/>
        <v/>
      </c>
      <c r="AE380" s="12" t="str">
        <f t="shared" si="193"/>
        <v/>
      </c>
      <c r="AF380" s="12" t="str">
        <f t="shared" si="194"/>
        <v/>
      </c>
      <c r="AG380" s="12"/>
      <c r="AH380" s="12" t="str">
        <f t="shared" si="195"/>
        <v/>
      </c>
      <c r="AI380" s="12" t="str">
        <f t="shared" si="196"/>
        <v/>
      </c>
      <c r="AJ380" s="12" t="str">
        <f t="shared" si="197"/>
        <v/>
      </c>
      <c r="AK380" s="12" t="str">
        <f t="shared" si="198"/>
        <v/>
      </c>
      <c r="AL380" s="12" t="str">
        <f t="shared" si="199"/>
        <v/>
      </c>
      <c r="AM380" s="12" t="str">
        <f t="shared" si="200"/>
        <v/>
      </c>
      <c r="AN380" s="12" t="str">
        <f t="shared" si="201"/>
        <v/>
      </c>
      <c r="AO380" s="12" t="str">
        <f t="shared" si="202"/>
        <v/>
      </c>
      <c r="AP380" s="12" t="str">
        <f t="shared" si="203"/>
        <v/>
      </c>
    </row>
    <row r="381" spans="1:42">
      <c r="A381" s="9" t="str">
        <f t="shared" si="204"/>
        <v/>
      </c>
      <c r="B381" s="22" t="str">
        <f t="shared" si="205"/>
        <v/>
      </c>
      <c r="C381" s="23" t="str">
        <f t="shared" si="206"/>
        <v/>
      </c>
      <c r="D381" s="24" t="str">
        <f t="shared" si="207"/>
        <v/>
      </c>
      <c r="E381" s="24" t="str">
        <f t="shared" si="208"/>
        <v/>
      </c>
      <c r="F381" s="25" t="str">
        <f t="shared" si="209"/>
        <v/>
      </c>
      <c r="G381" s="7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2"/>
      <c r="U381" s="12">
        <f t="shared" si="183"/>
        <v>0</v>
      </c>
      <c r="V381" s="28" t="str">
        <f t="shared" ca="1" si="184"/>
        <v/>
      </c>
      <c r="W381" s="28" t="str">
        <f t="shared" si="185"/>
        <v/>
      </c>
      <c r="X381" s="12" t="str">
        <f t="shared" si="186"/>
        <v/>
      </c>
      <c r="Y381" s="12" t="str">
        <f t="shared" si="187"/>
        <v/>
      </c>
      <c r="Z381" s="12" t="str">
        <f t="shared" si="188"/>
        <v/>
      </c>
      <c r="AA381" s="12" t="str">
        <f t="shared" si="189"/>
        <v/>
      </c>
      <c r="AB381" s="12" t="str">
        <f t="shared" si="190"/>
        <v/>
      </c>
      <c r="AC381" s="12" t="str">
        <f t="shared" si="191"/>
        <v/>
      </c>
      <c r="AD381" s="12" t="str">
        <f t="shared" si="192"/>
        <v/>
      </c>
      <c r="AE381" s="12" t="str">
        <f t="shared" si="193"/>
        <v/>
      </c>
      <c r="AF381" s="12" t="str">
        <f t="shared" si="194"/>
        <v/>
      </c>
      <c r="AG381" s="12"/>
      <c r="AH381" s="12" t="str">
        <f t="shared" si="195"/>
        <v/>
      </c>
      <c r="AI381" s="12" t="str">
        <f t="shared" si="196"/>
        <v/>
      </c>
      <c r="AJ381" s="12" t="str">
        <f t="shared" si="197"/>
        <v/>
      </c>
      <c r="AK381" s="12" t="str">
        <f t="shared" si="198"/>
        <v/>
      </c>
      <c r="AL381" s="12" t="str">
        <f t="shared" si="199"/>
        <v/>
      </c>
      <c r="AM381" s="12" t="str">
        <f t="shared" si="200"/>
        <v/>
      </c>
      <c r="AN381" s="12" t="str">
        <f t="shared" si="201"/>
        <v/>
      </c>
      <c r="AO381" s="12" t="str">
        <f t="shared" si="202"/>
        <v/>
      </c>
      <c r="AP381" s="12" t="str">
        <f t="shared" si="203"/>
        <v/>
      </c>
    </row>
    <row r="382" spans="1:42">
      <c r="A382" s="9" t="str">
        <f t="shared" si="204"/>
        <v/>
      </c>
      <c r="B382" s="22" t="str">
        <f t="shared" si="205"/>
        <v/>
      </c>
      <c r="C382" s="23" t="str">
        <f t="shared" si="206"/>
        <v/>
      </c>
      <c r="D382" s="24" t="str">
        <f t="shared" si="207"/>
        <v/>
      </c>
      <c r="E382" s="24" t="str">
        <f t="shared" si="208"/>
        <v/>
      </c>
      <c r="F382" s="25" t="str">
        <f t="shared" si="209"/>
        <v/>
      </c>
      <c r="G382" s="7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2"/>
      <c r="U382" s="12">
        <f t="shared" si="183"/>
        <v>0</v>
      </c>
      <c r="V382" s="28" t="str">
        <f t="shared" ca="1" si="184"/>
        <v/>
      </c>
      <c r="W382" s="28" t="str">
        <f t="shared" si="185"/>
        <v/>
      </c>
      <c r="X382" s="12" t="str">
        <f t="shared" si="186"/>
        <v/>
      </c>
      <c r="Y382" s="12" t="str">
        <f t="shared" si="187"/>
        <v/>
      </c>
      <c r="Z382" s="12" t="str">
        <f t="shared" si="188"/>
        <v/>
      </c>
      <c r="AA382" s="12" t="str">
        <f t="shared" si="189"/>
        <v/>
      </c>
      <c r="AB382" s="12" t="str">
        <f t="shared" si="190"/>
        <v/>
      </c>
      <c r="AC382" s="12" t="str">
        <f t="shared" si="191"/>
        <v/>
      </c>
      <c r="AD382" s="12" t="str">
        <f t="shared" si="192"/>
        <v/>
      </c>
      <c r="AE382" s="12" t="str">
        <f t="shared" si="193"/>
        <v/>
      </c>
      <c r="AF382" s="12" t="str">
        <f t="shared" si="194"/>
        <v/>
      </c>
      <c r="AG382" s="12"/>
      <c r="AH382" s="12" t="str">
        <f t="shared" si="195"/>
        <v/>
      </c>
      <c r="AI382" s="12" t="str">
        <f t="shared" si="196"/>
        <v/>
      </c>
      <c r="AJ382" s="12" t="str">
        <f t="shared" si="197"/>
        <v/>
      </c>
      <c r="AK382" s="12" t="str">
        <f t="shared" si="198"/>
        <v/>
      </c>
      <c r="AL382" s="12" t="str">
        <f t="shared" si="199"/>
        <v/>
      </c>
      <c r="AM382" s="12" t="str">
        <f t="shared" si="200"/>
        <v/>
      </c>
      <c r="AN382" s="12" t="str">
        <f t="shared" si="201"/>
        <v/>
      </c>
      <c r="AO382" s="12" t="str">
        <f t="shared" si="202"/>
        <v/>
      </c>
      <c r="AP382" s="12" t="str">
        <f t="shared" si="203"/>
        <v/>
      </c>
    </row>
    <row r="383" spans="1:42">
      <c r="A383" s="9" t="str">
        <f t="shared" si="204"/>
        <v/>
      </c>
      <c r="B383" s="22" t="str">
        <f t="shared" si="205"/>
        <v/>
      </c>
      <c r="C383" s="23" t="str">
        <f t="shared" si="206"/>
        <v/>
      </c>
      <c r="D383" s="24" t="str">
        <f t="shared" si="207"/>
        <v/>
      </c>
      <c r="E383" s="24" t="str">
        <f t="shared" si="208"/>
        <v/>
      </c>
      <c r="F383" s="25" t="str">
        <f t="shared" si="209"/>
        <v/>
      </c>
      <c r="G383" s="7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2"/>
      <c r="U383" s="12">
        <f t="shared" ref="U383:U446" si="210">MIN(COUNTA(K$25:S$25),COUNTA(K383:S383))</f>
        <v>0</v>
      </c>
      <c r="V383" s="28" t="str">
        <f t="shared" ref="V383:V446" ca="1" si="211">IF(U383&gt;1,INDIRECT(ADDRESS(U383+1,3,1,1,"Student")),"")</f>
        <v/>
      </c>
      <c r="W383" s="28" t="str">
        <f t="shared" ref="W383:W446" si="212">IF(U383&gt;0,STDEV(X383:AF383),"")</f>
        <v/>
      </c>
      <c r="X383" s="12" t="str">
        <f t="shared" ref="X383:X446" si="213">IF(OR(ISBLANK(K$25),ISBLANK(K383),ISBLANK($I383)),"",$I383-K383+K$25)</f>
        <v/>
      </c>
      <c r="Y383" s="12" t="str">
        <f t="shared" ref="Y383:Y446" si="214">IF(OR(ISBLANK(L$25),ISBLANK(L383),ISBLANK($I383)),"",$I383-L383+L$25)</f>
        <v/>
      </c>
      <c r="Z383" s="12" t="str">
        <f t="shared" ref="Z383:Z446" si="215">IF(OR(ISBLANK(M$25),ISBLANK(M383),ISBLANK($I383)),"",$I383-M383+M$25)</f>
        <v/>
      </c>
      <c r="AA383" s="12" t="str">
        <f t="shared" ref="AA383:AA446" si="216">IF(OR(ISBLANK(N$25),ISBLANK(N383),ISBLANK($I383)),"",$I383-N383+N$25)</f>
        <v/>
      </c>
      <c r="AB383" s="12" t="str">
        <f t="shared" ref="AB383:AB446" si="217">IF(OR(ISBLANK(O$25),ISBLANK(O383),ISBLANK($I383)),"",$I383-O383+O$25)</f>
        <v/>
      </c>
      <c r="AC383" s="12" t="str">
        <f t="shared" ref="AC383:AC446" si="218">IF(OR(ISBLANK(P$25),ISBLANK(P383),ISBLANK($I383)),"",$I383-P383+P$25)</f>
        <v/>
      </c>
      <c r="AD383" s="12" t="str">
        <f t="shared" ref="AD383:AD446" si="219">IF(OR(ISBLANK(Q$25),ISBLANK(Q383),ISBLANK($I383)),"",$I383-Q383+Q$25)</f>
        <v/>
      </c>
      <c r="AE383" s="12" t="str">
        <f t="shared" ref="AE383:AE446" si="220">IF(OR(ISBLANK(R$25),ISBLANK(R383),ISBLANK($I383)),"",$I383-R383+R$25)</f>
        <v/>
      </c>
      <c r="AF383" s="12" t="str">
        <f t="shared" ref="AF383:AF446" si="221">IF(OR(ISBLANK(S$25),ISBLANK(S383),ISBLANK($I383)),"",$I383-S383+S$25)</f>
        <v/>
      </c>
      <c r="AG383" s="12"/>
      <c r="AH383" s="12" t="str">
        <f t="shared" ref="AH383:AH446" si="222">IF(OR(ISBLANK(K$25),ISBLANK(K383),ISBLANK($J383)),"",$J383-K383+K$25)</f>
        <v/>
      </c>
      <c r="AI383" s="12" t="str">
        <f t="shared" ref="AI383:AI446" si="223">IF(OR(ISBLANK(L$25),ISBLANK(L383),ISBLANK($J383)),"",$J383-L383+L$25)</f>
        <v/>
      </c>
      <c r="AJ383" s="12" t="str">
        <f t="shared" ref="AJ383:AJ446" si="224">IF(OR(ISBLANK(M$25),ISBLANK(M383),ISBLANK($J383)),"",$J383-M383+M$25)</f>
        <v/>
      </c>
      <c r="AK383" s="12" t="str">
        <f t="shared" ref="AK383:AK446" si="225">IF(OR(ISBLANK(N$25),ISBLANK(N383),ISBLANK($J383)),"",$J383-N383+N$25)</f>
        <v/>
      </c>
      <c r="AL383" s="12" t="str">
        <f t="shared" ref="AL383:AL446" si="226">IF(OR(ISBLANK(O$25),ISBLANK(O383),ISBLANK($J383)),"",$J383-O383+O$25)</f>
        <v/>
      </c>
      <c r="AM383" s="12" t="str">
        <f t="shared" ref="AM383:AM446" si="227">IF(OR(ISBLANK(P$25),ISBLANK(P383),ISBLANK($J383)),"",$J383-P383+P$25)</f>
        <v/>
      </c>
      <c r="AN383" s="12" t="str">
        <f t="shared" ref="AN383:AN446" si="228">IF(OR(ISBLANK(Q$25),ISBLANK(Q383),ISBLANK($J383)),"",$J383-Q383+Q$25)</f>
        <v/>
      </c>
      <c r="AO383" s="12" t="str">
        <f t="shared" ref="AO383:AO446" si="229">IF(OR(ISBLANK(R$25),ISBLANK(R383),ISBLANK($J383)),"",$J383-R383+R$25)</f>
        <v/>
      </c>
      <c r="AP383" s="12" t="str">
        <f t="shared" ref="AP383:AP446" si="230">IF(OR(ISBLANK(S$25),ISBLANK(S383),ISBLANK($J383)),"",$J383-S383+S$25)</f>
        <v/>
      </c>
    </row>
    <row r="384" spans="1:42">
      <c r="A384" s="9" t="str">
        <f t="shared" si="204"/>
        <v/>
      </c>
      <c r="B384" s="22" t="str">
        <f t="shared" si="205"/>
        <v/>
      </c>
      <c r="C384" s="23" t="str">
        <f t="shared" si="206"/>
        <v/>
      </c>
      <c r="D384" s="24" t="str">
        <f t="shared" si="207"/>
        <v/>
      </c>
      <c r="E384" s="24" t="str">
        <f t="shared" si="208"/>
        <v/>
      </c>
      <c r="F384" s="25" t="str">
        <f t="shared" si="209"/>
        <v/>
      </c>
      <c r="G384" s="7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2"/>
      <c r="U384" s="12">
        <f t="shared" si="210"/>
        <v>0</v>
      </c>
      <c r="V384" s="28" t="str">
        <f t="shared" ca="1" si="211"/>
        <v/>
      </c>
      <c r="W384" s="28" t="str">
        <f t="shared" si="212"/>
        <v/>
      </c>
      <c r="X384" s="12" t="str">
        <f t="shared" si="213"/>
        <v/>
      </c>
      <c r="Y384" s="12" t="str">
        <f t="shared" si="214"/>
        <v/>
      </c>
      <c r="Z384" s="12" t="str">
        <f t="shared" si="215"/>
        <v/>
      </c>
      <c r="AA384" s="12" t="str">
        <f t="shared" si="216"/>
        <v/>
      </c>
      <c r="AB384" s="12" t="str">
        <f t="shared" si="217"/>
        <v/>
      </c>
      <c r="AC384" s="12" t="str">
        <f t="shared" si="218"/>
        <v/>
      </c>
      <c r="AD384" s="12" t="str">
        <f t="shared" si="219"/>
        <v/>
      </c>
      <c r="AE384" s="12" t="str">
        <f t="shared" si="220"/>
        <v/>
      </c>
      <c r="AF384" s="12" t="str">
        <f t="shared" si="221"/>
        <v/>
      </c>
      <c r="AG384" s="12"/>
      <c r="AH384" s="12" t="str">
        <f t="shared" si="222"/>
        <v/>
      </c>
      <c r="AI384" s="12" t="str">
        <f t="shared" si="223"/>
        <v/>
      </c>
      <c r="AJ384" s="12" t="str">
        <f t="shared" si="224"/>
        <v/>
      </c>
      <c r="AK384" s="12" t="str">
        <f t="shared" si="225"/>
        <v/>
      </c>
      <c r="AL384" s="12" t="str">
        <f t="shared" si="226"/>
        <v/>
      </c>
      <c r="AM384" s="12" t="str">
        <f t="shared" si="227"/>
        <v/>
      </c>
      <c r="AN384" s="12" t="str">
        <f t="shared" si="228"/>
        <v/>
      </c>
      <c r="AO384" s="12" t="str">
        <f t="shared" si="229"/>
        <v/>
      </c>
      <c r="AP384" s="12" t="str">
        <f t="shared" si="230"/>
        <v/>
      </c>
    </row>
    <row r="385" spans="1:42">
      <c r="A385" s="9" t="str">
        <f t="shared" ref="A385:A448" si="231">IF(ISBLANK(G385),"",G385)</f>
        <v/>
      </c>
      <c r="B385" s="22" t="str">
        <f t="shared" ref="B385:B448" si="232">IF(ISBLANK(G385),"",G385+2415018.5)</f>
        <v/>
      </c>
      <c r="C385" s="23" t="str">
        <f t="shared" ref="C385:C448" si="233">IF(U385&gt;0,AVERAGE(X385:AF385),"")</f>
        <v/>
      </c>
      <c r="D385" s="24" t="str">
        <f t="shared" ref="D385:D448" si="234">IF(U385&gt;0,STDEV(X385:AF385)/SQRT(U385)*V385,"")</f>
        <v/>
      </c>
      <c r="E385" s="24" t="str">
        <f t="shared" ref="E385:E448" si="235">IF(ISBLANK(W385),"",W385)</f>
        <v/>
      </c>
      <c r="F385" s="25" t="str">
        <f t="shared" ref="F385:F448" si="236">IF(U385&gt;0,AVERAGE(AH385:AP385),"")</f>
        <v/>
      </c>
      <c r="G385" s="7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2"/>
      <c r="U385" s="12">
        <f t="shared" si="210"/>
        <v>0</v>
      </c>
      <c r="V385" s="28" t="str">
        <f t="shared" ca="1" si="211"/>
        <v/>
      </c>
      <c r="W385" s="28" t="str">
        <f t="shared" si="212"/>
        <v/>
      </c>
      <c r="X385" s="12" t="str">
        <f t="shared" si="213"/>
        <v/>
      </c>
      <c r="Y385" s="12" t="str">
        <f t="shared" si="214"/>
        <v/>
      </c>
      <c r="Z385" s="12" t="str">
        <f t="shared" si="215"/>
        <v/>
      </c>
      <c r="AA385" s="12" t="str">
        <f t="shared" si="216"/>
        <v/>
      </c>
      <c r="AB385" s="12" t="str">
        <f t="shared" si="217"/>
        <v/>
      </c>
      <c r="AC385" s="12" t="str">
        <f t="shared" si="218"/>
        <v/>
      </c>
      <c r="AD385" s="12" t="str">
        <f t="shared" si="219"/>
        <v/>
      </c>
      <c r="AE385" s="12" t="str">
        <f t="shared" si="220"/>
        <v/>
      </c>
      <c r="AF385" s="12" t="str">
        <f t="shared" si="221"/>
        <v/>
      </c>
      <c r="AG385" s="12"/>
      <c r="AH385" s="12" t="str">
        <f t="shared" si="222"/>
        <v/>
      </c>
      <c r="AI385" s="12" t="str">
        <f t="shared" si="223"/>
        <v/>
      </c>
      <c r="AJ385" s="12" t="str">
        <f t="shared" si="224"/>
        <v/>
      </c>
      <c r="AK385" s="12" t="str">
        <f t="shared" si="225"/>
        <v/>
      </c>
      <c r="AL385" s="12" t="str">
        <f t="shared" si="226"/>
        <v/>
      </c>
      <c r="AM385" s="12" t="str">
        <f t="shared" si="227"/>
        <v/>
      </c>
      <c r="AN385" s="12" t="str">
        <f t="shared" si="228"/>
        <v/>
      </c>
      <c r="AO385" s="12" t="str">
        <f t="shared" si="229"/>
        <v/>
      </c>
      <c r="AP385" s="12" t="str">
        <f t="shared" si="230"/>
        <v/>
      </c>
    </row>
    <row r="386" spans="1:42">
      <c r="A386" s="9" t="str">
        <f t="shared" si="231"/>
        <v/>
      </c>
      <c r="B386" s="22" t="str">
        <f t="shared" si="232"/>
        <v/>
      </c>
      <c r="C386" s="23" t="str">
        <f t="shared" si="233"/>
        <v/>
      </c>
      <c r="D386" s="24" t="str">
        <f t="shared" si="234"/>
        <v/>
      </c>
      <c r="E386" s="24" t="str">
        <f t="shared" si="235"/>
        <v/>
      </c>
      <c r="F386" s="25" t="str">
        <f t="shared" si="236"/>
        <v/>
      </c>
      <c r="G386" s="7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2"/>
      <c r="U386" s="12">
        <f t="shared" si="210"/>
        <v>0</v>
      </c>
      <c r="V386" s="28" t="str">
        <f t="shared" ca="1" si="211"/>
        <v/>
      </c>
      <c r="W386" s="28" t="str">
        <f t="shared" si="212"/>
        <v/>
      </c>
      <c r="X386" s="12" t="str">
        <f t="shared" si="213"/>
        <v/>
      </c>
      <c r="Y386" s="12" t="str">
        <f t="shared" si="214"/>
        <v/>
      </c>
      <c r="Z386" s="12" t="str">
        <f t="shared" si="215"/>
        <v/>
      </c>
      <c r="AA386" s="12" t="str">
        <f t="shared" si="216"/>
        <v/>
      </c>
      <c r="AB386" s="12" t="str">
        <f t="shared" si="217"/>
        <v/>
      </c>
      <c r="AC386" s="12" t="str">
        <f t="shared" si="218"/>
        <v/>
      </c>
      <c r="AD386" s="12" t="str">
        <f t="shared" si="219"/>
        <v/>
      </c>
      <c r="AE386" s="12" t="str">
        <f t="shared" si="220"/>
        <v/>
      </c>
      <c r="AF386" s="12" t="str">
        <f t="shared" si="221"/>
        <v/>
      </c>
      <c r="AG386" s="12"/>
      <c r="AH386" s="12" t="str">
        <f t="shared" si="222"/>
        <v/>
      </c>
      <c r="AI386" s="12" t="str">
        <f t="shared" si="223"/>
        <v/>
      </c>
      <c r="AJ386" s="12" t="str">
        <f t="shared" si="224"/>
        <v/>
      </c>
      <c r="AK386" s="12" t="str">
        <f t="shared" si="225"/>
        <v/>
      </c>
      <c r="AL386" s="12" t="str">
        <f t="shared" si="226"/>
        <v/>
      </c>
      <c r="AM386" s="12" t="str">
        <f t="shared" si="227"/>
        <v/>
      </c>
      <c r="AN386" s="12" t="str">
        <f t="shared" si="228"/>
        <v/>
      </c>
      <c r="AO386" s="12" t="str">
        <f t="shared" si="229"/>
        <v/>
      </c>
      <c r="AP386" s="12" t="str">
        <f t="shared" si="230"/>
        <v/>
      </c>
    </row>
    <row r="387" spans="1:42">
      <c r="A387" s="9" t="str">
        <f t="shared" si="231"/>
        <v/>
      </c>
      <c r="B387" s="22" t="str">
        <f t="shared" si="232"/>
        <v/>
      </c>
      <c r="C387" s="23" t="str">
        <f t="shared" si="233"/>
        <v/>
      </c>
      <c r="D387" s="24" t="str">
        <f t="shared" si="234"/>
        <v/>
      </c>
      <c r="E387" s="24" t="str">
        <f t="shared" si="235"/>
        <v/>
      </c>
      <c r="F387" s="25" t="str">
        <f t="shared" si="236"/>
        <v/>
      </c>
      <c r="G387" s="7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2"/>
      <c r="U387" s="12">
        <f t="shared" si="210"/>
        <v>0</v>
      </c>
      <c r="V387" s="28" t="str">
        <f t="shared" ca="1" si="211"/>
        <v/>
      </c>
      <c r="W387" s="28" t="str">
        <f t="shared" si="212"/>
        <v/>
      </c>
      <c r="X387" s="12" t="str">
        <f t="shared" si="213"/>
        <v/>
      </c>
      <c r="Y387" s="12" t="str">
        <f t="shared" si="214"/>
        <v/>
      </c>
      <c r="Z387" s="12" t="str">
        <f t="shared" si="215"/>
        <v/>
      </c>
      <c r="AA387" s="12" t="str">
        <f t="shared" si="216"/>
        <v/>
      </c>
      <c r="AB387" s="12" t="str">
        <f t="shared" si="217"/>
        <v/>
      </c>
      <c r="AC387" s="12" t="str">
        <f t="shared" si="218"/>
        <v/>
      </c>
      <c r="AD387" s="12" t="str">
        <f t="shared" si="219"/>
        <v/>
      </c>
      <c r="AE387" s="12" t="str">
        <f t="shared" si="220"/>
        <v/>
      </c>
      <c r="AF387" s="12" t="str">
        <f t="shared" si="221"/>
        <v/>
      </c>
      <c r="AG387" s="12"/>
      <c r="AH387" s="12" t="str">
        <f t="shared" si="222"/>
        <v/>
      </c>
      <c r="AI387" s="12" t="str">
        <f t="shared" si="223"/>
        <v/>
      </c>
      <c r="AJ387" s="12" t="str">
        <f t="shared" si="224"/>
        <v/>
      </c>
      <c r="AK387" s="12" t="str">
        <f t="shared" si="225"/>
        <v/>
      </c>
      <c r="AL387" s="12" t="str">
        <f t="shared" si="226"/>
        <v/>
      </c>
      <c r="AM387" s="12" t="str">
        <f t="shared" si="227"/>
        <v/>
      </c>
      <c r="AN387" s="12" t="str">
        <f t="shared" si="228"/>
        <v/>
      </c>
      <c r="AO387" s="12" t="str">
        <f t="shared" si="229"/>
        <v/>
      </c>
      <c r="AP387" s="12" t="str">
        <f t="shared" si="230"/>
        <v/>
      </c>
    </row>
    <row r="388" spans="1:42">
      <c r="A388" s="9" t="str">
        <f t="shared" si="231"/>
        <v/>
      </c>
      <c r="B388" s="22" t="str">
        <f t="shared" si="232"/>
        <v/>
      </c>
      <c r="C388" s="23" t="str">
        <f t="shared" si="233"/>
        <v/>
      </c>
      <c r="D388" s="24" t="str">
        <f t="shared" si="234"/>
        <v/>
      </c>
      <c r="E388" s="24" t="str">
        <f t="shared" si="235"/>
        <v/>
      </c>
      <c r="F388" s="25" t="str">
        <f t="shared" si="236"/>
        <v/>
      </c>
      <c r="G388" s="7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2"/>
      <c r="U388" s="12">
        <f t="shared" si="210"/>
        <v>0</v>
      </c>
      <c r="V388" s="28" t="str">
        <f t="shared" ca="1" si="211"/>
        <v/>
      </c>
      <c r="W388" s="28" t="str">
        <f t="shared" si="212"/>
        <v/>
      </c>
      <c r="X388" s="12" t="str">
        <f t="shared" si="213"/>
        <v/>
      </c>
      <c r="Y388" s="12" t="str">
        <f t="shared" si="214"/>
        <v/>
      </c>
      <c r="Z388" s="12" t="str">
        <f t="shared" si="215"/>
        <v/>
      </c>
      <c r="AA388" s="12" t="str">
        <f t="shared" si="216"/>
        <v/>
      </c>
      <c r="AB388" s="12" t="str">
        <f t="shared" si="217"/>
        <v/>
      </c>
      <c r="AC388" s="12" t="str">
        <f t="shared" si="218"/>
        <v/>
      </c>
      <c r="AD388" s="12" t="str">
        <f t="shared" si="219"/>
        <v/>
      </c>
      <c r="AE388" s="12" t="str">
        <f t="shared" si="220"/>
        <v/>
      </c>
      <c r="AF388" s="12" t="str">
        <f t="shared" si="221"/>
        <v/>
      </c>
      <c r="AG388" s="12"/>
      <c r="AH388" s="12" t="str">
        <f t="shared" si="222"/>
        <v/>
      </c>
      <c r="AI388" s="12" t="str">
        <f t="shared" si="223"/>
        <v/>
      </c>
      <c r="AJ388" s="12" t="str">
        <f t="shared" si="224"/>
        <v/>
      </c>
      <c r="AK388" s="12" t="str">
        <f t="shared" si="225"/>
        <v/>
      </c>
      <c r="AL388" s="12" t="str">
        <f t="shared" si="226"/>
        <v/>
      </c>
      <c r="AM388" s="12" t="str">
        <f t="shared" si="227"/>
        <v/>
      </c>
      <c r="AN388" s="12" t="str">
        <f t="shared" si="228"/>
        <v/>
      </c>
      <c r="AO388" s="12" t="str">
        <f t="shared" si="229"/>
        <v/>
      </c>
      <c r="AP388" s="12" t="str">
        <f t="shared" si="230"/>
        <v/>
      </c>
    </row>
    <row r="389" spans="1:42">
      <c r="A389" s="9" t="str">
        <f t="shared" si="231"/>
        <v/>
      </c>
      <c r="B389" s="22" t="str">
        <f t="shared" si="232"/>
        <v/>
      </c>
      <c r="C389" s="23" t="str">
        <f t="shared" si="233"/>
        <v/>
      </c>
      <c r="D389" s="24" t="str">
        <f t="shared" si="234"/>
        <v/>
      </c>
      <c r="E389" s="24" t="str">
        <f t="shared" si="235"/>
        <v/>
      </c>
      <c r="F389" s="25" t="str">
        <f t="shared" si="236"/>
        <v/>
      </c>
      <c r="G389" s="7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2"/>
      <c r="U389" s="12">
        <f t="shared" si="210"/>
        <v>0</v>
      </c>
      <c r="V389" s="28" t="str">
        <f t="shared" ca="1" si="211"/>
        <v/>
      </c>
      <c r="W389" s="28" t="str">
        <f t="shared" si="212"/>
        <v/>
      </c>
      <c r="X389" s="12" t="str">
        <f t="shared" si="213"/>
        <v/>
      </c>
      <c r="Y389" s="12" t="str">
        <f t="shared" si="214"/>
        <v/>
      </c>
      <c r="Z389" s="12" t="str">
        <f t="shared" si="215"/>
        <v/>
      </c>
      <c r="AA389" s="12" t="str">
        <f t="shared" si="216"/>
        <v/>
      </c>
      <c r="AB389" s="12" t="str">
        <f t="shared" si="217"/>
        <v/>
      </c>
      <c r="AC389" s="12" t="str">
        <f t="shared" si="218"/>
        <v/>
      </c>
      <c r="AD389" s="12" t="str">
        <f t="shared" si="219"/>
        <v/>
      </c>
      <c r="AE389" s="12" t="str">
        <f t="shared" si="220"/>
        <v/>
      </c>
      <c r="AF389" s="12" t="str">
        <f t="shared" si="221"/>
        <v/>
      </c>
      <c r="AG389" s="12"/>
      <c r="AH389" s="12" t="str">
        <f t="shared" si="222"/>
        <v/>
      </c>
      <c r="AI389" s="12" t="str">
        <f t="shared" si="223"/>
        <v/>
      </c>
      <c r="AJ389" s="12" t="str">
        <f t="shared" si="224"/>
        <v/>
      </c>
      <c r="AK389" s="12" t="str">
        <f t="shared" si="225"/>
        <v/>
      </c>
      <c r="AL389" s="12" t="str">
        <f t="shared" si="226"/>
        <v/>
      </c>
      <c r="AM389" s="12" t="str">
        <f t="shared" si="227"/>
        <v/>
      </c>
      <c r="AN389" s="12" t="str">
        <f t="shared" si="228"/>
        <v/>
      </c>
      <c r="AO389" s="12" t="str">
        <f t="shared" si="229"/>
        <v/>
      </c>
      <c r="AP389" s="12" t="str">
        <f t="shared" si="230"/>
        <v/>
      </c>
    </row>
    <row r="390" spans="1:42">
      <c r="A390" s="9" t="str">
        <f t="shared" si="231"/>
        <v/>
      </c>
      <c r="B390" s="22" t="str">
        <f t="shared" si="232"/>
        <v/>
      </c>
      <c r="C390" s="23" t="str">
        <f t="shared" si="233"/>
        <v/>
      </c>
      <c r="D390" s="24" t="str">
        <f t="shared" si="234"/>
        <v/>
      </c>
      <c r="E390" s="24" t="str">
        <f t="shared" si="235"/>
        <v/>
      </c>
      <c r="F390" s="25" t="str">
        <f t="shared" si="236"/>
        <v/>
      </c>
      <c r="G390" s="7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2"/>
      <c r="U390" s="12">
        <f t="shared" si="210"/>
        <v>0</v>
      </c>
      <c r="V390" s="28" t="str">
        <f t="shared" ca="1" si="211"/>
        <v/>
      </c>
      <c r="W390" s="28" t="str">
        <f t="shared" si="212"/>
        <v/>
      </c>
      <c r="X390" s="12" t="str">
        <f t="shared" si="213"/>
        <v/>
      </c>
      <c r="Y390" s="12" t="str">
        <f t="shared" si="214"/>
        <v/>
      </c>
      <c r="Z390" s="12" t="str">
        <f t="shared" si="215"/>
        <v/>
      </c>
      <c r="AA390" s="12" t="str">
        <f t="shared" si="216"/>
        <v/>
      </c>
      <c r="AB390" s="12" t="str">
        <f t="shared" si="217"/>
        <v/>
      </c>
      <c r="AC390" s="12" t="str">
        <f t="shared" si="218"/>
        <v/>
      </c>
      <c r="AD390" s="12" t="str">
        <f t="shared" si="219"/>
        <v/>
      </c>
      <c r="AE390" s="12" t="str">
        <f t="shared" si="220"/>
        <v/>
      </c>
      <c r="AF390" s="12" t="str">
        <f t="shared" si="221"/>
        <v/>
      </c>
      <c r="AG390" s="12"/>
      <c r="AH390" s="12" t="str">
        <f t="shared" si="222"/>
        <v/>
      </c>
      <c r="AI390" s="12" t="str">
        <f t="shared" si="223"/>
        <v/>
      </c>
      <c r="AJ390" s="12" t="str">
        <f t="shared" si="224"/>
        <v/>
      </c>
      <c r="AK390" s="12" t="str">
        <f t="shared" si="225"/>
        <v/>
      </c>
      <c r="AL390" s="12" t="str">
        <f t="shared" si="226"/>
        <v/>
      </c>
      <c r="AM390" s="12" t="str">
        <f t="shared" si="227"/>
        <v/>
      </c>
      <c r="AN390" s="12" t="str">
        <f t="shared" si="228"/>
        <v/>
      </c>
      <c r="AO390" s="12" t="str">
        <f t="shared" si="229"/>
        <v/>
      </c>
      <c r="AP390" s="12" t="str">
        <f t="shared" si="230"/>
        <v/>
      </c>
    </row>
    <row r="391" spans="1:42">
      <c r="A391" s="9" t="str">
        <f t="shared" si="231"/>
        <v/>
      </c>
      <c r="B391" s="22" t="str">
        <f t="shared" si="232"/>
        <v/>
      </c>
      <c r="C391" s="23" t="str">
        <f t="shared" si="233"/>
        <v/>
      </c>
      <c r="D391" s="24" t="str">
        <f t="shared" si="234"/>
        <v/>
      </c>
      <c r="E391" s="24" t="str">
        <f t="shared" si="235"/>
        <v/>
      </c>
      <c r="F391" s="25" t="str">
        <f t="shared" si="236"/>
        <v/>
      </c>
      <c r="G391" s="7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2"/>
      <c r="U391" s="12">
        <f t="shared" si="210"/>
        <v>0</v>
      </c>
      <c r="V391" s="28" t="str">
        <f t="shared" ca="1" si="211"/>
        <v/>
      </c>
      <c r="W391" s="28" t="str">
        <f t="shared" si="212"/>
        <v/>
      </c>
      <c r="X391" s="12" t="str">
        <f t="shared" si="213"/>
        <v/>
      </c>
      <c r="Y391" s="12" t="str">
        <f t="shared" si="214"/>
        <v/>
      </c>
      <c r="Z391" s="12" t="str">
        <f t="shared" si="215"/>
        <v/>
      </c>
      <c r="AA391" s="12" t="str">
        <f t="shared" si="216"/>
        <v/>
      </c>
      <c r="AB391" s="12" t="str">
        <f t="shared" si="217"/>
        <v/>
      </c>
      <c r="AC391" s="12" t="str">
        <f t="shared" si="218"/>
        <v/>
      </c>
      <c r="AD391" s="12" t="str">
        <f t="shared" si="219"/>
        <v/>
      </c>
      <c r="AE391" s="12" t="str">
        <f t="shared" si="220"/>
        <v/>
      </c>
      <c r="AF391" s="12" t="str">
        <f t="shared" si="221"/>
        <v/>
      </c>
      <c r="AG391" s="12"/>
      <c r="AH391" s="12" t="str">
        <f t="shared" si="222"/>
        <v/>
      </c>
      <c r="AI391" s="12" t="str">
        <f t="shared" si="223"/>
        <v/>
      </c>
      <c r="AJ391" s="12" t="str">
        <f t="shared" si="224"/>
        <v/>
      </c>
      <c r="AK391" s="12" t="str">
        <f t="shared" si="225"/>
        <v/>
      </c>
      <c r="AL391" s="12" t="str">
        <f t="shared" si="226"/>
        <v/>
      </c>
      <c r="AM391" s="12" t="str">
        <f t="shared" si="227"/>
        <v/>
      </c>
      <c r="AN391" s="12" t="str">
        <f t="shared" si="228"/>
        <v/>
      </c>
      <c r="AO391" s="12" t="str">
        <f t="shared" si="229"/>
        <v/>
      </c>
      <c r="AP391" s="12" t="str">
        <f t="shared" si="230"/>
        <v/>
      </c>
    </row>
    <row r="392" spans="1:42">
      <c r="A392" s="9" t="str">
        <f t="shared" si="231"/>
        <v/>
      </c>
      <c r="B392" s="22" t="str">
        <f t="shared" si="232"/>
        <v/>
      </c>
      <c r="C392" s="23" t="str">
        <f t="shared" si="233"/>
        <v/>
      </c>
      <c r="D392" s="24" t="str">
        <f t="shared" si="234"/>
        <v/>
      </c>
      <c r="E392" s="24" t="str">
        <f t="shared" si="235"/>
        <v/>
      </c>
      <c r="F392" s="25" t="str">
        <f t="shared" si="236"/>
        <v/>
      </c>
      <c r="G392" s="7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2"/>
      <c r="U392" s="12">
        <f t="shared" si="210"/>
        <v>0</v>
      </c>
      <c r="V392" s="28" t="str">
        <f t="shared" ca="1" si="211"/>
        <v/>
      </c>
      <c r="W392" s="28" t="str">
        <f t="shared" si="212"/>
        <v/>
      </c>
      <c r="X392" s="12" t="str">
        <f t="shared" si="213"/>
        <v/>
      </c>
      <c r="Y392" s="12" t="str">
        <f t="shared" si="214"/>
        <v/>
      </c>
      <c r="Z392" s="12" t="str">
        <f t="shared" si="215"/>
        <v/>
      </c>
      <c r="AA392" s="12" t="str">
        <f t="shared" si="216"/>
        <v/>
      </c>
      <c r="AB392" s="12" t="str">
        <f t="shared" si="217"/>
        <v/>
      </c>
      <c r="AC392" s="12" t="str">
        <f t="shared" si="218"/>
        <v/>
      </c>
      <c r="AD392" s="12" t="str">
        <f t="shared" si="219"/>
        <v/>
      </c>
      <c r="AE392" s="12" t="str">
        <f t="shared" si="220"/>
        <v/>
      </c>
      <c r="AF392" s="12" t="str">
        <f t="shared" si="221"/>
        <v/>
      </c>
      <c r="AG392" s="12"/>
      <c r="AH392" s="12" t="str">
        <f t="shared" si="222"/>
        <v/>
      </c>
      <c r="AI392" s="12" t="str">
        <f t="shared" si="223"/>
        <v/>
      </c>
      <c r="AJ392" s="12" t="str">
        <f t="shared" si="224"/>
        <v/>
      </c>
      <c r="AK392" s="12" t="str">
        <f t="shared" si="225"/>
        <v/>
      </c>
      <c r="AL392" s="12" t="str">
        <f t="shared" si="226"/>
        <v/>
      </c>
      <c r="AM392" s="12" t="str">
        <f t="shared" si="227"/>
        <v/>
      </c>
      <c r="AN392" s="12" t="str">
        <f t="shared" si="228"/>
        <v/>
      </c>
      <c r="AO392" s="12" t="str">
        <f t="shared" si="229"/>
        <v/>
      </c>
      <c r="AP392" s="12" t="str">
        <f t="shared" si="230"/>
        <v/>
      </c>
    </row>
    <row r="393" spans="1:42">
      <c r="A393" s="9" t="str">
        <f t="shared" si="231"/>
        <v/>
      </c>
      <c r="B393" s="22" t="str">
        <f t="shared" si="232"/>
        <v/>
      </c>
      <c r="C393" s="23" t="str">
        <f t="shared" si="233"/>
        <v/>
      </c>
      <c r="D393" s="24" t="str">
        <f t="shared" si="234"/>
        <v/>
      </c>
      <c r="E393" s="24" t="str">
        <f t="shared" si="235"/>
        <v/>
      </c>
      <c r="F393" s="25" t="str">
        <f t="shared" si="236"/>
        <v/>
      </c>
      <c r="G393" s="7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2"/>
      <c r="U393" s="12">
        <f t="shared" si="210"/>
        <v>0</v>
      </c>
      <c r="V393" s="28" t="str">
        <f t="shared" ca="1" si="211"/>
        <v/>
      </c>
      <c r="W393" s="28" t="str">
        <f t="shared" si="212"/>
        <v/>
      </c>
      <c r="X393" s="12" t="str">
        <f t="shared" si="213"/>
        <v/>
      </c>
      <c r="Y393" s="12" t="str">
        <f t="shared" si="214"/>
        <v/>
      </c>
      <c r="Z393" s="12" t="str">
        <f t="shared" si="215"/>
        <v/>
      </c>
      <c r="AA393" s="12" t="str">
        <f t="shared" si="216"/>
        <v/>
      </c>
      <c r="AB393" s="12" t="str">
        <f t="shared" si="217"/>
        <v/>
      </c>
      <c r="AC393" s="12" t="str">
        <f t="shared" si="218"/>
        <v/>
      </c>
      <c r="AD393" s="12" t="str">
        <f t="shared" si="219"/>
        <v/>
      </c>
      <c r="AE393" s="12" t="str">
        <f t="shared" si="220"/>
        <v/>
      </c>
      <c r="AF393" s="12" t="str">
        <f t="shared" si="221"/>
        <v/>
      </c>
      <c r="AG393" s="12"/>
      <c r="AH393" s="12" t="str">
        <f t="shared" si="222"/>
        <v/>
      </c>
      <c r="AI393" s="12" t="str">
        <f t="shared" si="223"/>
        <v/>
      </c>
      <c r="AJ393" s="12" t="str">
        <f t="shared" si="224"/>
        <v/>
      </c>
      <c r="AK393" s="12" t="str">
        <f t="shared" si="225"/>
        <v/>
      </c>
      <c r="AL393" s="12" t="str">
        <f t="shared" si="226"/>
        <v/>
      </c>
      <c r="AM393" s="12" t="str">
        <f t="shared" si="227"/>
        <v/>
      </c>
      <c r="AN393" s="12" t="str">
        <f t="shared" si="228"/>
        <v/>
      </c>
      <c r="AO393" s="12" t="str">
        <f t="shared" si="229"/>
        <v/>
      </c>
      <c r="AP393" s="12" t="str">
        <f t="shared" si="230"/>
        <v/>
      </c>
    </row>
    <row r="394" spans="1:42">
      <c r="A394" s="9" t="str">
        <f t="shared" si="231"/>
        <v/>
      </c>
      <c r="B394" s="22" t="str">
        <f t="shared" si="232"/>
        <v/>
      </c>
      <c r="C394" s="23" t="str">
        <f t="shared" si="233"/>
        <v/>
      </c>
      <c r="D394" s="24" t="str">
        <f t="shared" si="234"/>
        <v/>
      </c>
      <c r="E394" s="24" t="str">
        <f t="shared" si="235"/>
        <v/>
      </c>
      <c r="F394" s="25" t="str">
        <f t="shared" si="236"/>
        <v/>
      </c>
      <c r="G394" s="7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2"/>
      <c r="U394" s="12">
        <f t="shared" si="210"/>
        <v>0</v>
      </c>
      <c r="V394" s="28" t="str">
        <f t="shared" ca="1" si="211"/>
        <v/>
      </c>
      <c r="W394" s="28" t="str">
        <f t="shared" si="212"/>
        <v/>
      </c>
      <c r="X394" s="12" t="str">
        <f t="shared" si="213"/>
        <v/>
      </c>
      <c r="Y394" s="12" t="str">
        <f t="shared" si="214"/>
        <v/>
      </c>
      <c r="Z394" s="12" t="str">
        <f t="shared" si="215"/>
        <v/>
      </c>
      <c r="AA394" s="12" t="str">
        <f t="shared" si="216"/>
        <v/>
      </c>
      <c r="AB394" s="12" t="str">
        <f t="shared" si="217"/>
        <v/>
      </c>
      <c r="AC394" s="12" t="str">
        <f t="shared" si="218"/>
        <v/>
      </c>
      <c r="AD394" s="12" t="str">
        <f t="shared" si="219"/>
        <v/>
      </c>
      <c r="AE394" s="12" t="str">
        <f t="shared" si="220"/>
        <v/>
      </c>
      <c r="AF394" s="12" t="str">
        <f t="shared" si="221"/>
        <v/>
      </c>
      <c r="AG394" s="12"/>
      <c r="AH394" s="12" t="str">
        <f t="shared" si="222"/>
        <v/>
      </c>
      <c r="AI394" s="12" t="str">
        <f t="shared" si="223"/>
        <v/>
      </c>
      <c r="AJ394" s="12" t="str">
        <f t="shared" si="224"/>
        <v/>
      </c>
      <c r="AK394" s="12" t="str">
        <f t="shared" si="225"/>
        <v/>
      </c>
      <c r="AL394" s="12" t="str">
        <f t="shared" si="226"/>
        <v/>
      </c>
      <c r="AM394" s="12" t="str">
        <f t="shared" si="227"/>
        <v/>
      </c>
      <c r="AN394" s="12" t="str">
        <f t="shared" si="228"/>
        <v/>
      </c>
      <c r="AO394" s="12" t="str">
        <f t="shared" si="229"/>
        <v/>
      </c>
      <c r="AP394" s="12" t="str">
        <f t="shared" si="230"/>
        <v/>
      </c>
    </row>
    <row r="395" spans="1:42">
      <c r="A395" s="9" t="str">
        <f t="shared" si="231"/>
        <v/>
      </c>
      <c r="B395" s="22" t="str">
        <f t="shared" si="232"/>
        <v/>
      </c>
      <c r="C395" s="23" t="str">
        <f t="shared" si="233"/>
        <v/>
      </c>
      <c r="D395" s="24" t="str">
        <f t="shared" si="234"/>
        <v/>
      </c>
      <c r="E395" s="24" t="str">
        <f t="shared" si="235"/>
        <v/>
      </c>
      <c r="F395" s="25" t="str">
        <f t="shared" si="236"/>
        <v/>
      </c>
      <c r="G395" s="7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2"/>
      <c r="U395" s="12">
        <f t="shared" si="210"/>
        <v>0</v>
      </c>
      <c r="V395" s="28" t="str">
        <f t="shared" ca="1" si="211"/>
        <v/>
      </c>
      <c r="W395" s="28" t="str">
        <f t="shared" si="212"/>
        <v/>
      </c>
      <c r="X395" s="12" t="str">
        <f t="shared" si="213"/>
        <v/>
      </c>
      <c r="Y395" s="12" t="str">
        <f t="shared" si="214"/>
        <v/>
      </c>
      <c r="Z395" s="12" t="str">
        <f t="shared" si="215"/>
        <v/>
      </c>
      <c r="AA395" s="12" t="str">
        <f t="shared" si="216"/>
        <v/>
      </c>
      <c r="AB395" s="12" t="str">
        <f t="shared" si="217"/>
        <v/>
      </c>
      <c r="AC395" s="12" t="str">
        <f t="shared" si="218"/>
        <v/>
      </c>
      <c r="AD395" s="12" t="str">
        <f t="shared" si="219"/>
        <v/>
      </c>
      <c r="AE395" s="12" t="str">
        <f t="shared" si="220"/>
        <v/>
      </c>
      <c r="AF395" s="12" t="str">
        <f t="shared" si="221"/>
        <v/>
      </c>
      <c r="AG395" s="12"/>
      <c r="AH395" s="12" t="str">
        <f t="shared" si="222"/>
        <v/>
      </c>
      <c r="AI395" s="12" t="str">
        <f t="shared" si="223"/>
        <v/>
      </c>
      <c r="AJ395" s="12" t="str">
        <f t="shared" si="224"/>
        <v/>
      </c>
      <c r="AK395" s="12" t="str">
        <f t="shared" si="225"/>
        <v/>
      </c>
      <c r="AL395" s="12" t="str">
        <f t="shared" si="226"/>
        <v/>
      </c>
      <c r="AM395" s="12" t="str">
        <f t="shared" si="227"/>
        <v/>
      </c>
      <c r="AN395" s="12" t="str">
        <f t="shared" si="228"/>
        <v/>
      </c>
      <c r="AO395" s="12" t="str">
        <f t="shared" si="229"/>
        <v/>
      </c>
      <c r="AP395" s="12" t="str">
        <f t="shared" si="230"/>
        <v/>
      </c>
    </row>
    <row r="396" spans="1:42">
      <c r="A396" s="9" t="str">
        <f t="shared" si="231"/>
        <v/>
      </c>
      <c r="B396" s="22" t="str">
        <f t="shared" si="232"/>
        <v/>
      </c>
      <c r="C396" s="23" t="str">
        <f t="shared" si="233"/>
        <v/>
      </c>
      <c r="D396" s="24" t="str">
        <f t="shared" si="234"/>
        <v/>
      </c>
      <c r="E396" s="24" t="str">
        <f t="shared" si="235"/>
        <v/>
      </c>
      <c r="F396" s="25" t="str">
        <f t="shared" si="236"/>
        <v/>
      </c>
      <c r="G396" s="7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2"/>
      <c r="U396" s="12">
        <f t="shared" si="210"/>
        <v>0</v>
      </c>
      <c r="V396" s="28" t="str">
        <f t="shared" ca="1" si="211"/>
        <v/>
      </c>
      <c r="W396" s="28" t="str">
        <f t="shared" si="212"/>
        <v/>
      </c>
      <c r="X396" s="12" t="str">
        <f t="shared" si="213"/>
        <v/>
      </c>
      <c r="Y396" s="12" t="str">
        <f t="shared" si="214"/>
        <v/>
      </c>
      <c r="Z396" s="12" t="str">
        <f t="shared" si="215"/>
        <v/>
      </c>
      <c r="AA396" s="12" t="str">
        <f t="shared" si="216"/>
        <v/>
      </c>
      <c r="AB396" s="12" t="str">
        <f t="shared" si="217"/>
        <v/>
      </c>
      <c r="AC396" s="12" t="str">
        <f t="shared" si="218"/>
        <v/>
      </c>
      <c r="AD396" s="12" t="str">
        <f t="shared" si="219"/>
        <v/>
      </c>
      <c r="AE396" s="12" t="str">
        <f t="shared" si="220"/>
        <v/>
      </c>
      <c r="AF396" s="12" t="str">
        <f t="shared" si="221"/>
        <v/>
      </c>
      <c r="AG396" s="12"/>
      <c r="AH396" s="12" t="str">
        <f t="shared" si="222"/>
        <v/>
      </c>
      <c r="AI396" s="12" t="str">
        <f t="shared" si="223"/>
        <v/>
      </c>
      <c r="AJ396" s="12" t="str">
        <f t="shared" si="224"/>
        <v/>
      </c>
      <c r="AK396" s="12" t="str">
        <f t="shared" si="225"/>
        <v/>
      </c>
      <c r="AL396" s="12" t="str">
        <f t="shared" si="226"/>
        <v/>
      </c>
      <c r="AM396" s="12" t="str">
        <f t="shared" si="227"/>
        <v/>
      </c>
      <c r="AN396" s="12" t="str">
        <f t="shared" si="228"/>
        <v/>
      </c>
      <c r="AO396" s="12" t="str">
        <f t="shared" si="229"/>
        <v/>
      </c>
      <c r="AP396" s="12" t="str">
        <f t="shared" si="230"/>
        <v/>
      </c>
    </row>
    <row r="397" spans="1:42">
      <c r="A397" s="9" t="str">
        <f t="shared" si="231"/>
        <v/>
      </c>
      <c r="B397" s="22" t="str">
        <f t="shared" si="232"/>
        <v/>
      </c>
      <c r="C397" s="23" t="str">
        <f t="shared" si="233"/>
        <v/>
      </c>
      <c r="D397" s="24" t="str">
        <f t="shared" si="234"/>
        <v/>
      </c>
      <c r="E397" s="24" t="str">
        <f t="shared" si="235"/>
        <v/>
      </c>
      <c r="F397" s="25" t="str">
        <f t="shared" si="236"/>
        <v/>
      </c>
      <c r="G397" s="7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2"/>
      <c r="U397" s="12">
        <f t="shared" si="210"/>
        <v>0</v>
      </c>
      <c r="V397" s="28" t="str">
        <f t="shared" ca="1" si="211"/>
        <v/>
      </c>
      <c r="W397" s="28" t="str">
        <f t="shared" si="212"/>
        <v/>
      </c>
      <c r="X397" s="12" t="str">
        <f t="shared" si="213"/>
        <v/>
      </c>
      <c r="Y397" s="12" t="str">
        <f t="shared" si="214"/>
        <v/>
      </c>
      <c r="Z397" s="12" t="str">
        <f t="shared" si="215"/>
        <v/>
      </c>
      <c r="AA397" s="12" t="str">
        <f t="shared" si="216"/>
        <v/>
      </c>
      <c r="AB397" s="12" t="str">
        <f t="shared" si="217"/>
        <v/>
      </c>
      <c r="AC397" s="12" t="str">
        <f t="shared" si="218"/>
        <v/>
      </c>
      <c r="AD397" s="12" t="str">
        <f t="shared" si="219"/>
        <v/>
      </c>
      <c r="AE397" s="12" t="str">
        <f t="shared" si="220"/>
        <v/>
      </c>
      <c r="AF397" s="12" t="str">
        <f t="shared" si="221"/>
        <v/>
      </c>
      <c r="AG397" s="12"/>
      <c r="AH397" s="12" t="str">
        <f t="shared" si="222"/>
        <v/>
      </c>
      <c r="AI397" s="12" t="str">
        <f t="shared" si="223"/>
        <v/>
      </c>
      <c r="AJ397" s="12" t="str">
        <f t="shared" si="224"/>
        <v/>
      </c>
      <c r="AK397" s="12" t="str">
        <f t="shared" si="225"/>
        <v/>
      </c>
      <c r="AL397" s="12" t="str">
        <f t="shared" si="226"/>
        <v/>
      </c>
      <c r="AM397" s="12" t="str">
        <f t="shared" si="227"/>
        <v/>
      </c>
      <c r="AN397" s="12" t="str">
        <f t="shared" si="228"/>
        <v/>
      </c>
      <c r="AO397" s="12" t="str">
        <f t="shared" si="229"/>
        <v/>
      </c>
      <c r="AP397" s="12" t="str">
        <f t="shared" si="230"/>
        <v/>
      </c>
    </row>
    <row r="398" spans="1:42">
      <c r="A398" s="9" t="str">
        <f t="shared" si="231"/>
        <v/>
      </c>
      <c r="B398" s="22" t="str">
        <f t="shared" si="232"/>
        <v/>
      </c>
      <c r="C398" s="23" t="str">
        <f t="shared" si="233"/>
        <v/>
      </c>
      <c r="D398" s="24" t="str">
        <f t="shared" si="234"/>
        <v/>
      </c>
      <c r="E398" s="24" t="str">
        <f t="shared" si="235"/>
        <v/>
      </c>
      <c r="F398" s="25" t="str">
        <f t="shared" si="236"/>
        <v/>
      </c>
      <c r="G398" s="7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2"/>
      <c r="U398" s="12">
        <f t="shared" si="210"/>
        <v>0</v>
      </c>
      <c r="V398" s="28" t="str">
        <f t="shared" ca="1" si="211"/>
        <v/>
      </c>
      <c r="W398" s="28" t="str">
        <f t="shared" si="212"/>
        <v/>
      </c>
      <c r="X398" s="12" t="str">
        <f t="shared" si="213"/>
        <v/>
      </c>
      <c r="Y398" s="12" t="str">
        <f t="shared" si="214"/>
        <v/>
      </c>
      <c r="Z398" s="12" t="str">
        <f t="shared" si="215"/>
        <v/>
      </c>
      <c r="AA398" s="12" t="str">
        <f t="shared" si="216"/>
        <v/>
      </c>
      <c r="AB398" s="12" t="str">
        <f t="shared" si="217"/>
        <v/>
      </c>
      <c r="AC398" s="12" t="str">
        <f t="shared" si="218"/>
        <v/>
      </c>
      <c r="AD398" s="12" t="str">
        <f t="shared" si="219"/>
        <v/>
      </c>
      <c r="AE398" s="12" t="str">
        <f t="shared" si="220"/>
        <v/>
      </c>
      <c r="AF398" s="12" t="str">
        <f t="shared" si="221"/>
        <v/>
      </c>
      <c r="AG398" s="12"/>
      <c r="AH398" s="12" t="str">
        <f t="shared" si="222"/>
        <v/>
      </c>
      <c r="AI398" s="12" t="str">
        <f t="shared" si="223"/>
        <v/>
      </c>
      <c r="AJ398" s="12" t="str">
        <f t="shared" si="224"/>
        <v/>
      </c>
      <c r="AK398" s="12" t="str">
        <f t="shared" si="225"/>
        <v/>
      </c>
      <c r="AL398" s="12" t="str">
        <f t="shared" si="226"/>
        <v/>
      </c>
      <c r="AM398" s="12" t="str">
        <f t="shared" si="227"/>
        <v/>
      </c>
      <c r="AN398" s="12" t="str">
        <f t="shared" si="228"/>
        <v/>
      </c>
      <c r="AO398" s="12" t="str">
        <f t="shared" si="229"/>
        <v/>
      </c>
      <c r="AP398" s="12" t="str">
        <f t="shared" si="230"/>
        <v/>
      </c>
    </row>
    <row r="399" spans="1:42">
      <c r="A399" s="9" t="str">
        <f t="shared" si="231"/>
        <v/>
      </c>
      <c r="B399" s="22" t="str">
        <f t="shared" si="232"/>
        <v/>
      </c>
      <c r="C399" s="23" t="str">
        <f t="shared" si="233"/>
        <v/>
      </c>
      <c r="D399" s="24" t="str">
        <f t="shared" si="234"/>
        <v/>
      </c>
      <c r="E399" s="24" t="str">
        <f t="shared" si="235"/>
        <v/>
      </c>
      <c r="F399" s="25" t="str">
        <f t="shared" si="236"/>
        <v/>
      </c>
      <c r="G399" s="7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2"/>
      <c r="U399" s="12">
        <f t="shared" si="210"/>
        <v>0</v>
      </c>
      <c r="V399" s="28" t="str">
        <f t="shared" ca="1" si="211"/>
        <v/>
      </c>
      <c r="W399" s="28" t="str">
        <f t="shared" si="212"/>
        <v/>
      </c>
      <c r="X399" s="12" t="str">
        <f t="shared" si="213"/>
        <v/>
      </c>
      <c r="Y399" s="12" t="str">
        <f t="shared" si="214"/>
        <v/>
      </c>
      <c r="Z399" s="12" t="str">
        <f t="shared" si="215"/>
        <v/>
      </c>
      <c r="AA399" s="12" t="str">
        <f t="shared" si="216"/>
        <v/>
      </c>
      <c r="AB399" s="12" t="str">
        <f t="shared" si="217"/>
        <v/>
      </c>
      <c r="AC399" s="12" t="str">
        <f t="shared" si="218"/>
        <v/>
      </c>
      <c r="AD399" s="12" t="str">
        <f t="shared" si="219"/>
        <v/>
      </c>
      <c r="AE399" s="12" t="str">
        <f t="shared" si="220"/>
        <v/>
      </c>
      <c r="AF399" s="12" t="str">
        <f t="shared" si="221"/>
        <v/>
      </c>
      <c r="AG399" s="12"/>
      <c r="AH399" s="12" t="str">
        <f t="shared" si="222"/>
        <v/>
      </c>
      <c r="AI399" s="12" t="str">
        <f t="shared" si="223"/>
        <v/>
      </c>
      <c r="AJ399" s="12" t="str">
        <f t="shared" si="224"/>
        <v/>
      </c>
      <c r="AK399" s="12" t="str">
        <f t="shared" si="225"/>
        <v/>
      </c>
      <c r="AL399" s="12" t="str">
        <f t="shared" si="226"/>
        <v/>
      </c>
      <c r="AM399" s="12" t="str">
        <f t="shared" si="227"/>
        <v/>
      </c>
      <c r="AN399" s="12" t="str">
        <f t="shared" si="228"/>
        <v/>
      </c>
      <c r="AO399" s="12" t="str">
        <f t="shared" si="229"/>
        <v/>
      </c>
      <c r="AP399" s="12" t="str">
        <f t="shared" si="230"/>
        <v/>
      </c>
    </row>
    <row r="400" spans="1:42">
      <c r="A400" s="9" t="str">
        <f t="shared" si="231"/>
        <v/>
      </c>
      <c r="B400" s="22" t="str">
        <f t="shared" si="232"/>
        <v/>
      </c>
      <c r="C400" s="23" t="str">
        <f t="shared" si="233"/>
        <v/>
      </c>
      <c r="D400" s="24" t="str">
        <f t="shared" si="234"/>
        <v/>
      </c>
      <c r="E400" s="24" t="str">
        <f t="shared" si="235"/>
        <v/>
      </c>
      <c r="F400" s="25" t="str">
        <f t="shared" si="236"/>
        <v/>
      </c>
      <c r="G400" s="7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2"/>
      <c r="U400" s="12">
        <f t="shared" si="210"/>
        <v>0</v>
      </c>
      <c r="V400" s="28" t="str">
        <f t="shared" ca="1" si="211"/>
        <v/>
      </c>
      <c r="W400" s="28" t="str">
        <f t="shared" si="212"/>
        <v/>
      </c>
      <c r="X400" s="12" t="str">
        <f t="shared" si="213"/>
        <v/>
      </c>
      <c r="Y400" s="12" t="str">
        <f t="shared" si="214"/>
        <v/>
      </c>
      <c r="Z400" s="12" t="str">
        <f t="shared" si="215"/>
        <v/>
      </c>
      <c r="AA400" s="12" t="str">
        <f t="shared" si="216"/>
        <v/>
      </c>
      <c r="AB400" s="12" t="str">
        <f t="shared" si="217"/>
        <v/>
      </c>
      <c r="AC400" s="12" t="str">
        <f t="shared" si="218"/>
        <v/>
      </c>
      <c r="AD400" s="12" t="str">
        <f t="shared" si="219"/>
        <v/>
      </c>
      <c r="AE400" s="12" t="str">
        <f t="shared" si="220"/>
        <v/>
      </c>
      <c r="AF400" s="12" t="str">
        <f t="shared" si="221"/>
        <v/>
      </c>
      <c r="AG400" s="12"/>
      <c r="AH400" s="12" t="str">
        <f t="shared" si="222"/>
        <v/>
      </c>
      <c r="AI400" s="12" t="str">
        <f t="shared" si="223"/>
        <v/>
      </c>
      <c r="AJ400" s="12" t="str">
        <f t="shared" si="224"/>
        <v/>
      </c>
      <c r="AK400" s="12" t="str">
        <f t="shared" si="225"/>
        <v/>
      </c>
      <c r="AL400" s="12" t="str">
        <f t="shared" si="226"/>
        <v/>
      </c>
      <c r="AM400" s="12" t="str">
        <f t="shared" si="227"/>
        <v/>
      </c>
      <c r="AN400" s="12" t="str">
        <f t="shared" si="228"/>
        <v/>
      </c>
      <c r="AO400" s="12" t="str">
        <f t="shared" si="229"/>
        <v/>
      </c>
      <c r="AP400" s="12" t="str">
        <f t="shared" si="230"/>
        <v/>
      </c>
    </row>
    <row r="401" spans="1:42">
      <c r="A401" s="9" t="str">
        <f t="shared" si="231"/>
        <v/>
      </c>
      <c r="B401" s="22" t="str">
        <f t="shared" si="232"/>
        <v/>
      </c>
      <c r="C401" s="23" t="str">
        <f t="shared" si="233"/>
        <v/>
      </c>
      <c r="D401" s="24" t="str">
        <f t="shared" si="234"/>
        <v/>
      </c>
      <c r="E401" s="24" t="str">
        <f t="shared" si="235"/>
        <v/>
      </c>
      <c r="F401" s="25" t="str">
        <f t="shared" si="236"/>
        <v/>
      </c>
      <c r="G401" s="7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2"/>
      <c r="U401" s="12">
        <f t="shared" si="210"/>
        <v>0</v>
      </c>
      <c r="V401" s="28" t="str">
        <f t="shared" ca="1" si="211"/>
        <v/>
      </c>
      <c r="W401" s="28" t="str">
        <f t="shared" si="212"/>
        <v/>
      </c>
      <c r="X401" s="12" t="str">
        <f t="shared" si="213"/>
        <v/>
      </c>
      <c r="Y401" s="12" t="str">
        <f t="shared" si="214"/>
        <v/>
      </c>
      <c r="Z401" s="12" t="str">
        <f t="shared" si="215"/>
        <v/>
      </c>
      <c r="AA401" s="12" t="str">
        <f t="shared" si="216"/>
        <v/>
      </c>
      <c r="AB401" s="12" t="str">
        <f t="shared" si="217"/>
        <v/>
      </c>
      <c r="AC401" s="12" t="str">
        <f t="shared" si="218"/>
        <v/>
      </c>
      <c r="AD401" s="12" t="str">
        <f t="shared" si="219"/>
        <v/>
      </c>
      <c r="AE401" s="12" t="str">
        <f t="shared" si="220"/>
        <v/>
      </c>
      <c r="AF401" s="12" t="str">
        <f t="shared" si="221"/>
        <v/>
      </c>
      <c r="AG401" s="12"/>
      <c r="AH401" s="12" t="str">
        <f t="shared" si="222"/>
        <v/>
      </c>
      <c r="AI401" s="12" t="str">
        <f t="shared" si="223"/>
        <v/>
      </c>
      <c r="AJ401" s="12" t="str">
        <f t="shared" si="224"/>
        <v/>
      </c>
      <c r="AK401" s="12" t="str">
        <f t="shared" si="225"/>
        <v/>
      </c>
      <c r="AL401" s="12" t="str">
        <f t="shared" si="226"/>
        <v/>
      </c>
      <c r="AM401" s="12" t="str">
        <f t="shared" si="227"/>
        <v/>
      </c>
      <c r="AN401" s="12" t="str">
        <f t="shared" si="228"/>
        <v/>
      </c>
      <c r="AO401" s="12" t="str">
        <f t="shared" si="229"/>
        <v/>
      </c>
      <c r="AP401" s="12" t="str">
        <f t="shared" si="230"/>
        <v/>
      </c>
    </row>
    <row r="402" spans="1:42">
      <c r="A402" s="9" t="str">
        <f t="shared" si="231"/>
        <v/>
      </c>
      <c r="B402" s="22" t="str">
        <f t="shared" si="232"/>
        <v/>
      </c>
      <c r="C402" s="23" t="str">
        <f t="shared" si="233"/>
        <v/>
      </c>
      <c r="D402" s="24" t="str">
        <f t="shared" si="234"/>
        <v/>
      </c>
      <c r="E402" s="24" t="str">
        <f t="shared" si="235"/>
        <v/>
      </c>
      <c r="F402" s="25" t="str">
        <f t="shared" si="236"/>
        <v/>
      </c>
      <c r="G402" s="7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2"/>
      <c r="U402" s="12">
        <f t="shared" si="210"/>
        <v>0</v>
      </c>
      <c r="V402" s="28" t="str">
        <f t="shared" ca="1" si="211"/>
        <v/>
      </c>
      <c r="W402" s="28" t="str">
        <f t="shared" si="212"/>
        <v/>
      </c>
      <c r="X402" s="12" t="str">
        <f t="shared" si="213"/>
        <v/>
      </c>
      <c r="Y402" s="12" t="str">
        <f t="shared" si="214"/>
        <v/>
      </c>
      <c r="Z402" s="12" t="str">
        <f t="shared" si="215"/>
        <v/>
      </c>
      <c r="AA402" s="12" t="str">
        <f t="shared" si="216"/>
        <v/>
      </c>
      <c r="AB402" s="12" t="str">
        <f t="shared" si="217"/>
        <v/>
      </c>
      <c r="AC402" s="12" t="str">
        <f t="shared" si="218"/>
        <v/>
      </c>
      <c r="AD402" s="12" t="str">
        <f t="shared" si="219"/>
        <v/>
      </c>
      <c r="AE402" s="12" t="str">
        <f t="shared" si="220"/>
        <v/>
      </c>
      <c r="AF402" s="12" t="str">
        <f t="shared" si="221"/>
        <v/>
      </c>
      <c r="AG402" s="12"/>
      <c r="AH402" s="12" t="str">
        <f t="shared" si="222"/>
        <v/>
      </c>
      <c r="AI402" s="12" t="str">
        <f t="shared" si="223"/>
        <v/>
      </c>
      <c r="AJ402" s="12" t="str">
        <f t="shared" si="224"/>
        <v/>
      </c>
      <c r="AK402" s="12" t="str">
        <f t="shared" si="225"/>
        <v/>
      </c>
      <c r="AL402" s="12" t="str">
        <f t="shared" si="226"/>
        <v/>
      </c>
      <c r="AM402" s="12" t="str">
        <f t="shared" si="227"/>
        <v/>
      </c>
      <c r="AN402" s="12" t="str">
        <f t="shared" si="228"/>
        <v/>
      </c>
      <c r="AO402" s="12" t="str">
        <f t="shared" si="229"/>
        <v/>
      </c>
      <c r="AP402" s="12" t="str">
        <f t="shared" si="230"/>
        <v/>
      </c>
    </row>
    <row r="403" spans="1:42">
      <c r="A403" s="9" t="str">
        <f t="shared" si="231"/>
        <v/>
      </c>
      <c r="B403" s="22" t="str">
        <f t="shared" si="232"/>
        <v/>
      </c>
      <c r="C403" s="23" t="str">
        <f t="shared" si="233"/>
        <v/>
      </c>
      <c r="D403" s="24" t="str">
        <f t="shared" si="234"/>
        <v/>
      </c>
      <c r="E403" s="24" t="str">
        <f t="shared" si="235"/>
        <v/>
      </c>
      <c r="F403" s="25" t="str">
        <f t="shared" si="236"/>
        <v/>
      </c>
      <c r="G403" s="7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2"/>
      <c r="U403" s="12">
        <f t="shared" si="210"/>
        <v>0</v>
      </c>
      <c r="V403" s="28" t="str">
        <f t="shared" ca="1" si="211"/>
        <v/>
      </c>
      <c r="W403" s="28" t="str">
        <f t="shared" si="212"/>
        <v/>
      </c>
      <c r="X403" s="12" t="str">
        <f t="shared" si="213"/>
        <v/>
      </c>
      <c r="Y403" s="12" t="str">
        <f t="shared" si="214"/>
        <v/>
      </c>
      <c r="Z403" s="12" t="str">
        <f t="shared" si="215"/>
        <v/>
      </c>
      <c r="AA403" s="12" t="str">
        <f t="shared" si="216"/>
        <v/>
      </c>
      <c r="AB403" s="12" t="str">
        <f t="shared" si="217"/>
        <v/>
      </c>
      <c r="AC403" s="12" t="str">
        <f t="shared" si="218"/>
        <v/>
      </c>
      <c r="AD403" s="12" t="str">
        <f t="shared" si="219"/>
        <v/>
      </c>
      <c r="AE403" s="12" t="str">
        <f t="shared" si="220"/>
        <v/>
      </c>
      <c r="AF403" s="12" t="str">
        <f t="shared" si="221"/>
        <v/>
      </c>
      <c r="AG403" s="12"/>
      <c r="AH403" s="12" t="str">
        <f t="shared" si="222"/>
        <v/>
      </c>
      <c r="AI403" s="12" t="str">
        <f t="shared" si="223"/>
        <v/>
      </c>
      <c r="AJ403" s="12" t="str">
        <f t="shared" si="224"/>
        <v/>
      </c>
      <c r="AK403" s="12" t="str">
        <f t="shared" si="225"/>
        <v/>
      </c>
      <c r="AL403" s="12" t="str">
        <f t="shared" si="226"/>
        <v/>
      </c>
      <c r="AM403" s="12" t="str">
        <f t="shared" si="227"/>
        <v/>
      </c>
      <c r="AN403" s="12" t="str">
        <f t="shared" si="228"/>
        <v/>
      </c>
      <c r="AO403" s="12" t="str">
        <f t="shared" si="229"/>
        <v/>
      </c>
      <c r="AP403" s="12" t="str">
        <f t="shared" si="230"/>
        <v/>
      </c>
    </row>
    <row r="404" spans="1:42">
      <c r="A404" s="9" t="str">
        <f t="shared" si="231"/>
        <v/>
      </c>
      <c r="B404" s="22" t="str">
        <f t="shared" si="232"/>
        <v/>
      </c>
      <c r="C404" s="23" t="str">
        <f t="shared" si="233"/>
        <v/>
      </c>
      <c r="D404" s="24" t="str">
        <f t="shared" si="234"/>
        <v/>
      </c>
      <c r="E404" s="24" t="str">
        <f t="shared" si="235"/>
        <v/>
      </c>
      <c r="F404" s="25" t="str">
        <f t="shared" si="236"/>
        <v/>
      </c>
      <c r="G404" s="7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2"/>
      <c r="U404" s="12">
        <f t="shared" si="210"/>
        <v>0</v>
      </c>
      <c r="V404" s="28" t="str">
        <f t="shared" ca="1" si="211"/>
        <v/>
      </c>
      <c r="W404" s="28" t="str">
        <f t="shared" si="212"/>
        <v/>
      </c>
      <c r="X404" s="12" t="str">
        <f t="shared" si="213"/>
        <v/>
      </c>
      <c r="Y404" s="12" t="str">
        <f t="shared" si="214"/>
        <v/>
      </c>
      <c r="Z404" s="12" t="str">
        <f t="shared" si="215"/>
        <v/>
      </c>
      <c r="AA404" s="12" t="str">
        <f t="shared" si="216"/>
        <v/>
      </c>
      <c r="AB404" s="12" t="str">
        <f t="shared" si="217"/>
        <v/>
      </c>
      <c r="AC404" s="12" t="str">
        <f t="shared" si="218"/>
        <v/>
      </c>
      <c r="AD404" s="12" t="str">
        <f t="shared" si="219"/>
        <v/>
      </c>
      <c r="AE404" s="12" t="str">
        <f t="shared" si="220"/>
        <v/>
      </c>
      <c r="AF404" s="12" t="str">
        <f t="shared" si="221"/>
        <v/>
      </c>
      <c r="AG404" s="12"/>
      <c r="AH404" s="12" t="str">
        <f t="shared" si="222"/>
        <v/>
      </c>
      <c r="AI404" s="12" t="str">
        <f t="shared" si="223"/>
        <v/>
      </c>
      <c r="AJ404" s="12" t="str">
        <f t="shared" si="224"/>
        <v/>
      </c>
      <c r="AK404" s="12" t="str">
        <f t="shared" si="225"/>
        <v/>
      </c>
      <c r="AL404" s="12" t="str">
        <f t="shared" si="226"/>
        <v/>
      </c>
      <c r="AM404" s="12" t="str">
        <f t="shared" si="227"/>
        <v/>
      </c>
      <c r="AN404" s="12" t="str">
        <f t="shared" si="228"/>
        <v/>
      </c>
      <c r="AO404" s="12" t="str">
        <f t="shared" si="229"/>
        <v/>
      </c>
      <c r="AP404" s="12" t="str">
        <f t="shared" si="230"/>
        <v/>
      </c>
    </row>
    <row r="405" spans="1:42">
      <c r="A405" s="9" t="str">
        <f t="shared" si="231"/>
        <v/>
      </c>
      <c r="B405" s="22" t="str">
        <f t="shared" si="232"/>
        <v/>
      </c>
      <c r="C405" s="23" t="str">
        <f t="shared" si="233"/>
        <v/>
      </c>
      <c r="D405" s="24" t="str">
        <f t="shared" si="234"/>
        <v/>
      </c>
      <c r="E405" s="24" t="str">
        <f t="shared" si="235"/>
        <v/>
      </c>
      <c r="F405" s="25" t="str">
        <f t="shared" si="236"/>
        <v/>
      </c>
      <c r="G405" s="7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2"/>
      <c r="U405" s="12">
        <f t="shared" si="210"/>
        <v>0</v>
      </c>
      <c r="V405" s="28" t="str">
        <f t="shared" ca="1" si="211"/>
        <v/>
      </c>
      <c r="W405" s="28" t="str">
        <f t="shared" si="212"/>
        <v/>
      </c>
      <c r="X405" s="12" t="str">
        <f t="shared" si="213"/>
        <v/>
      </c>
      <c r="Y405" s="12" t="str">
        <f t="shared" si="214"/>
        <v/>
      </c>
      <c r="Z405" s="12" t="str">
        <f t="shared" si="215"/>
        <v/>
      </c>
      <c r="AA405" s="12" t="str">
        <f t="shared" si="216"/>
        <v/>
      </c>
      <c r="AB405" s="12" t="str">
        <f t="shared" si="217"/>
        <v/>
      </c>
      <c r="AC405" s="12" t="str">
        <f t="shared" si="218"/>
        <v/>
      </c>
      <c r="AD405" s="12" t="str">
        <f t="shared" si="219"/>
        <v/>
      </c>
      <c r="AE405" s="12" t="str">
        <f t="shared" si="220"/>
        <v/>
      </c>
      <c r="AF405" s="12" t="str">
        <f t="shared" si="221"/>
        <v/>
      </c>
      <c r="AG405" s="12"/>
      <c r="AH405" s="12" t="str">
        <f t="shared" si="222"/>
        <v/>
      </c>
      <c r="AI405" s="12" t="str">
        <f t="shared" si="223"/>
        <v/>
      </c>
      <c r="AJ405" s="12" t="str">
        <f t="shared" si="224"/>
        <v/>
      </c>
      <c r="AK405" s="12" t="str">
        <f t="shared" si="225"/>
        <v/>
      </c>
      <c r="AL405" s="12" t="str">
        <f t="shared" si="226"/>
        <v/>
      </c>
      <c r="AM405" s="12" t="str">
        <f t="shared" si="227"/>
        <v/>
      </c>
      <c r="AN405" s="12" t="str">
        <f t="shared" si="228"/>
        <v/>
      </c>
      <c r="AO405" s="12" t="str">
        <f t="shared" si="229"/>
        <v/>
      </c>
      <c r="AP405" s="12" t="str">
        <f t="shared" si="230"/>
        <v/>
      </c>
    </row>
    <row r="406" spans="1:42">
      <c r="A406" s="9" t="str">
        <f t="shared" si="231"/>
        <v/>
      </c>
      <c r="B406" s="22" t="str">
        <f t="shared" si="232"/>
        <v/>
      </c>
      <c r="C406" s="23" t="str">
        <f t="shared" si="233"/>
        <v/>
      </c>
      <c r="D406" s="24" t="str">
        <f t="shared" si="234"/>
        <v/>
      </c>
      <c r="E406" s="24" t="str">
        <f t="shared" si="235"/>
        <v/>
      </c>
      <c r="F406" s="25" t="str">
        <f t="shared" si="236"/>
        <v/>
      </c>
      <c r="G406" s="7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2"/>
      <c r="U406" s="12">
        <f t="shared" si="210"/>
        <v>0</v>
      </c>
      <c r="V406" s="28" t="str">
        <f t="shared" ca="1" si="211"/>
        <v/>
      </c>
      <c r="W406" s="28" t="str">
        <f t="shared" si="212"/>
        <v/>
      </c>
      <c r="X406" s="12" t="str">
        <f t="shared" si="213"/>
        <v/>
      </c>
      <c r="Y406" s="12" t="str">
        <f t="shared" si="214"/>
        <v/>
      </c>
      <c r="Z406" s="12" t="str">
        <f t="shared" si="215"/>
        <v/>
      </c>
      <c r="AA406" s="12" t="str">
        <f t="shared" si="216"/>
        <v/>
      </c>
      <c r="AB406" s="12" t="str">
        <f t="shared" si="217"/>
        <v/>
      </c>
      <c r="AC406" s="12" t="str">
        <f t="shared" si="218"/>
        <v/>
      </c>
      <c r="AD406" s="12" t="str">
        <f t="shared" si="219"/>
        <v/>
      </c>
      <c r="AE406" s="12" t="str">
        <f t="shared" si="220"/>
        <v/>
      </c>
      <c r="AF406" s="12" t="str">
        <f t="shared" si="221"/>
        <v/>
      </c>
      <c r="AG406" s="12"/>
      <c r="AH406" s="12" t="str">
        <f t="shared" si="222"/>
        <v/>
      </c>
      <c r="AI406" s="12" t="str">
        <f t="shared" si="223"/>
        <v/>
      </c>
      <c r="AJ406" s="12" t="str">
        <f t="shared" si="224"/>
        <v/>
      </c>
      <c r="AK406" s="12" t="str">
        <f t="shared" si="225"/>
        <v/>
      </c>
      <c r="AL406" s="12" t="str">
        <f t="shared" si="226"/>
        <v/>
      </c>
      <c r="AM406" s="12" t="str">
        <f t="shared" si="227"/>
        <v/>
      </c>
      <c r="AN406" s="12" t="str">
        <f t="shared" si="228"/>
        <v/>
      </c>
      <c r="AO406" s="12" t="str">
        <f t="shared" si="229"/>
        <v/>
      </c>
      <c r="AP406" s="12" t="str">
        <f t="shared" si="230"/>
        <v/>
      </c>
    </row>
    <row r="407" spans="1:42">
      <c r="A407" s="9" t="str">
        <f t="shared" si="231"/>
        <v/>
      </c>
      <c r="B407" s="22" t="str">
        <f t="shared" si="232"/>
        <v/>
      </c>
      <c r="C407" s="23" t="str">
        <f t="shared" si="233"/>
        <v/>
      </c>
      <c r="D407" s="24" t="str">
        <f t="shared" si="234"/>
        <v/>
      </c>
      <c r="E407" s="24" t="str">
        <f t="shared" si="235"/>
        <v/>
      </c>
      <c r="F407" s="25" t="str">
        <f t="shared" si="236"/>
        <v/>
      </c>
      <c r="G407" s="7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2"/>
      <c r="U407" s="12">
        <f t="shared" si="210"/>
        <v>0</v>
      </c>
      <c r="V407" s="28" t="str">
        <f t="shared" ca="1" si="211"/>
        <v/>
      </c>
      <c r="W407" s="28" t="str">
        <f t="shared" si="212"/>
        <v/>
      </c>
      <c r="X407" s="12" t="str">
        <f t="shared" si="213"/>
        <v/>
      </c>
      <c r="Y407" s="12" t="str">
        <f t="shared" si="214"/>
        <v/>
      </c>
      <c r="Z407" s="12" t="str">
        <f t="shared" si="215"/>
        <v/>
      </c>
      <c r="AA407" s="12" t="str">
        <f t="shared" si="216"/>
        <v/>
      </c>
      <c r="AB407" s="12" t="str">
        <f t="shared" si="217"/>
        <v/>
      </c>
      <c r="AC407" s="12" t="str">
        <f t="shared" si="218"/>
        <v/>
      </c>
      <c r="AD407" s="12" t="str">
        <f t="shared" si="219"/>
        <v/>
      </c>
      <c r="AE407" s="12" t="str">
        <f t="shared" si="220"/>
        <v/>
      </c>
      <c r="AF407" s="12" t="str">
        <f t="shared" si="221"/>
        <v/>
      </c>
      <c r="AG407" s="12"/>
      <c r="AH407" s="12" t="str">
        <f t="shared" si="222"/>
        <v/>
      </c>
      <c r="AI407" s="12" t="str">
        <f t="shared" si="223"/>
        <v/>
      </c>
      <c r="AJ407" s="12" t="str">
        <f t="shared" si="224"/>
        <v/>
      </c>
      <c r="AK407" s="12" t="str">
        <f t="shared" si="225"/>
        <v/>
      </c>
      <c r="AL407" s="12" t="str">
        <f t="shared" si="226"/>
        <v/>
      </c>
      <c r="AM407" s="12" t="str">
        <f t="shared" si="227"/>
        <v/>
      </c>
      <c r="AN407" s="12" t="str">
        <f t="shared" si="228"/>
        <v/>
      </c>
      <c r="AO407" s="12" t="str">
        <f t="shared" si="229"/>
        <v/>
      </c>
      <c r="AP407" s="12" t="str">
        <f t="shared" si="230"/>
        <v/>
      </c>
    </row>
    <row r="408" spans="1:42">
      <c r="A408" s="9" t="str">
        <f t="shared" si="231"/>
        <v/>
      </c>
      <c r="B408" s="22" t="str">
        <f t="shared" si="232"/>
        <v/>
      </c>
      <c r="C408" s="23" t="str">
        <f t="shared" si="233"/>
        <v/>
      </c>
      <c r="D408" s="24" t="str">
        <f t="shared" si="234"/>
        <v/>
      </c>
      <c r="E408" s="24" t="str">
        <f t="shared" si="235"/>
        <v/>
      </c>
      <c r="F408" s="25" t="str">
        <f t="shared" si="236"/>
        <v/>
      </c>
      <c r="G408" s="7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2"/>
      <c r="U408" s="12">
        <f t="shared" si="210"/>
        <v>0</v>
      </c>
      <c r="V408" s="28" t="str">
        <f t="shared" ca="1" si="211"/>
        <v/>
      </c>
      <c r="W408" s="28" t="str">
        <f t="shared" si="212"/>
        <v/>
      </c>
      <c r="X408" s="12" t="str">
        <f t="shared" si="213"/>
        <v/>
      </c>
      <c r="Y408" s="12" t="str">
        <f t="shared" si="214"/>
        <v/>
      </c>
      <c r="Z408" s="12" t="str">
        <f t="shared" si="215"/>
        <v/>
      </c>
      <c r="AA408" s="12" t="str">
        <f t="shared" si="216"/>
        <v/>
      </c>
      <c r="AB408" s="12" t="str">
        <f t="shared" si="217"/>
        <v/>
      </c>
      <c r="AC408" s="12" t="str">
        <f t="shared" si="218"/>
        <v/>
      </c>
      <c r="AD408" s="12" t="str">
        <f t="shared" si="219"/>
        <v/>
      </c>
      <c r="AE408" s="12" t="str">
        <f t="shared" si="220"/>
        <v/>
      </c>
      <c r="AF408" s="12" t="str">
        <f t="shared" si="221"/>
        <v/>
      </c>
      <c r="AG408" s="12"/>
      <c r="AH408" s="12" t="str">
        <f t="shared" si="222"/>
        <v/>
      </c>
      <c r="AI408" s="12" t="str">
        <f t="shared" si="223"/>
        <v/>
      </c>
      <c r="AJ408" s="12" t="str">
        <f t="shared" si="224"/>
        <v/>
      </c>
      <c r="AK408" s="12" t="str">
        <f t="shared" si="225"/>
        <v/>
      </c>
      <c r="AL408" s="12" t="str">
        <f t="shared" si="226"/>
        <v/>
      </c>
      <c r="AM408" s="12" t="str">
        <f t="shared" si="227"/>
        <v/>
      </c>
      <c r="AN408" s="12" t="str">
        <f t="shared" si="228"/>
        <v/>
      </c>
      <c r="AO408" s="12" t="str">
        <f t="shared" si="229"/>
        <v/>
      </c>
      <c r="AP408" s="12" t="str">
        <f t="shared" si="230"/>
        <v/>
      </c>
    </row>
    <row r="409" spans="1:42">
      <c r="A409" s="9" t="str">
        <f t="shared" si="231"/>
        <v/>
      </c>
      <c r="B409" s="22" t="str">
        <f t="shared" si="232"/>
        <v/>
      </c>
      <c r="C409" s="23" t="str">
        <f t="shared" si="233"/>
        <v/>
      </c>
      <c r="D409" s="24" t="str">
        <f t="shared" si="234"/>
        <v/>
      </c>
      <c r="E409" s="24" t="str">
        <f t="shared" si="235"/>
        <v/>
      </c>
      <c r="F409" s="25" t="str">
        <f t="shared" si="236"/>
        <v/>
      </c>
      <c r="G409" s="7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2"/>
      <c r="U409" s="12">
        <f t="shared" si="210"/>
        <v>0</v>
      </c>
      <c r="V409" s="28" t="str">
        <f t="shared" ca="1" si="211"/>
        <v/>
      </c>
      <c r="W409" s="28" t="str">
        <f t="shared" si="212"/>
        <v/>
      </c>
      <c r="X409" s="12" t="str">
        <f t="shared" si="213"/>
        <v/>
      </c>
      <c r="Y409" s="12" t="str">
        <f t="shared" si="214"/>
        <v/>
      </c>
      <c r="Z409" s="12" t="str">
        <f t="shared" si="215"/>
        <v/>
      </c>
      <c r="AA409" s="12" t="str">
        <f t="shared" si="216"/>
        <v/>
      </c>
      <c r="AB409" s="12" t="str">
        <f t="shared" si="217"/>
        <v/>
      </c>
      <c r="AC409" s="12" t="str">
        <f t="shared" si="218"/>
        <v/>
      </c>
      <c r="AD409" s="12" t="str">
        <f t="shared" si="219"/>
        <v/>
      </c>
      <c r="AE409" s="12" t="str">
        <f t="shared" si="220"/>
        <v/>
      </c>
      <c r="AF409" s="12" t="str">
        <f t="shared" si="221"/>
        <v/>
      </c>
      <c r="AG409" s="12"/>
      <c r="AH409" s="12" t="str">
        <f t="shared" si="222"/>
        <v/>
      </c>
      <c r="AI409" s="12" t="str">
        <f t="shared" si="223"/>
        <v/>
      </c>
      <c r="AJ409" s="12" t="str">
        <f t="shared" si="224"/>
        <v/>
      </c>
      <c r="AK409" s="12" t="str">
        <f t="shared" si="225"/>
        <v/>
      </c>
      <c r="AL409" s="12" t="str">
        <f t="shared" si="226"/>
        <v/>
      </c>
      <c r="AM409" s="12" t="str">
        <f t="shared" si="227"/>
        <v/>
      </c>
      <c r="AN409" s="12" t="str">
        <f t="shared" si="228"/>
        <v/>
      </c>
      <c r="AO409" s="12" t="str">
        <f t="shared" si="229"/>
        <v/>
      </c>
      <c r="AP409" s="12" t="str">
        <f t="shared" si="230"/>
        <v/>
      </c>
    </row>
    <row r="410" spans="1:42">
      <c r="A410" s="9" t="str">
        <f t="shared" si="231"/>
        <v/>
      </c>
      <c r="B410" s="22" t="str">
        <f t="shared" si="232"/>
        <v/>
      </c>
      <c r="C410" s="23" t="str">
        <f t="shared" si="233"/>
        <v/>
      </c>
      <c r="D410" s="24" t="str">
        <f t="shared" si="234"/>
        <v/>
      </c>
      <c r="E410" s="24" t="str">
        <f t="shared" si="235"/>
        <v/>
      </c>
      <c r="F410" s="25" t="str">
        <f t="shared" si="236"/>
        <v/>
      </c>
      <c r="G410" s="7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2"/>
      <c r="U410" s="12">
        <f t="shared" si="210"/>
        <v>0</v>
      </c>
      <c r="V410" s="28" t="str">
        <f t="shared" ca="1" si="211"/>
        <v/>
      </c>
      <c r="W410" s="28" t="str">
        <f t="shared" si="212"/>
        <v/>
      </c>
      <c r="X410" s="12" t="str">
        <f t="shared" si="213"/>
        <v/>
      </c>
      <c r="Y410" s="12" t="str">
        <f t="shared" si="214"/>
        <v/>
      </c>
      <c r="Z410" s="12" t="str">
        <f t="shared" si="215"/>
        <v/>
      </c>
      <c r="AA410" s="12" t="str">
        <f t="shared" si="216"/>
        <v/>
      </c>
      <c r="AB410" s="12" t="str">
        <f t="shared" si="217"/>
        <v/>
      </c>
      <c r="AC410" s="12" t="str">
        <f t="shared" si="218"/>
        <v/>
      </c>
      <c r="AD410" s="12" t="str">
        <f t="shared" si="219"/>
        <v/>
      </c>
      <c r="AE410" s="12" t="str">
        <f t="shared" si="220"/>
        <v/>
      </c>
      <c r="AF410" s="12" t="str">
        <f t="shared" si="221"/>
        <v/>
      </c>
      <c r="AG410" s="12"/>
      <c r="AH410" s="12" t="str">
        <f t="shared" si="222"/>
        <v/>
      </c>
      <c r="AI410" s="12" t="str">
        <f t="shared" si="223"/>
        <v/>
      </c>
      <c r="AJ410" s="12" t="str">
        <f t="shared" si="224"/>
        <v/>
      </c>
      <c r="AK410" s="12" t="str">
        <f t="shared" si="225"/>
        <v/>
      </c>
      <c r="AL410" s="12" t="str">
        <f t="shared" si="226"/>
        <v/>
      </c>
      <c r="AM410" s="12" t="str">
        <f t="shared" si="227"/>
        <v/>
      </c>
      <c r="AN410" s="12" t="str">
        <f t="shared" si="228"/>
        <v/>
      </c>
      <c r="AO410" s="12" t="str">
        <f t="shared" si="229"/>
        <v/>
      </c>
      <c r="AP410" s="12" t="str">
        <f t="shared" si="230"/>
        <v/>
      </c>
    </row>
    <row r="411" spans="1:42">
      <c r="A411" s="9" t="str">
        <f t="shared" si="231"/>
        <v/>
      </c>
      <c r="B411" s="22" t="str">
        <f t="shared" si="232"/>
        <v/>
      </c>
      <c r="C411" s="23" t="str">
        <f t="shared" si="233"/>
        <v/>
      </c>
      <c r="D411" s="24" t="str">
        <f t="shared" si="234"/>
        <v/>
      </c>
      <c r="E411" s="24" t="str">
        <f t="shared" si="235"/>
        <v/>
      </c>
      <c r="F411" s="25" t="str">
        <f t="shared" si="236"/>
        <v/>
      </c>
      <c r="G411" s="7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2"/>
      <c r="U411" s="12">
        <f t="shared" si="210"/>
        <v>0</v>
      </c>
      <c r="V411" s="28" t="str">
        <f t="shared" ca="1" si="211"/>
        <v/>
      </c>
      <c r="W411" s="28" t="str">
        <f t="shared" si="212"/>
        <v/>
      </c>
      <c r="X411" s="12" t="str">
        <f t="shared" si="213"/>
        <v/>
      </c>
      <c r="Y411" s="12" t="str">
        <f t="shared" si="214"/>
        <v/>
      </c>
      <c r="Z411" s="12" t="str">
        <f t="shared" si="215"/>
        <v/>
      </c>
      <c r="AA411" s="12" t="str">
        <f t="shared" si="216"/>
        <v/>
      </c>
      <c r="AB411" s="12" t="str">
        <f t="shared" si="217"/>
        <v/>
      </c>
      <c r="AC411" s="12" t="str">
        <f t="shared" si="218"/>
        <v/>
      </c>
      <c r="AD411" s="12" t="str">
        <f t="shared" si="219"/>
        <v/>
      </c>
      <c r="AE411" s="12" t="str">
        <f t="shared" si="220"/>
        <v/>
      </c>
      <c r="AF411" s="12" t="str">
        <f t="shared" si="221"/>
        <v/>
      </c>
      <c r="AG411" s="12"/>
      <c r="AH411" s="12" t="str">
        <f t="shared" si="222"/>
        <v/>
      </c>
      <c r="AI411" s="12" t="str">
        <f t="shared" si="223"/>
        <v/>
      </c>
      <c r="AJ411" s="12" t="str">
        <f t="shared" si="224"/>
        <v/>
      </c>
      <c r="AK411" s="12" t="str">
        <f t="shared" si="225"/>
        <v/>
      </c>
      <c r="AL411" s="12" t="str">
        <f t="shared" si="226"/>
        <v/>
      </c>
      <c r="AM411" s="12" t="str">
        <f t="shared" si="227"/>
        <v/>
      </c>
      <c r="AN411" s="12" t="str">
        <f t="shared" si="228"/>
        <v/>
      </c>
      <c r="AO411" s="12" t="str">
        <f t="shared" si="229"/>
        <v/>
      </c>
      <c r="AP411" s="12" t="str">
        <f t="shared" si="230"/>
        <v/>
      </c>
    </row>
    <row r="412" spans="1:42">
      <c r="A412" s="9" t="str">
        <f t="shared" si="231"/>
        <v/>
      </c>
      <c r="B412" s="22" t="str">
        <f t="shared" si="232"/>
        <v/>
      </c>
      <c r="C412" s="23" t="str">
        <f t="shared" si="233"/>
        <v/>
      </c>
      <c r="D412" s="24" t="str">
        <f t="shared" si="234"/>
        <v/>
      </c>
      <c r="E412" s="24" t="str">
        <f t="shared" si="235"/>
        <v/>
      </c>
      <c r="F412" s="25" t="str">
        <f t="shared" si="236"/>
        <v/>
      </c>
      <c r="G412" s="7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2"/>
      <c r="U412" s="12">
        <f t="shared" si="210"/>
        <v>0</v>
      </c>
      <c r="V412" s="28" t="str">
        <f t="shared" ca="1" si="211"/>
        <v/>
      </c>
      <c r="W412" s="28" t="str">
        <f t="shared" si="212"/>
        <v/>
      </c>
      <c r="X412" s="12" t="str">
        <f t="shared" si="213"/>
        <v/>
      </c>
      <c r="Y412" s="12" t="str">
        <f t="shared" si="214"/>
        <v/>
      </c>
      <c r="Z412" s="12" t="str">
        <f t="shared" si="215"/>
        <v/>
      </c>
      <c r="AA412" s="12" t="str">
        <f t="shared" si="216"/>
        <v/>
      </c>
      <c r="AB412" s="12" t="str">
        <f t="shared" si="217"/>
        <v/>
      </c>
      <c r="AC412" s="12" t="str">
        <f t="shared" si="218"/>
        <v/>
      </c>
      <c r="AD412" s="12" t="str">
        <f t="shared" si="219"/>
        <v/>
      </c>
      <c r="AE412" s="12" t="str">
        <f t="shared" si="220"/>
        <v/>
      </c>
      <c r="AF412" s="12" t="str">
        <f t="shared" si="221"/>
        <v/>
      </c>
      <c r="AG412" s="12"/>
      <c r="AH412" s="12" t="str">
        <f t="shared" si="222"/>
        <v/>
      </c>
      <c r="AI412" s="12" t="str">
        <f t="shared" si="223"/>
        <v/>
      </c>
      <c r="AJ412" s="12" t="str">
        <f t="shared" si="224"/>
        <v/>
      </c>
      <c r="AK412" s="12" t="str">
        <f t="shared" si="225"/>
        <v/>
      </c>
      <c r="AL412" s="12" t="str">
        <f t="shared" si="226"/>
        <v/>
      </c>
      <c r="AM412" s="12" t="str">
        <f t="shared" si="227"/>
        <v/>
      </c>
      <c r="AN412" s="12" t="str">
        <f t="shared" si="228"/>
        <v/>
      </c>
      <c r="AO412" s="12" t="str">
        <f t="shared" si="229"/>
        <v/>
      </c>
      <c r="AP412" s="12" t="str">
        <f t="shared" si="230"/>
        <v/>
      </c>
    </row>
    <row r="413" spans="1:42">
      <c r="A413" s="9" t="str">
        <f t="shared" si="231"/>
        <v/>
      </c>
      <c r="B413" s="22" t="str">
        <f t="shared" si="232"/>
        <v/>
      </c>
      <c r="C413" s="23" t="str">
        <f t="shared" si="233"/>
        <v/>
      </c>
      <c r="D413" s="24" t="str">
        <f t="shared" si="234"/>
        <v/>
      </c>
      <c r="E413" s="24" t="str">
        <f t="shared" si="235"/>
        <v/>
      </c>
      <c r="F413" s="25" t="str">
        <f t="shared" si="236"/>
        <v/>
      </c>
      <c r="G413" s="7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2"/>
      <c r="U413" s="12">
        <f t="shared" si="210"/>
        <v>0</v>
      </c>
      <c r="V413" s="28" t="str">
        <f t="shared" ca="1" si="211"/>
        <v/>
      </c>
      <c r="W413" s="28" t="str">
        <f t="shared" si="212"/>
        <v/>
      </c>
      <c r="X413" s="12" t="str">
        <f t="shared" si="213"/>
        <v/>
      </c>
      <c r="Y413" s="12" t="str">
        <f t="shared" si="214"/>
        <v/>
      </c>
      <c r="Z413" s="12" t="str">
        <f t="shared" si="215"/>
        <v/>
      </c>
      <c r="AA413" s="12" t="str">
        <f t="shared" si="216"/>
        <v/>
      </c>
      <c r="AB413" s="12" t="str">
        <f t="shared" si="217"/>
        <v/>
      </c>
      <c r="AC413" s="12" t="str">
        <f t="shared" si="218"/>
        <v/>
      </c>
      <c r="AD413" s="12" t="str">
        <f t="shared" si="219"/>
        <v/>
      </c>
      <c r="AE413" s="12" t="str">
        <f t="shared" si="220"/>
        <v/>
      </c>
      <c r="AF413" s="12" t="str">
        <f t="shared" si="221"/>
        <v/>
      </c>
      <c r="AG413" s="12"/>
      <c r="AH413" s="12" t="str">
        <f t="shared" si="222"/>
        <v/>
      </c>
      <c r="AI413" s="12" t="str">
        <f t="shared" si="223"/>
        <v/>
      </c>
      <c r="AJ413" s="12" t="str">
        <f t="shared" si="224"/>
        <v/>
      </c>
      <c r="AK413" s="12" t="str">
        <f t="shared" si="225"/>
        <v/>
      </c>
      <c r="AL413" s="12" t="str">
        <f t="shared" si="226"/>
        <v/>
      </c>
      <c r="AM413" s="12" t="str">
        <f t="shared" si="227"/>
        <v/>
      </c>
      <c r="AN413" s="12" t="str">
        <f t="shared" si="228"/>
        <v/>
      </c>
      <c r="AO413" s="12" t="str">
        <f t="shared" si="229"/>
        <v/>
      </c>
      <c r="AP413" s="12" t="str">
        <f t="shared" si="230"/>
        <v/>
      </c>
    </row>
    <row r="414" spans="1:42">
      <c r="A414" s="9" t="str">
        <f t="shared" si="231"/>
        <v/>
      </c>
      <c r="B414" s="22" t="str">
        <f t="shared" si="232"/>
        <v/>
      </c>
      <c r="C414" s="23" t="str">
        <f t="shared" si="233"/>
        <v/>
      </c>
      <c r="D414" s="24" t="str">
        <f t="shared" si="234"/>
        <v/>
      </c>
      <c r="E414" s="24" t="str">
        <f t="shared" si="235"/>
        <v/>
      </c>
      <c r="F414" s="25" t="str">
        <f t="shared" si="236"/>
        <v/>
      </c>
      <c r="G414" s="7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2"/>
      <c r="U414" s="12">
        <f t="shared" si="210"/>
        <v>0</v>
      </c>
      <c r="V414" s="28" t="str">
        <f t="shared" ca="1" si="211"/>
        <v/>
      </c>
      <c r="W414" s="28" t="str">
        <f t="shared" si="212"/>
        <v/>
      </c>
      <c r="X414" s="12" t="str">
        <f t="shared" si="213"/>
        <v/>
      </c>
      <c r="Y414" s="12" t="str">
        <f t="shared" si="214"/>
        <v/>
      </c>
      <c r="Z414" s="12" t="str">
        <f t="shared" si="215"/>
        <v/>
      </c>
      <c r="AA414" s="12" t="str">
        <f t="shared" si="216"/>
        <v/>
      </c>
      <c r="AB414" s="12" t="str">
        <f t="shared" si="217"/>
        <v/>
      </c>
      <c r="AC414" s="12" t="str">
        <f t="shared" si="218"/>
        <v/>
      </c>
      <c r="AD414" s="12" t="str">
        <f t="shared" si="219"/>
        <v/>
      </c>
      <c r="AE414" s="12" t="str">
        <f t="shared" si="220"/>
        <v/>
      </c>
      <c r="AF414" s="12" t="str">
        <f t="shared" si="221"/>
        <v/>
      </c>
      <c r="AG414" s="12"/>
      <c r="AH414" s="12" t="str">
        <f t="shared" si="222"/>
        <v/>
      </c>
      <c r="AI414" s="12" t="str">
        <f t="shared" si="223"/>
        <v/>
      </c>
      <c r="AJ414" s="12" t="str">
        <f t="shared" si="224"/>
        <v/>
      </c>
      <c r="AK414" s="12" t="str">
        <f t="shared" si="225"/>
        <v/>
      </c>
      <c r="AL414" s="12" t="str">
        <f t="shared" si="226"/>
        <v/>
      </c>
      <c r="AM414" s="12" t="str">
        <f t="shared" si="227"/>
        <v/>
      </c>
      <c r="AN414" s="12" t="str">
        <f t="shared" si="228"/>
        <v/>
      </c>
      <c r="AO414" s="12" t="str">
        <f t="shared" si="229"/>
        <v/>
      </c>
      <c r="AP414" s="12" t="str">
        <f t="shared" si="230"/>
        <v/>
      </c>
    </row>
    <row r="415" spans="1:42">
      <c r="A415" s="9" t="str">
        <f t="shared" si="231"/>
        <v/>
      </c>
      <c r="B415" s="22" t="str">
        <f t="shared" si="232"/>
        <v/>
      </c>
      <c r="C415" s="23" t="str">
        <f t="shared" si="233"/>
        <v/>
      </c>
      <c r="D415" s="24" t="str">
        <f t="shared" si="234"/>
        <v/>
      </c>
      <c r="E415" s="24" t="str">
        <f t="shared" si="235"/>
        <v/>
      </c>
      <c r="F415" s="25" t="str">
        <f t="shared" si="236"/>
        <v/>
      </c>
      <c r="G415" s="7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2"/>
      <c r="U415" s="12">
        <f t="shared" si="210"/>
        <v>0</v>
      </c>
      <c r="V415" s="28" t="str">
        <f t="shared" ca="1" si="211"/>
        <v/>
      </c>
      <c r="W415" s="28" t="str">
        <f t="shared" si="212"/>
        <v/>
      </c>
      <c r="X415" s="12" t="str">
        <f t="shared" si="213"/>
        <v/>
      </c>
      <c r="Y415" s="12" t="str">
        <f t="shared" si="214"/>
        <v/>
      </c>
      <c r="Z415" s="12" t="str">
        <f t="shared" si="215"/>
        <v/>
      </c>
      <c r="AA415" s="12" t="str">
        <f t="shared" si="216"/>
        <v/>
      </c>
      <c r="AB415" s="12" t="str">
        <f t="shared" si="217"/>
        <v/>
      </c>
      <c r="AC415" s="12" t="str">
        <f t="shared" si="218"/>
        <v/>
      </c>
      <c r="AD415" s="12" t="str">
        <f t="shared" si="219"/>
        <v/>
      </c>
      <c r="AE415" s="12" t="str">
        <f t="shared" si="220"/>
        <v/>
      </c>
      <c r="AF415" s="12" t="str">
        <f t="shared" si="221"/>
        <v/>
      </c>
      <c r="AG415" s="12"/>
      <c r="AH415" s="12" t="str">
        <f t="shared" si="222"/>
        <v/>
      </c>
      <c r="AI415" s="12" t="str">
        <f t="shared" si="223"/>
        <v/>
      </c>
      <c r="AJ415" s="12" t="str">
        <f t="shared" si="224"/>
        <v/>
      </c>
      <c r="AK415" s="12" t="str">
        <f t="shared" si="225"/>
        <v/>
      </c>
      <c r="AL415" s="12" t="str">
        <f t="shared" si="226"/>
        <v/>
      </c>
      <c r="AM415" s="12" t="str">
        <f t="shared" si="227"/>
        <v/>
      </c>
      <c r="AN415" s="12" t="str">
        <f t="shared" si="228"/>
        <v/>
      </c>
      <c r="AO415" s="12" t="str">
        <f t="shared" si="229"/>
        <v/>
      </c>
      <c r="AP415" s="12" t="str">
        <f t="shared" si="230"/>
        <v/>
      </c>
    </row>
    <row r="416" spans="1:42">
      <c r="A416" s="9" t="str">
        <f t="shared" si="231"/>
        <v/>
      </c>
      <c r="B416" s="22" t="str">
        <f t="shared" si="232"/>
        <v/>
      </c>
      <c r="C416" s="23" t="str">
        <f t="shared" si="233"/>
        <v/>
      </c>
      <c r="D416" s="24" t="str">
        <f t="shared" si="234"/>
        <v/>
      </c>
      <c r="E416" s="24" t="str">
        <f t="shared" si="235"/>
        <v/>
      </c>
      <c r="F416" s="25" t="str">
        <f t="shared" si="236"/>
        <v/>
      </c>
      <c r="G416" s="7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2"/>
      <c r="U416" s="12">
        <f t="shared" si="210"/>
        <v>0</v>
      </c>
      <c r="V416" s="28" t="str">
        <f t="shared" ca="1" si="211"/>
        <v/>
      </c>
      <c r="W416" s="28" t="str">
        <f t="shared" si="212"/>
        <v/>
      </c>
      <c r="X416" s="12" t="str">
        <f t="shared" si="213"/>
        <v/>
      </c>
      <c r="Y416" s="12" t="str">
        <f t="shared" si="214"/>
        <v/>
      </c>
      <c r="Z416" s="12" t="str">
        <f t="shared" si="215"/>
        <v/>
      </c>
      <c r="AA416" s="12" t="str">
        <f t="shared" si="216"/>
        <v/>
      </c>
      <c r="AB416" s="12" t="str">
        <f t="shared" si="217"/>
        <v/>
      </c>
      <c r="AC416" s="12" t="str">
        <f t="shared" si="218"/>
        <v/>
      </c>
      <c r="AD416" s="12" t="str">
        <f t="shared" si="219"/>
        <v/>
      </c>
      <c r="AE416" s="12" t="str">
        <f t="shared" si="220"/>
        <v/>
      </c>
      <c r="AF416" s="12" t="str">
        <f t="shared" si="221"/>
        <v/>
      </c>
      <c r="AG416" s="12"/>
      <c r="AH416" s="12" t="str">
        <f t="shared" si="222"/>
        <v/>
      </c>
      <c r="AI416" s="12" t="str">
        <f t="shared" si="223"/>
        <v/>
      </c>
      <c r="AJ416" s="12" t="str">
        <f t="shared" si="224"/>
        <v/>
      </c>
      <c r="AK416" s="12" t="str">
        <f t="shared" si="225"/>
        <v/>
      </c>
      <c r="AL416" s="12" t="str">
        <f t="shared" si="226"/>
        <v/>
      </c>
      <c r="AM416" s="12" t="str">
        <f t="shared" si="227"/>
        <v/>
      </c>
      <c r="AN416" s="12" t="str">
        <f t="shared" si="228"/>
        <v/>
      </c>
      <c r="AO416" s="12" t="str">
        <f t="shared" si="229"/>
        <v/>
      </c>
      <c r="AP416" s="12" t="str">
        <f t="shared" si="230"/>
        <v/>
      </c>
    </row>
    <row r="417" spans="1:42">
      <c r="A417" s="9" t="str">
        <f t="shared" si="231"/>
        <v/>
      </c>
      <c r="B417" s="22" t="str">
        <f t="shared" si="232"/>
        <v/>
      </c>
      <c r="C417" s="23" t="str">
        <f t="shared" si="233"/>
        <v/>
      </c>
      <c r="D417" s="24" t="str">
        <f t="shared" si="234"/>
        <v/>
      </c>
      <c r="E417" s="24" t="str">
        <f t="shared" si="235"/>
        <v/>
      </c>
      <c r="F417" s="25" t="str">
        <f t="shared" si="236"/>
        <v/>
      </c>
      <c r="G417" s="7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2"/>
      <c r="U417" s="12">
        <f t="shared" si="210"/>
        <v>0</v>
      </c>
      <c r="V417" s="28" t="str">
        <f t="shared" ca="1" si="211"/>
        <v/>
      </c>
      <c r="W417" s="28" t="str">
        <f t="shared" si="212"/>
        <v/>
      </c>
      <c r="X417" s="12" t="str">
        <f t="shared" si="213"/>
        <v/>
      </c>
      <c r="Y417" s="12" t="str">
        <f t="shared" si="214"/>
        <v/>
      </c>
      <c r="Z417" s="12" t="str">
        <f t="shared" si="215"/>
        <v/>
      </c>
      <c r="AA417" s="12" t="str">
        <f t="shared" si="216"/>
        <v/>
      </c>
      <c r="AB417" s="12" t="str">
        <f t="shared" si="217"/>
        <v/>
      </c>
      <c r="AC417" s="12" t="str">
        <f t="shared" si="218"/>
        <v/>
      </c>
      <c r="AD417" s="12" t="str">
        <f t="shared" si="219"/>
        <v/>
      </c>
      <c r="AE417" s="12" t="str">
        <f t="shared" si="220"/>
        <v/>
      </c>
      <c r="AF417" s="12" t="str">
        <f t="shared" si="221"/>
        <v/>
      </c>
      <c r="AG417" s="12"/>
      <c r="AH417" s="12" t="str">
        <f t="shared" si="222"/>
        <v/>
      </c>
      <c r="AI417" s="12" t="str">
        <f t="shared" si="223"/>
        <v/>
      </c>
      <c r="AJ417" s="12" t="str">
        <f t="shared" si="224"/>
        <v/>
      </c>
      <c r="AK417" s="12" t="str">
        <f t="shared" si="225"/>
        <v/>
      </c>
      <c r="AL417" s="12" t="str">
        <f t="shared" si="226"/>
        <v/>
      </c>
      <c r="AM417" s="12" t="str">
        <f t="shared" si="227"/>
        <v/>
      </c>
      <c r="AN417" s="12" t="str">
        <f t="shared" si="228"/>
        <v/>
      </c>
      <c r="AO417" s="12" t="str">
        <f t="shared" si="229"/>
        <v/>
      </c>
      <c r="AP417" s="12" t="str">
        <f t="shared" si="230"/>
        <v/>
      </c>
    </row>
    <row r="418" spans="1:42">
      <c r="A418" s="9" t="str">
        <f t="shared" si="231"/>
        <v/>
      </c>
      <c r="B418" s="22" t="str">
        <f t="shared" si="232"/>
        <v/>
      </c>
      <c r="C418" s="23" t="str">
        <f t="shared" si="233"/>
        <v/>
      </c>
      <c r="D418" s="24" t="str">
        <f t="shared" si="234"/>
        <v/>
      </c>
      <c r="E418" s="24" t="str">
        <f t="shared" si="235"/>
        <v/>
      </c>
      <c r="F418" s="25" t="str">
        <f t="shared" si="236"/>
        <v/>
      </c>
      <c r="G418" s="7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2"/>
      <c r="U418" s="12">
        <f t="shared" si="210"/>
        <v>0</v>
      </c>
      <c r="V418" s="28" t="str">
        <f t="shared" ca="1" si="211"/>
        <v/>
      </c>
      <c r="W418" s="28" t="str">
        <f t="shared" si="212"/>
        <v/>
      </c>
      <c r="X418" s="12" t="str">
        <f t="shared" si="213"/>
        <v/>
      </c>
      <c r="Y418" s="12" t="str">
        <f t="shared" si="214"/>
        <v/>
      </c>
      <c r="Z418" s="12" t="str">
        <f t="shared" si="215"/>
        <v/>
      </c>
      <c r="AA418" s="12" t="str">
        <f t="shared" si="216"/>
        <v/>
      </c>
      <c r="AB418" s="12" t="str">
        <f t="shared" si="217"/>
        <v/>
      </c>
      <c r="AC418" s="12" t="str">
        <f t="shared" si="218"/>
        <v/>
      </c>
      <c r="AD418" s="12" t="str">
        <f t="shared" si="219"/>
        <v/>
      </c>
      <c r="AE418" s="12" t="str">
        <f t="shared" si="220"/>
        <v/>
      </c>
      <c r="AF418" s="12" t="str">
        <f t="shared" si="221"/>
        <v/>
      </c>
      <c r="AG418" s="12"/>
      <c r="AH418" s="12" t="str">
        <f t="shared" si="222"/>
        <v/>
      </c>
      <c r="AI418" s="12" t="str">
        <f t="shared" si="223"/>
        <v/>
      </c>
      <c r="AJ418" s="12" t="str">
        <f t="shared" si="224"/>
        <v/>
      </c>
      <c r="AK418" s="12" t="str">
        <f t="shared" si="225"/>
        <v/>
      </c>
      <c r="AL418" s="12" t="str">
        <f t="shared" si="226"/>
        <v/>
      </c>
      <c r="AM418" s="12" t="str">
        <f t="shared" si="227"/>
        <v/>
      </c>
      <c r="AN418" s="12" t="str">
        <f t="shared" si="228"/>
        <v/>
      </c>
      <c r="AO418" s="12" t="str">
        <f t="shared" si="229"/>
        <v/>
      </c>
      <c r="AP418" s="12" t="str">
        <f t="shared" si="230"/>
        <v/>
      </c>
    </row>
    <row r="419" spans="1:42">
      <c r="A419" s="9" t="str">
        <f t="shared" si="231"/>
        <v/>
      </c>
      <c r="B419" s="22" t="str">
        <f t="shared" si="232"/>
        <v/>
      </c>
      <c r="C419" s="23" t="str">
        <f t="shared" si="233"/>
        <v/>
      </c>
      <c r="D419" s="24" t="str">
        <f t="shared" si="234"/>
        <v/>
      </c>
      <c r="E419" s="24" t="str">
        <f t="shared" si="235"/>
        <v/>
      </c>
      <c r="F419" s="25" t="str">
        <f t="shared" si="236"/>
        <v/>
      </c>
      <c r="G419" s="7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2"/>
      <c r="U419" s="12">
        <f t="shared" si="210"/>
        <v>0</v>
      </c>
      <c r="V419" s="28" t="str">
        <f t="shared" ca="1" si="211"/>
        <v/>
      </c>
      <c r="W419" s="28" t="str">
        <f t="shared" si="212"/>
        <v/>
      </c>
      <c r="X419" s="12" t="str">
        <f t="shared" si="213"/>
        <v/>
      </c>
      <c r="Y419" s="12" t="str">
        <f t="shared" si="214"/>
        <v/>
      </c>
      <c r="Z419" s="12" t="str">
        <f t="shared" si="215"/>
        <v/>
      </c>
      <c r="AA419" s="12" t="str">
        <f t="shared" si="216"/>
        <v/>
      </c>
      <c r="AB419" s="12" t="str">
        <f t="shared" si="217"/>
        <v/>
      </c>
      <c r="AC419" s="12" t="str">
        <f t="shared" si="218"/>
        <v/>
      </c>
      <c r="AD419" s="12" t="str">
        <f t="shared" si="219"/>
        <v/>
      </c>
      <c r="AE419" s="12" t="str">
        <f t="shared" si="220"/>
        <v/>
      </c>
      <c r="AF419" s="12" t="str">
        <f t="shared" si="221"/>
        <v/>
      </c>
      <c r="AG419" s="12"/>
      <c r="AH419" s="12" t="str">
        <f t="shared" si="222"/>
        <v/>
      </c>
      <c r="AI419" s="12" t="str">
        <f t="shared" si="223"/>
        <v/>
      </c>
      <c r="AJ419" s="12" t="str">
        <f t="shared" si="224"/>
        <v/>
      </c>
      <c r="AK419" s="12" t="str">
        <f t="shared" si="225"/>
        <v/>
      </c>
      <c r="AL419" s="12" t="str">
        <f t="shared" si="226"/>
        <v/>
      </c>
      <c r="AM419" s="12" t="str">
        <f t="shared" si="227"/>
        <v/>
      </c>
      <c r="AN419" s="12" t="str">
        <f t="shared" si="228"/>
        <v/>
      </c>
      <c r="AO419" s="12" t="str">
        <f t="shared" si="229"/>
        <v/>
      </c>
      <c r="AP419" s="12" t="str">
        <f t="shared" si="230"/>
        <v/>
      </c>
    </row>
    <row r="420" spans="1:42">
      <c r="A420" s="9" t="str">
        <f t="shared" si="231"/>
        <v/>
      </c>
      <c r="B420" s="22" t="str">
        <f t="shared" si="232"/>
        <v/>
      </c>
      <c r="C420" s="23" t="str">
        <f t="shared" si="233"/>
        <v/>
      </c>
      <c r="D420" s="24" t="str">
        <f t="shared" si="234"/>
        <v/>
      </c>
      <c r="E420" s="24" t="str">
        <f t="shared" si="235"/>
        <v/>
      </c>
      <c r="F420" s="25" t="str">
        <f t="shared" si="236"/>
        <v/>
      </c>
      <c r="G420" s="7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2"/>
      <c r="U420" s="12">
        <f t="shared" si="210"/>
        <v>0</v>
      </c>
      <c r="V420" s="28" t="str">
        <f t="shared" ca="1" si="211"/>
        <v/>
      </c>
      <c r="W420" s="28" t="str">
        <f t="shared" si="212"/>
        <v/>
      </c>
      <c r="X420" s="12" t="str">
        <f t="shared" si="213"/>
        <v/>
      </c>
      <c r="Y420" s="12" t="str">
        <f t="shared" si="214"/>
        <v/>
      </c>
      <c r="Z420" s="12" t="str">
        <f t="shared" si="215"/>
        <v/>
      </c>
      <c r="AA420" s="12" t="str">
        <f t="shared" si="216"/>
        <v/>
      </c>
      <c r="AB420" s="12" t="str">
        <f t="shared" si="217"/>
        <v/>
      </c>
      <c r="AC420" s="12" t="str">
        <f t="shared" si="218"/>
        <v/>
      </c>
      <c r="AD420" s="12" t="str">
        <f t="shared" si="219"/>
        <v/>
      </c>
      <c r="AE420" s="12" t="str">
        <f t="shared" si="220"/>
        <v/>
      </c>
      <c r="AF420" s="12" t="str">
        <f t="shared" si="221"/>
        <v/>
      </c>
      <c r="AG420" s="12"/>
      <c r="AH420" s="12" t="str">
        <f t="shared" si="222"/>
        <v/>
      </c>
      <c r="AI420" s="12" t="str">
        <f t="shared" si="223"/>
        <v/>
      </c>
      <c r="AJ420" s="12" t="str">
        <f t="shared" si="224"/>
        <v/>
      </c>
      <c r="AK420" s="12" t="str">
        <f t="shared" si="225"/>
        <v/>
      </c>
      <c r="AL420" s="12" t="str">
        <f t="shared" si="226"/>
        <v/>
      </c>
      <c r="AM420" s="12" t="str">
        <f t="shared" si="227"/>
        <v/>
      </c>
      <c r="AN420" s="12" t="str">
        <f t="shared" si="228"/>
        <v/>
      </c>
      <c r="AO420" s="12" t="str">
        <f t="shared" si="229"/>
        <v/>
      </c>
      <c r="AP420" s="12" t="str">
        <f t="shared" si="230"/>
        <v/>
      </c>
    </row>
    <row r="421" spans="1:42">
      <c r="A421" s="9" t="str">
        <f t="shared" si="231"/>
        <v/>
      </c>
      <c r="B421" s="22" t="str">
        <f t="shared" si="232"/>
        <v/>
      </c>
      <c r="C421" s="23" t="str">
        <f t="shared" si="233"/>
        <v/>
      </c>
      <c r="D421" s="24" t="str">
        <f t="shared" si="234"/>
        <v/>
      </c>
      <c r="E421" s="24" t="str">
        <f t="shared" si="235"/>
        <v/>
      </c>
      <c r="F421" s="25" t="str">
        <f t="shared" si="236"/>
        <v/>
      </c>
      <c r="G421" s="7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2"/>
      <c r="U421" s="12">
        <f t="shared" si="210"/>
        <v>0</v>
      </c>
      <c r="V421" s="28" t="str">
        <f t="shared" ca="1" si="211"/>
        <v/>
      </c>
      <c r="W421" s="28" t="str">
        <f t="shared" si="212"/>
        <v/>
      </c>
      <c r="X421" s="12" t="str">
        <f t="shared" si="213"/>
        <v/>
      </c>
      <c r="Y421" s="12" t="str">
        <f t="shared" si="214"/>
        <v/>
      </c>
      <c r="Z421" s="12" t="str">
        <f t="shared" si="215"/>
        <v/>
      </c>
      <c r="AA421" s="12" t="str">
        <f t="shared" si="216"/>
        <v/>
      </c>
      <c r="AB421" s="12" t="str">
        <f t="shared" si="217"/>
        <v/>
      </c>
      <c r="AC421" s="12" t="str">
        <f t="shared" si="218"/>
        <v/>
      </c>
      <c r="AD421" s="12" t="str">
        <f t="shared" si="219"/>
        <v/>
      </c>
      <c r="AE421" s="12" t="str">
        <f t="shared" si="220"/>
        <v/>
      </c>
      <c r="AF421" s="12" t="str">
        <f t="shared" si="221"/>
        <v/>
      </c>
      <c r="AG421" s="12"/>
      <c r="AH421" s="12" t="str">
        <f t="shared" si="222"/>
        <v/>
      </c>
      <c r="AI421" s="12" t="str">
        <f t="shared" si="223"/>
        <v/>
      </c>
      <c r="AJ421" s="12" t="str">
        <f t="shared" si="224"/>
        <v/>
      </c>
      <c r="AK421" s="12" t="str">
        <f t="shared" si="225"/>
        <v/>
      </c>
      <c r="AL421" s="12" t="str">
        <f t="shared" si="226"/>
        <v/>
      </c>
      <c r="AM421" s="12" t="str">
        <f t="shared" si="227"/>
        <v/>
      </c>
      <c r="AN421" s="12" t="str">
        <f t="shared" si="228"/>
        <v/>
      </c>
      <c r="AO421" s="12" t="str">
        <f t="shared" si="229"/>
        <v/>
      </c>
      <c r="AP421" s="12" t="str">
        <f t="shared" si="230"/>
        <v/>
      </c>
    </row>
    <row r="422" spans="1:42">
      <c r="A422" s="9" t="str">
        <f t="shared" si="231"/>
        <v/>
      </c>
      <c r="B422" s="22" t="str">
        <f t="shared" si="232"/>
        <v/>
      </c>
      <c r="C422" s="23" t="str">
        <f t="shared" si="233"/>
        <v/>
      </c>
      <c r="D422" s="24" t="str">
        <f t="shared" si="234"/>
        <v/>
      </c>
      <c r="E422" s="24" t="str">
        <f t="shared" si="235"/>
        <v/>
      </c>
      <c r="F422" s="25" t="str">
        <f t="shared" si="236"/>
        <v/>
      </c>
      <c r="G422" s="7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2"/>
      <c r="U422" s="12">
        <f t="shared" si="210"/>
        <v>0</v>
      </c>
      <c r="V422" s="28" t="str">
        <f t="shared" ca="1" si="211"/>
        <v/>
      </c>
      <c r="W422" s="28" t="str">
        <f t="shared" si="212"/>
        <v/>
      </c>
      <c r="X422" s="12" t="str">
        <f t="shared" si="213"/>
        <v/>
      </c>
      <c r="Y422" s="12" t="str">
        <f t="shared" si="214"/>
        <v/>
      </c>
      <c r="Z422" s="12" t="str">
        <f t="shared" si="215"/>
        <v/>
      </c>
      <c r="AA422" s="12" t="str">
        <f t="shared" si="216"/>
        <v/>
      </c>
      <c r="AB422" s="12" t="str">
        <f t="shared" si="217"/>
        <v/>
      </c>
      <c r="AC422" s="12" t="str">
        <f t="shared" si="218"/>
        <v/>
      </c>
      <c r="AD422" s="12" t="str">
        <f t="shared" si="219"/>
        <v/>
      </c>
      <c r="AE422" s="12" t="str">
        <f t="shared" si="220"/>
        <v/>
      </c>
      <c r="AF422" s="12" t="str">
        <f t="shared" si="221"/>
        <v/>
      </c>
      <c r="AG422" s="12"/>
      <c r="AH422" s="12" t="str">
        <f t="shared" si="222"/>
        <v/>
      </c>
      <c r="AI422" s="12" t="str">
        <f t="shared" si="223"/>
        <v/>
      </c>
      <c r="AJ422" s="12" t="str">
        <f t="shared" si="224"/>
        <v/>
      </c>
      <c r="AK422" s="12" t="str">
        <f t="shared" si="225"/>
        <v/>
      </c>
      <c r="AL422" s="12" t="str">
        <f t="shared" si="226"/>
        <v/>
      </c>
      <c r="AM422" s="12" t="str">
        <f t="shared" si="227"/>
        <v/>
      </c>
      <c r="AN422" s="12" t="str">
        <f t="shared" si="228"/>
        <v/>
      </c>
      <c r="AO422" s="12" t="str">
        <f t="shared" si="229"/>
        <v/>
      </c>
      <c r="AP422" s="12" t="str">
        <f t="shared" si="230"/>
        <v/>
      </c>
    </row>
    <row r="423" spans="1:42">
      <c r="A423" s="9" t="str">
        <f t="shared" si="231"/>
        <v/>
      </c>
      <c r="B423" s="22" t="str">
        <f t="shared" si="232"/>
        <v/>
      </c>
      <c r="C423" s="23" t="str">
        <f t="shared" si="233"/>
        <v/>
      </c>
      <c r="D423" s="24" t="str">
        <f t="shared" si="234"/>
        <v/>
      </c>
      <c r="E423" s="24" t="str">
        <f t="shared" si="235"/>
        <v/>
      </c>
      <c r="F423" s="25" t="str">
        <f t="shared" si="236"/>
        <v/>
      </c>
      <c r="G423" s="7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2"/>
      <c r="U423" s="12">
        <f t="shared" si="210"/>
        <v>0</v>
      </c>
      <c r="V423" s="28" t="str">
        <f t="shared" ca="1" si="211"/>
        <v/>
      </c>
      <c r="W423" s="28" t="str">
        <f t="shared" si="212"/>
        <v/>
      </c>
      <c r="X423" s="12" t="str">
        <f t="shared" si="213"/>
        <v/>
      </c>
      <c r="Y423" s="12" t="str">
        <f t="shared" si="214"/>
        <v/>
      </c>
      <c r="Z423" s="12" t="str">
        <f t="shared" si="215"/>
        <v/>
      </c>
      <c r="AA423" s="12" t="str">
        <f t="shared" si="216"/>
        <v/>
      </c>
      <c r="AB423" s="12" t="str">
        <f t="shared" si="217"/>
        <v/>
      </c>
      <c r="AC423" s="12" t="str">
        <f t="shared" si="218"/>
        <v/>
      </c>
      <c r="AD423" s="12" t="str">
        <f t="shared" si="219"/>
        <v/>
      </c>
      <c r="AE423" s="12" t="str">
        <f t="shared" si="220"/>
        <v/>
      </c>
      <c r="AF423" s="12" t="str">
        <f t="shared" si="221"/>
        <v/>
      </c>
      <c r="AG423" s="12"/>
      <c r="AH423" s="12" t="str">
        <f t="shared" si="222"/>
        <v/>
      </c>
      <c r="AI423" s="12" t="str">
        <f t="shared" si="223"/>
        <v/>
      </c>
      <c r="AJ423" s="12" t="str">
        <f t="shared" si="224"/>
        <v/>
      </c>
      <c r="AK423" s="12" t="str">
        <f t="shared" si="225"/>
        <v/>
      </c>
      <c r="AL423" s="12" t="str">
        <f t="shared" si="226"/>
        <v/>
      </c>
      <c r="AM423" s="12" t="str">
        <f t="shared" si="227"/>
        <v/>
      </c>
      <c r="AN423" s="12" t="str">
        <f t="shared" si="228"/>
        <v/>
      </c>
      <c r="AO423" s="12" t="str">
        <f t="shared" si="229"/>
        <v/>
      </c>
      <c r="AP423" s="12" t="str">
        <f t="shared" si="230"/>
        <v/>
      </c>
    </row>
    <row r="424" spans="1:42">
      <c r="A424" s="9" t="str">
        <f t="shared" si="231"/>
        <v/>
      </c>
      <c r="B424" s="22" t="str">
        <f t="shared" si="232"/>
        <v/>
      </c>
      <c r="C424" s="23" t="str">
        <f t="shared" si="233"/>
        <v/>
      </c>
      <c r="D424" s="24" t="str">
        <f t="shared" si="234"/>
        <v/>
      </c>
      <c r="E424" s="24" t="str">
        <f t="shared" si="235"/>
        <v/>
      </c>
      <c r="F424" s="25" t="str">
        <f t="shared" si="236"/>
        <v/>
      </c>
      <c r="G424" s="7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2"/>
      <c r="U424" s="12">
        <f t="shared" si="210"/>
        <v>0</v>
      </c>
      <c r="V424" s="28" t="str">
        <f t="shared" ca="1" si="211"/>
        <v/>
      </c>
      <c r="W424" s="28" t="str">
        <f t="shared" si="212"/>
        <v/>
      </c>
      <c r="X424" s="12" t="str">
        <f t="shared" si="213"/>
        <v/>
      </c>
      <c r="Y424" s="12" t="str">
        <f t="shared" si="214"/>
        <v/>
      </c>
      <c r="Z424" s="12" t="str">
        <f t="shared" si="215"/>
        <v/>
      </c>
      <c r="AA424" s="12" t="str">
        <f t="shared" si="216"/>
        <v/>
      </c>
      <c r="AB424" s="12" t="str">
        <f t="shared" si="217"/>
        <v/>
      </c>
      <c r="AC424" s="12" t="str">
        <f t="shared" si="218"/>
        <v/>
      </c>
      <c r="AD424" s="12" t="str">
        <f t="shared" si="219"/>
        <v/>
      </c>
      <c r="AE424" s="12" t="str">
        <f t="shared" si="220"/>
        <v/>
      </c>
      <c r="AF424" s="12" t="str">
        <f t="shared" si="221"/>
        <v/>
      </c>
      <c r="AG424" s="12"/>
      <c r="AH424" s="12" t="str">
        <f t="shared" si="222"/>
        <v/>
      </c>
      <c r="AI424" s="12" t="str">
        <f t="shared" si="223"/>
        <v/>
      </c>
      <c r="AJ424" s="12" t="str">
        <f t="shared" si="224"/>
        <v/>
      </c>
      <c r="AK424" s="12" t="str">
        <f t="shared" si="225"/>
        <v/>
      </c>
      <c r="AL424" s="12" t="str">
        <f t="shared" si="226"/>
        <v/>
      </c>
      <c r="AM424" s="12" t="str">
        <f t="shared" si="227"/>
        <v/>
      </c>
      <c r="AN424" s="12" t="str">
        <f t="shared" si="228"/>
        <v/>
      </c>
      <c r="AO424" s="12" t="str">
        <f t="shared" si="229"/>
        <v/>
      </c>
      <c r="AP424" s="12" t="str">
        <f t="shared" si="230"/>
        <v/>
      </c>
    </row>
    <row r="425" spans="1:42">
      <c r="A425" s="9" t="str">
        <f t="shared" si="231"/>
        <v/>
      </c>
      <c r="B425" s="22" t="str">
        <f t="shared" si="232"/>
        <v/>
      </c>
      <c r="C425" s="23" t="str">
        <f t="shared" si="233"/>
        <v/>
      </c>
      <c r="D425" s="24" t="str">
        <f t="shared" si="234"/>
        <v/>
      </c>
      <c r="E425" s="24" t="str">
        <f t="shared" si="235"/>
        <v/>
      </c>
      <c r="F425" s="25" t="str">
        <f t="shared" si="236"/>
        <v/>
      </c>
      <c r="G425" s="7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2"/>
      <c r="U425" s="12">
        <f t="shared" si="210"/>
        <v>0</v>
      </c>
      <c r="V425" s="28" t="str">
        <f t="shared" ca="1" si="211"/>
        <v/>
      </c>
      <c r="W425" s="28" t="str">
        <f t="shared" si="212"/>
        <v/>
      </c>
      <c r="X425" s="12" t="str">
        <f t="shared" si="213"/>
        <v/>
      </c>
      <c r="Y425" s="12" t="str">
        <f t="shared" si="214"/>
        <v/>
      </c>
      <c r="Z425" s="12" t="str">
        <f t="shared" si="215"/>
        <v/>
      </c>
      <c r="AA425" s="12" t="str">
        <f t="shared" si="216"/>
        <v/>
      </c>
      <c r="AB425" s="12" t="str">
        <f t="shared" si="217"/>
        <v/>
      </c>
      <c r="AC425" s="12" t="str">
        <f t="shared" si="218"/>
        <v/>
      </c>
      <c r="AD425" s="12" t="str">
        <f t="shared" si="219"/>
        <v/>
      </c>
      <c r="AE425" s="12" t="str">
        <f t="shared" si="220"/>
        <v/>
      </c>
      <c r="AF425" s="12" t="str">
        <f t="shared" si="221"/>
        <v/>
      </c>
      <c r="AG425" s="12"/>
      <c r="AH425" s="12" t="str">
        <f t="shared" si="222"/>
        <v/>
      </c>
      <c r="AI425" s="12" t="str">
        <f t="shared" si="223"/>
        <v/>
      </c>
      <c r="AJ425" s="12" t="str">
        <f t="shared" si="224"/>
        <v/>
      </c>
      <c r="AK425" s="12" t="str">
        <f t="shared" si="225"/>
        <v/>
      </c>
      <c r="AL425" s="12" t="str">
        <f t="shared" si="226"/>
        <v/>
      </c>
      <c r="AM425" s="12" t="str">
        <f t="shared" si="227"/>
        <v/>
      </c>
      <c r="AN425" s="12" t="str">
        <f t="shared" si="228"/>
        <v/>
      </c>
      <c r="AO425" s="12" t="str">
        <f t="shared" si="229"/>
        <v/>
      </c>
      <c r="AP425" s="12" t="str">
        <f t="shared" si="230"/>
        <v/>
      </c>
    </row>
    <row r="426" spans="1:42">
      <c r="A426" s="9" t="str">
        <f t="shared" si="231"/>
        <v/>
      </c>
      <c r="B426" s="22" t="str">
        <f t="shared" si="232"/>
        <v/>
      </c>
      <c r="C426" s="23" t="str">
        <f t="shared" si="233"/>
        <v/>
      </c>
      <c r="D426" s="24" t="str">
        <f t="shared" si="234"/>
        <v/>
      </c>
      <c r="E426" s="24" t="str">
        <f t="shared" si="235"/>
        <v/>
      </c>
      <c r="F426" s="25" t="str">
        <f t="shared" si="236"/>
        <v/>
      </c>
      <c r="G426" s="7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2"/>
      <c r="U426" s="12">
        <f t="shared" si="210"/>
        <v>0</v>
      </c>
      <c r="V426" s="28" t="str">
        <f t="shared" ca="1" si="211"/>
        <v/>
      </c>
      <c r="W426" s="28" t="str">
        <f t="shared" si="212"/>
        <v/>
      </c>
      <c r="X426" s="12" t="str">
        <f t="shared" si="213"/>
        <v/>
      </c>
      <c r="Y426" s="12" t="str">
        <f t="shared" si="214"/>
        <v/>
      </c>
      <c r="Z426" s="12" t="str">
        <f t="shared" si="215"/>
        <v/>
      </c>
      <c r="AA426" s="12" t="str">
        <f t="shared" si="216"/>
        <v/>
      </c>
      <c r="AB426" s="12" t="str">
        <f t="shared" si="217"/>
        <v/>
      </c>
      <c r="AC426" s="12" t="str">
        <f t="shared" si="218"/>
        <v/>
      </c>
      <c r="AD426" s="12" t="str">
        <f t="shared" si="219"/>
        <v/>
      </c>
      <c r="AE426" s="12" t="str">
        <f t="shared" si="220"/>
        <v/>
      </c>
      <c r="AF426" s="12" t="str">
        <f t="shared" si="221"/>
        <v/>
      </c>
      <c r="AG426" s="12"/>
      <c r="AH426" s="12" t="str">
        <f t="shared" si="222"/>
        <v/>
      </c>
      <c r="AI426" s="12" t="str">
        <f t="shared" si="223"/>
        <v/>
      </c>
      <c r="AJ426" s="12" t="str">
        <f t="shared" si="224"/>
        <v/>
      </c>
      <c r="AK426" s="12" t="str">
        <f t="shared" si="225"/>
        <v/>
      </c>
      <c r="AL426" s="12" t="str">
        <f t="shared" si="226"/>
        <v/>
      </c>
      <c r="AM426" s="12" t="str">
        <f t="shared" si="227"/>
        <v/>
      </c>
      <c r="AN426" s="12" t="str">
        <f t="shared" si="228"/>
        <v/>
      </c>
      <c r="AO426" s="12" t="str">
        <f t="shared" si="229"/>
        <v/>
      </c>
      <c r="AP426" s="12" t="str">
        <f t="shared" si="230"/>
        <v/>
      </c>
    </row>
    <row r="427" spans="1:42">
      <c r="A427" s="9" t="str">
        <f t="shared" si="231"/>
        <v/>
      </c>
      <c r="B427" s="22" t="str">
        <f t="shared" si="232"/>
        <v/>
      </c>
      <c r="C427" s="23" t="str">
        <f t="shared" si="233"/>
        <v/>
      </c>
      <c r="D427" s="24" t="str">
        <f t="shared" si="234"/>
        <v/>
      </c>
      <c r="E427" s="24" t="str">
        <f t="shared" si="235"/>
        <v/>
      </c>
      <c r="F427" s="25" t="str">
        <f t="shared" si="236"/>
        <v/>
      </c>
      <c r="G427" s="7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2"/>
      <c r="U427" s="12">
        <f t="shared" si="210"/>
        <v>0</v>
      </c>
      <c r="V427" s="28" t="str">
        <f t="shared" ca="1" si="211"/>
        <v/>
      </c>
      <c r="W427" s="28" t="str">
        <f t="shared" si="212"/>
        <v/>
      </c>
      <c r="X427" s="12" t="str">
        <f t="shared" si="213"/>
        <v/>
      </c>
      <c r="Y427" s="12" t="str">
        <f t="shared" si="214"/>
        <v/>
      </c>
      <c r="Z427" s="12" t="str">
        <f t="shared" si="215"/>
        <v/>
      </c>
      <c r="AA427" s="12" t="str">
        <f t="shared" si="216"/>
        <v/>
      </c>
      <c r="AB427" s="12" t="str">
        <f t="shared" si="217"/>
        <v/>
      </c>
      <c r="AC427" s="12" t="str">
        <f t="shared" si="218"/>
        <v/>
      </c>
      <c r="AD427" s="12" t="str">
        <f t="shared" si="219"/>
        <v/>
      </c>
      <c r="AE427" s="12" t="str">
        <f t="shared" si="220"/>
        <v/>
      </c>
      <c r="AF427" s="12" t="str">
        <f t="shared" si="221"/>
        <v/>
      </c>
      <c r="AG427" s="12"/>
      <c r="AH427" s="12" t="str">
        <f t="shared" si="222"/>
        <v/>
      </c>
      <c r="AI427" s="12" t="str">
        <f t="shared" si="223"/>
        <v/>
      </c>
      <c r="AJ427" s="12" t="str">
        <f t="shared" si="224"/>
        <v/>
      </c>
      <c r="AK427" s="12" t="str">
        <f t="shared" si="225"/>
        <v/>
      </c>
      <c r="AL427" s="12" t="str">
        <f t="shared" si="226"/>
        <v/>
      </c>
      <c r="AM427" s="12" t="str">
        <f t="shared" si="227"/>
        <v/>
      </c>
      <c r="AN427" s="12" t="str">
        <f t="shared" si="228"/>
        <v/>
      </c>
      <c r="AO427" s="12" t="str">
        <f t="shared" si="229"/>
        <v/>
      </c>
      <c r="AP427" s="12" t="str">
        <f t="shared" si="230"/>
        <v/>
      </c>
    </row>
    <row r="428" spans="1:42">
      <c r="A428" s="9" t="str">
        <f t="shared" si="231"/>
        <v/>
      </c>
      <c r="B428" s="22" t="str">
        <f t="shared" si="232"/>
        <v/>
      </c>
      <c r="C428" s="23" t="str">
        <f t="shared" si="233"/>
        <v/>
      </c>
      <c r="D428" s="24" t="str">
        <f t="shared" si="234"/>
        <v/>
      </c>
      <c r="E428" s="24" t="str">
        <f t="shared" si="235"/>
        <v/>
      </c>
      <c r="F428" s="25" t="str">
        <f t="shared" si="236"/>
        <v/>
      </c>
      <c r="G428" s="7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2"/>
      <c r="U428" s="12">
        <f t="shared" si="210"/>
        <v>0</v>
      </c>
      <c r="V428" s="28" t="str">
        <f t="shared" ca="1" si="211"/>
        <v/>
      </c>
      <c r="W428" s="28" t="str">
        <f t="shared" si="212"/>
        <v/>
      </c>
      <c r="X428" s="12" t="str">
        <f t="shared" si="213"/>
        <v/>
      </c>
      <c r="Y428" s="12" t="str">
        <f t="shared" si="214"/>
        <v/>
      </c>
      <c r="Z428" s="12" t="str">
        <f t="shared" si="215"/>
        <v/>
      </c>
      <c r="AA428" s="12" t="str">
        <f t="shared" si="216"/>
        <v/>
      </c>
      <c r="AB428" s="12" t="str">
        <f t="shared" si="217"/>
        <v/>
      </c>
      <c r="AC428" s="12" t="str">
        <f t="shared" si="218"/>
        <v/>
      </c>
      <c r="AD428" s="12" t="str">
        <f t="shared" si="219"/>
        <v/>
      </c>
      <c r="AE428" s="12" t="str">
        <f t="shared" si="220"/>
        <v/>
      </c>
      <c r="AF428" s="12" t="str">
        <f t="shared" si="221"/>
        <v/>
      </c>
      <c r="AG428" s="12"/>
      <c r="AH428" s="12" t="str">
        <f t="shared" si="222"/>
        <v/>
      </c>
      <c r="AI428" s="12" t="str">
        <f t="shared" si="223"/>
        <v/>
      </c>
      <c r="AJ428" s="12" t="str">
        <f t="shared" si="224"/>
        <v/>
      </c>
      <c r="AK428" s="12" t="str">
        <f t="shared" si="225"/>
        <v/>
      </c>
      <c r="AL428" s="12" t="str">
        <f t="shared" si="226"/>
        <v/>
      </c>
      <c r="AM428" s="12" t="str">
        <f t="shared" si="227"/>
        <v/>
      </c>
      <c r="AN428" s="12" t="str">
        <f t="shared" si="228"/>
        <v/>
      </c>
      <c r="AO428" s="12" t="str">
        <f t="shared" si="229"/>
        <v/>
      </c>
      <c r="AP428" s="12" t="str">
        <f t="shared" si="230"/>
        <v/>
      </c>
    </row>
    <row r="429" spans="1:42">
      <c r="A429" s="9" t="str">
        <f t="shared" si="231"/>
        <v/>
      </c>
      <c r="B429" s="22" t="str">
        <f t="shared" si="232"/>
        <v/>
      </c>
      <c r="C429" s="23" t="str">
        <f t="shared" si="233"/>
        <v/>
      </c>
      <c r="D429" s="24" t="str">
        <f t="shared" si="234"/>
        <v/>
      </c>
      <c r="E429" s="24" t="str">
        <f t="shared" si="235"/>
        <v/>
      </c>
      <c r="F429" s="25" t="str">
        <f t="shared" si="236"/>
        <v/>
      </c>
      <c r="G429" s="7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2"/>
      <c r="U429" s="12">
        <f t="shared" si="210"/>
        <v>0</v>
      </c>
      <c r="V429" s="28" t="str">
        <f t="shared" ca="1" si="211"/>
        <v/>
      </c>
      <c r="W429" s="28" t="str">
        <f t="shared" si="212"/>
        <v/>
      </c>
      <c r="X429" s="12" t="str">
        <f t="shared" si="213"/>
        <v/>
      </c>
      <c r="Y429" s="12" t="str">
        <f t="shared" si="214"/>
        <v/>
      </c>
      <c r="Z429" s="12" t="str">
        <f t="shared" si="215"/>
        <v/>
      </c>
      <c r="AA429" s="12" t="str">
        <f t="shared" si="216"/>
        <v/>
      </c>
      <c r="AB429" s="12" t="str">
        <f t="shared" si="217"/>
        <v/>
      </c>
      <c r="AC429" s="12" t="str">
        <f t="shared" si="218"/>
        <v/>
      </c>
      <c r="AD429" s="12" t="str">
        <f t="shared" si="219"/>
        <v/>
      </c>
      <c r="AE429" s="12" t="str">
        <f t="shared" si="220"/>
        <v/>
      </c>
      <c r="AF429" s="12" t="str">
        <f t="shared" si="221"/>
        <v/>
      </c>
      <c r="AG429" s="12"/>
      <c r="AH429" s="12" t="str">
        <f t="shared" si="222"/>
        <v/>
      </c>
      <c r="AI429" s="12" t="str">
        <f t="shared" si="223"/>
        <v/>
      </c>
      <c r="AJ429" s="12" t="str">
        <f t="shared" si="224"/>
        <v/>
      </c>
      <c r="AK429" s="12" t="str">
        <f t="shared" si="225"/>
        <v/>
      </c>
      <c r="AL429" s="12" t="str">
        <f t="shared" si="226"/>
        <v/>
      </c>
      <c r="AM429" s="12" t="str">
        <f t="shared" si="227"/>
        <v/>
      </c>
      <c r="AN429" s="12" t="str">
        <f t="shared" si="228"/>
        <v/>
      </c>
      <c r="AO429" s="12" t="str">
        <f t="shared" si="229"/>
        <v/>
      </c>
      <c r="AP429" s="12" t="str">
        <f t="shared" si="230"/>
        <v/>
      </c>
    </row>
    <row r="430" spans="1:42">
      <c r="A430" s="9" t="str">
        <f t="shared" si="231"/>
        <v/>
      </c>
      <c r="B430" s="22" t="str">
        <f t="shared" si="232"/>
        <v/>
      </c>
      <c r="C430" s="23" t="str">
        <f t="shared" si="233"/>
        <v/>
      </c>
      <c r="D430" s="24" t="str">
        <f t="shared" si="234"/>
        <v/>
      </c>
      <c r="E430" s="24" t="str">
        <f t="shared" si="235"/>
        <v/>
      </c>
      <c r="F430" s="25" t="str">
        <f t="shared" si="236"/>
        <v/>
      </c>
      <c r="G430" s="7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2"/>
      <c r="U430" s="12">
        <f t="shared" si="210"/>
        <v>0</v>
      </c>
      <c r="V430" s="28" t="str">
        <f t="shared" ca="1" si="211"/>
        <v/>
      </c>
      <c r="W430" s="28" t="str">
        <f t="shared" si="212"/>
        <v/>
      </c>
      <c r="X430" s="12" t="str">
        <f t="shared" si="213"/>
        <v/>
      </c>
      <c r="Y430" s="12" t="str">
        <f t="shared" si="214"/>
        <v/>
      </c>
      <c r="Z430" s="12" t="str">
        <f t="shared" si="215"/>
        <v/>
      </c>
      <c r="AA430" s="12" t="str">
        <f t="shared" si="216"/>
        <v/>
      </c>
      <c r="AB430" s="12" t="str">
        <f t="shared" si="217"/>
        <v/>
      </c>
      <c r="AC430" s="12" t="str">
        <f t="shared" si="218"/>
        <v/>
      </c>
      <c r="AD430" s="12" t="str">
        <f t="shared" si="219"/>
        <v/>
      </c>
      <c r="AE430" s="12" t="str">
        <f t="shared" si="220"/>
        <v/>
      </c>
      <c r="AF430" s="12" t="str">
        <f t="shared" si="221"/>
        <v/>
      </c>
      <c r="AG430" s="12"/>
      <c r="AH430" s="12" t="str">
        <f t="shared" si="222"/>
        <v/>
      </c>
      <c r="AI430" s="12" t="str">
        <f t="shared" si="223"/>
        <v/>
      </c>
      <c r="AJ430" s="12" t="str">
        <f t="shared" si="224"/>
        <v/>
      </c>
      <c r="AK430" s="12" t="str">
        <f t="shared" si="225"/>
        <v/>
      </c>
      <c r="AL430" s="12" t="str">
        <f t="shared" si="226"/>
        <v/>
      </c>
      <c r="AM430" s="12" t="str">
        <f t="shared" si="227"/>
        <v/>
      </c>
      <c r="AN430" s="12" t="str">
        <f t="shared" si="228"/>
        <v/>
      </c>
      <c r="AO430" s="12" t="str">
        <f t="shared" si="229"/>
        <v/>
      </c>
      <c r="AP430" s="12" t="str">
        <f t="shared" si="230"/>
        <v/>
      </c>
    </row>
    <row r="431" spans="1:42">
      <c r="A431" s="9" t="str">
        <f t="shared" si="231"/>
        <v/>
      </c>
      <c r="B431" s="22" t="str">
        <f t="shared" si="232"/>
        <v/>
      </c>
      <c r="C431" s="23" t="str">
        <f t="shared" si="233"/>
        <v/>
      </c>
      <c r="D431" s="24" t="str">
        <f t="shared" si="234"/>
        <v/>
      </c>
      <c r="E431" s="24" t="str">
        <f t="shared" si="235"/>
        <v/>
      </c>
      <c r="F431" s="25" t="str">
        <f t="shared" si="236"/>
        <v/>
      </c>
      <c r="G431" s="7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2"/>
      <c r="U431" s="12">
        <f t="shared" si="210"/>
        <v>0</v>
      </c>
      <c r="V431" s="28" t="str">
        <f t="shared" ca="1" si="211"/>
        <v/>
      </c>
      <c r="W431" s="28" t="str">
        <f t="shared" si="212"/>
        <v/>
      </c>
      <c r="X431" s="12" t="str">
        <f t="shared" si="213"/>
        <v/>
      </c>
      <c r="Y431" s="12" t="str">
        <f t="shared" si="214"/>
        <v/>
      </c>
      <c r="Z431" s="12" t="str">
        <f t="shared" si="215"/>
        <v/>
      </c>
      <c r="AA431" s="12" t="str">
        <f t="shared" si="216"/>
        <v/>
      </c>
      <c r="AB431" s="12" t="str">
        <f t="shared" si="217"/>
        <v/>
      </c>
      <c r="AC431" s="12" t="str">
        <f t="shared" si="218"/>
        <v/>
      </c>
      <c r="AD431" s="12" t="str">
        <f t="shared" si="219"/>
        <v/>
      </c>
      <c r="AE431" s="12" t="str">
        <f t="shared" si="220"/>
        <v/>
      </c>
      <c r="AF431" s="12" t="str">
        <f t="shared" si="221"/>
        <v/>
      </c>
      <c r="AG431" s="12"/>
      <c r="AH431" s="12" t="str">
        <f t="shared" si="222"/>
        <v/>
      </c>
      <c r="AI431" s="12" t="str">
        <f t="shared" si="223"/>
        <v/>
      </c>
      <c r="AJ431" s="12" t="str">
        <f t="shared" si="224"/>
        <v/>
      </c>
      <c r="AK431" s="12" t="str">
        <f t="shared" si="225"/>
        <v/>
      </c>
      <c r="AL431" s="12" t="str">
        <f t="shared" si="226"/>
        <v/>
      </c>
      <c r="AM431" s="12" t="str">
        <f t="shared" si="227"/>
        <v/>
      </c>
      <c r="AN431" s="12" t="str">
        <f t="shared" si="228"/>
        <v/>
      </c>
      <c r="AO431" s="12" t="str">
        <f t="shared" si="229"/>
        <v/>
      </c>
      <c r="AP431" s="12" t="str">
        <f t="shared" si="230"/>
        <v/>
      </c>
    </row>
    <row r="432" spans="1:42">
      <c r="A432" s="9" t="str">
        <f t="shared" si="231"/>
        <v/>
      </c>
      <c r="B432" s="22" t="str">
        <f t="shared" si="232"/>
        <v/>
      </c>
      <c r="C432" s="23" t="str">
        <f t="shared" si="233"/>
        <v/>
      </c>
      <c r="D432" s="24" t="str">
        <f t="shared" si="234"/>
        <v/>
      </c>
      <c r="E432" s="24" t="str">
        <f t="shared" si="235"/>
        <v/>
      </c>
      <c r="F432" s="25" t="str">
        <f t="shared" si="236"/>
        <v/>
      </c>
      <c r="G432" s="7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2"/>
      <c r="U432" s="12">
        <f t="shared" si="210"/>
        <v>0</v>
      </c>
      <c r="V432" s="28" t="str">
        <f t="shared" ca="1" si="211"/>
        <v/>
      </c>
      <c r="W432" s="28" t="str">
        <f t="shared" si="212"/>
        <v/>
      </c>
      <c r="X432" s="12" t="str">
        <f t="shared" si="213"/>
        <v/>
      </c>
      <c r="Y432" s="12" t="str">
        <f t="shared" si="214"/>
        <v/>
      </c>
      <c r="Z432" s="12" t="str">
        <f t="shared" si="215"/>
        <v/>
      </c>
      <c r="AA432" s="12" t="str">
        <f t="shared" si="216"/>
        <v/>
      </c>
      <c r="AB432" s="12" t="str">
        <f t="shared" si="217"/>
        <v/>
      </c>
      <c r="AC432" s="12" t="str">
        <f t="shared" si="218"/>
        <v/>
      </c>
      <c r="AD432" s="12" t="str">
        <f t="shared" si="219"/>
        <v/>
      </c>
      <c r="AE432" s="12" t="str">
        <f t="shared" si="220"/>
        <v/>
      </c>
      <c r="AF432" s="12" t="str">
        <f t="shared" si="221"/>
        <v/>
      </c>
      <c r="AG432" s="12"/>
      <c r="AH432" s="12" t="str">
        <f t="shared" si="222"/>
        <v/>
      </c>
      <c r="AI432" s="12" t="str">
        <f t="shared" si="223"/>
        <v/>
      </c>
      <c r="AJ432" s="12" t="str">
        <f t="shared" si="224"/>
        <v/>
      </c>
      <c r="AK432" s="12" t="str">
        <f t="shared" si="225"/>
        <v/>
      </c>
      <c r="AL432" s="12" t="str">
        <f t="shared" si="226"/>
        <v/>
      </c>
      <c r="AM432" s="12" t="str">
        <f t="shared" si="227"/>
        <v/>
      </c>
      <c r="AN432" s="12" t="str">
        <f t="shared" si="228"/>
        <v/>
      </c>
      <c r="AO432" s="12" t="str">
        <f t="shared" si="229"/>
        <v/>
      </c>
      <c r="AP432" s="12" t="str">
        <f t="shared" si="230"/>
        <v/>
      </c>
    </row>
    <row r="433" spans="1:42">
      <c r="A433" s="9" t="str">
        <f t="shared" si="231"/>
        <v/>
      </c>
      <c r="B433" s="22" t="str">
        <f t="shared" si="232"/>
        <v/>
      </c>
      <c r="C433" s="23" t="str">
        <f t="shared" si="233"/>
        <v/>
      </c>
      <c r="D433" s="24" t="str">
        <f t="shared" si="234"/>
        <v/>
      </c>
      <c r="E433" s="24" t="str">
        <f t="shared" si="235"/>
        <v/>
      </c>
      <c r="F433" s="25" t="str">
        <f t="shared" si="236"/>
        <v/>
      </c>
      <c r="G433" s="7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2"/>
      <c r="U433" s="12">
        <f t="shared" si="210"/>
        <v>0</v>
      </c>
      <c r="V433" s="28" t="str">
        <f t="shared" ca="1" si="211"/>
        <v/>
      </c>
      <c r="W433" s="28" t="str">
        <f t="shared" si="212"/>
        <v/>
      </c>
      <c r="X433" s="12" t="str">
        <f t="shared" si="213"/>
        <v/>
      </c>
      <c r="Y433" s="12" t="str">
        <f t="shared" si="214"/>
        <v/>
      </c>
      <c r="Z433" s="12" t="str">
        <f t="shared" si="215"/>
        <v/>
      </c>
      <c r="AA433" s="12" t="str">
        <f t="shared" si="216"/>
        <v/>
      </c>
      <c r="AB433" s="12" t="str">
        <f t="shared" si="217"/>
        <v/>
      </c>
      <c r="AC433" s="12" t="str">
        <f t="shared" si="218"/>
        <v/>
      </c>
      <c r="AD433" s="12" t="str">
        <f t="shared" si="219"/>
        <v/>
      </c>
      <c r="AE433" s="12" t="str">
        <f t="shared" si="220"/>
        <v/>
      </c>
      <c r="AF433" s="12" t="str">
        <f t="shared" si="221"/>
        <v/>
      </c>
      <c r="AG433" s="12"/>
      <c r="AH433" s="12" t="str">
        <f t="shared" si="222"/>
        <v/>
      </c>
      <c r="AI433" s="12" t="str">
        <f t="shared" si="223"/>
        <v/>
      </c>
      <c r="AJ433" s="12" t="str">
        <f t="shared" si="224"/>
        <v/>
      </c>
      <c r="AK433" s="12" t="str">
        <f t="shared" si="225"/>
        <v/>
      </c>
      <c r="AL433" s="12" t="str">
        <f t="shared" si="226"/>
        <v/>
      </c>
      <c r="AM433" s="12" t="str">
        <f t="shared" si="227"/>
        <v/>
      </c>
      <c r="AN433" s="12" t="str">
        <f t="shared" si="228"/>
        <v/>
      </c>
      <c r="AO433" s="12" t="str">
        <f t="shared" si="229"/>
        <v/>
      </c>
      <c r="AP433" s="12" t="str">
        <f t="shared" si="230"/>
        <v/>
      </c>
    </row>
    <row r="434" spans="1:42">
      <c r="A434" s="9" t="str">
        <f t="shared" si="231"/>
        <v/>
      </c>
      <c r="B434" s="22" t="str">
        <f t="shared" si="232"/>
        <v/>
      </c>
      <c r="C434" s="23" t="str">
        <f t="shared" si="233"/>
        <v/>
      </c>
      <c r="D434" s="24" t="str">
        <f t="shared" si="234"/>
        <v/>
      </c>
      <c r="E434" s="24" t="str">
        <f t="shared" si="235"/>
        <v/>
      </c>
      <c r="F434" s="25" t="str">
        <f t="shared" si="236"/>
        <v/>
      </c>
      <c r="G434" s="7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2"/>
      <c r="U434" s="12">
        <f t="shared" si="210"/>
        <v>0</v>
      </c>
      <c r="V434" s="28" t="str">
        <f t="shared" ca="1" si="211"/>
        <v/>
      </c>
      <c r="W434" s="28" t="str">
        <f t="shared" si="212"/>
        <v/>
      </c>
      <c r="X434" s="12" t="str">
        <f t="shared" si="213"/>
        <v/>
      </c>
      <c r="Y434" s="12" t="str">
        <f t="shared" si="214"/>
        <v/>
      </c>
      <c r="Z434" s="12" t="str">
        <f t="shared" si="215"/>
        <v/>
      </c>
      <c r="AA434" s="12" t="str">
        <f t="shared" si="216"/>
        <v/>
      </c>
      <c r="AB434" s="12" t="str">
        <f t="shared" si="217"/>
        <v/>
      </c>
      <c r="AC434" s="12" t="str">
        <f t="shared" si="218"/>
        <v/>
      </c>
      <c r="AD434" s="12" t="str">
        <f t="shared" si="219"/>
        <v/>
      </c>
      <c r="AE434" s="12" t="str">
        <f t="shared" si="220"/>
        <v/>
      </c>
      <c r="AF434" s="12" t="str">
        <f t="shared" si="221"/>
        <v/>
      </c>
      <c r="AG434" s="12"/>
      <c r="AH434" s="12" t="str">
        <f t="shared" si="222"/>
        <v/>
      </c>
      <c r="AI434" s="12" t="str">
        <f t="shared" si="223"/>
        <v/>
      </c>
      <c r="AJ434" s="12" t="str">
        <f t="shared" si="224"/>
        <v/>
      </c>
      <c r="AK434" s="12" t="str">
        <f t="shared" si="225"/>
        <v/>
      </c>
      <c r="AL434" s="12" t="str">
        <f t="shared" si="226"/>
        <v/>
      </c>
      <c r="AM434" s="12" t="str">
        <f t="shared" si="227"/>
        <v/>
      </c>
      <c r="AN434" s="12" t="str">
        <f t="shared" si="228"/>
        <v/>
      </c>
      <c r="AO434" s="12" t="str">
        <f t="shared" si="229"/>
        <v/>
      </c>
      <c r="AP434" s="12" t="str">
        <f t="shared" si="230"/>
        <v/>
      </c>
    </row>
    <row r="435" spans="1:42">
      <c r="A435" s="9" t="str">
        <f t="shared" si="231"/>
        <v/>
      </c>
      <c r="B435" s="22" t="str">
        <f t="shared" si="232"/>
        <v/>
      </c>
      <c r="C435" s="23" t="str">
        <f t="shared" si="233"/>
        <v/>
      </c>
      <c r="D435" s="24" t="str">
        <f t="shared" si="234"/>
        <v/>
      </c>
      <c r="E435" s="24" t="str">
        <f t="shared" si="235"/>
        <v/>
      </c>
      <c r="F435" s="25" t="str">
        <f t="shared" si="236"/>
        <v/>
      </c>
      <c r="G435" s="7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2"/>
      <c r="U435" s="12">
        <f t="shared" si="210"/>
        <v>0</v>
      </c>
      <c r="V435" s="28" t="str">
        <f t="shared" ca="1" si="211"/>
        <v/>
      </c>
      <c r="W435" s="28" t="str">
        <f t="shared" si="212"/>
        <v/>
      </c>
      <c r="X435" s="12" t="str">
        <f t="shared" si="213"/>
        <v/>
      </c>
      <c r="Y435" s="12" t="str">
        <f t="shared" si="214"/>
        <v/>
      </c>
      <c r="Z435" s="12" t="str">
        <f t="shared" si="215"/>
        <v/>
      </c>
      <c r="AA435" s="12" t="str">
        <f t="shared" si="216"/>
        <v/>
      </c>
      <c r="AB435" s="12" t="str">
        <f t="shared" si="217"/>
        <v/>
      </c>
      <c r="AC435" s="12" t="str">
        <f t="shared" si="218"/>
        <v/>
      </c>
      <c r="AD435" s="12" t="str">
        <f t="shared" si="219"/>
        <v/>
      </c>
      <c r="AE435" s="12" t="str">
        <f t="shared" si="220"/>
        <v/>
      </c>
      <c r="AF435" s="12" t="str">
        <f t="shared" si="221"/>
        <v/>
      </c>
      <c r="AG435" s="12"/>
      <c r="AH435" s="12" t="str">
        <f t="shared" si="222"/>
        <v/>
      </c>
      <c r="AI435" s="12" t="str">
        <f t="shared" si="223"/>
        <v/>
      </c>
      <c r="AJ435" s="12" t="str">
        <f t="shared" si="224"/>
        <v/>
      </c>
      <c r="AK435" s="12" t="str">
        <f t="shared" si="225"/>
        <v/>
      </c>
      <c r="AL435" s="12" t="str">
        <f t="shared" si="226"/>
        <v/>
      </c>
      <c r="AM435" s="12" t="str">
        <f t="shared" si="227"/>
        <v/>
      </c>
      <c r="AN435" s="12" t="str">
        <f t="shared" si="228"/>
        <v/>
      </c>
      <c r="AO435" s="12" t="str">
        <f t="shared" si="229"/>
        <v/>
      </c>
      <c r="AP435" s="12" t="str">
        <f t="shared" si="230"/>
        <v/>
      </c>
    </row>
    <row r="436" spans="1:42">
      <c r="A436" s="9" t="str">
        <f t="shared" si="231"/>
        <v/>
      </c>
      <c r="B436" s="22" t="str">
        <f t="shared" si="232"/>
        <v/>
      </c>
      <c r="C436" s="23" t="str">
        <f t="shared" si="233"/>
        <v/>
      </c>
      <c r="D436" s="24" t="str">
        <f t="shared" si="234"/>
        <v/>
      </c>
      <c r="E436" s="24" t="str">
        <f t="shared" si="235"/>
        <v/>
      </c>
      <c r="F436" s="25" t="str">
        <f t="shared" si="236"/>
        <v/>
      </c>
      <c r="G436" s="7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2"/>
      <c r="U436" s="12">
        <f t="shared" si="210"/>
        <v>0</v>
      </c>
      <c r="V436" s="28" t="str">
        <f t="shared" ca="1" si="211"/>
        <v/>
      </c>
      <c r="W436" s="28" t="str">
        <f t="shared" si="212"/>
        <v/>
      </c>
      <c r="X436" s="12" t="str">
        <f t="shared" si="213"/>
        <v/>
      </c>
      <c r="Y436" s="12" t="str">
        <f t="shared" si="214"/>
        <v/>
      </c>
      <c r="Z436" s="12" t="str">
        <f t="shared" si="215"/>
        <v/>
      </c>
      <c r="AA436" s="12" t="str">
        <f t="shared" si="216"/>
        <v/>
      </c>
      <c r="AB436" s="12" t="str">
        <f t="shared" si="217"/>
        <v/>
      </c>
      <c r="AC436" s="12" t="str">
        <f t="shared" si="218"/>
        <v/>
      </c>
      <c r="AD436" s="12" t="str">
        <f t="shared" si="219"/>
        <v/>
      </c>
      <c r="AE436" s="12" t="str">
        <f t="shared" si="220"/>
        <v/>
      </c>
      <c r="AF436" s="12" t="str">
        <f t="shared" si="221"/>
        <v/>
      </c>
      <c r="AG436" s="12"/>
      <c r="AH436" s="12" t="str">
        <f t="shared" si="222"/>
        <v/>
      </c>
      <c r="AI436" s="12" t="str">
        <f t="shared" si="223"/>
        <v/>
      </c>
      <c r="AJ436" s="12" t="str">
        <f t="shared" si="224"/>
        <v/>
      </c>
      <c r="AK436" s="12" t="str">
        <f t="shared" si="225"/>
        <v/>
      </c>
      <c r="AL436" s="12" t="str">
        <f t="shared" si="226"/>
        <v/>
      </c>
      <c r="AM436" s="12" t="str">
        <f t="shared" si="227"/>
        <v/>
      </c>
      <c r="AN436" s="12" t="str">
        <f t="shared" si="228"/>
        <v/>
      </c>
      <c r="AO436" s="12" t="str">
        <f t="shared" si="229"/>
        <v/>
      </c>
      <c r="AP436" s="12" t="str">
        <f t="shared" si="230"/>
        <v/>
      </c>
    </row>
    <row r="437" spans="1:42">
      <c r="A437" s="9" t="str">
        <f t="shared" si="231"/>
        <v/>
      </c>
      <c r="B437" s="22" t="str">
        <f t="shared" si="232"/>
        <v/>
      </c>
      <c r="C437" s="23" t="str">
        <f t="shared" si="233"/>
        <v/>
      </c>
      <c r="D437" s="24" t="str">
        <f t="shared" si="234"/>
        <v/>
      </c>
      <c r="E437" s="24" t="str">
        <f t="shared" si="235"/>
        <v/>
      </c>
      <c r="F437" s="25" t="str">
        <f t="shared" si="236"/>
        <v/>
      </c>
      <c r="G437" s="7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2"/>
      <c r="U437" s="12">
        <f t="shared" si="210"/>
        <v>0</v>
      </c>
      <c r="V437" s="28" t="str">
        <f t="shared" ca="1" si="211"/>
        <v/>
      </c>
      <c r="W437" s="28" t="str">
        <f t="shared" si="212"/>
        <v/>
      </c>
      <c r="X437" s="12" t="str">
        <f t="shared" si="213"/>
        <v/>
      </c>
      <c r="Y437" s="12" t="str">
        <f t="shared" si="214"/>
        <v/>
      </c>
      <c r="Z437" s="12" t="str">
        <f t="shared" si="215"/>
        <v/>
      </c>
      <c r="AA437" s="12" t="str">
        <f t="shared" si="216"/>
        <v/>
      </c>
      <c r="AB437" s="12" t="str">
        <f t="shared" si="217"/>
        <v/>
      </c>
      <c r="AC437" s="12" t="str">
        <f t="shared" si="218"/>
        <v/>
      </c>
      <c r="AD437" s="12" t="str">
        <f t="shared" si="219"/>
        <v/>
      </c>
      <c r="AE437" s="12" t="str">
        <f t="shared" si="220"/>
        <v/>
      </c>
      <c r="AF437" s="12" t="str">
        <f t="shared" si="221"/>
        <v/>
      </c>
      <c r="AG437" s="12"/>
      <c r="AH437" s="12" t="str">
        <f t="shared" si="222"/>
        <v/>
      </c>
      <c r="AI437" s="12" t="str">
        <f t="shared" si="223"/>
        <v/>
      </c>
      <c r="AJ437" s="12" t="str">
        <f t="shared" si="224"/>
        <v/>
      </c>
      <c r="AK437" s="12" t="str">
        <f t="shared" si="225"/>
        <v/>
      </c>
      <c r="AL437" s="12" t="str">
        <f t="shared" si="226"/>
        <v/>
      </c>
      <c r="AM437" s="12" t="str">
        <f t="shared" si="227"/>
        <v/>
      </c>
      <c r="AN437" s="12" t="str">
        <f t="shared" si="228"/>
        <v/>
      </c>
      <c r="AO437" s="12" t="str">
        <f t="shared" si="229"/>
        <v/>
      </c>
      <c r="AP437" s="12" t="str">
        <f t="shared" si="230"/>
        <v/>
      </c>
    </row>
    <row r="438" spans="1:42">
      <c r="A438" s="9" t="str">
        <f t="shared" si="231"/>
        <v/>
      </c>
      <c r="B438" s="22" t="str">
        <f t="shared" si="232"/>
        <v/>
      </c>
      <c r="C438" s="23" t="str">
        <f t="shared" si="233"/>
        <v/>
      </c>
      <c r="D438" s="24" t="str">
        <f t="shared" si="234"/>
        <v/>
      </c>
      <c r="E438" s="24" t="str">
        <f t="shared" si="235"/>
        <v/>
      </c>
      <c r="F438" s="25" t="str">
        <f t="shared" si="236"/>
        <v/>
      </c>
      <c r="G438" s="7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2"/>
      <c r="U438" s="12">
        <f t="shared" si="210"/>
        <v>0</v>
      </c>
      <c r="V438" s="28" t="str">
        <f t="shared" ca="1" si="211"/>
        <v/>
      </c>
      <c r="W438" s="28" t="str">
        <f t="shared" si="212"/>
        <v/>
      </c>
      <c r="X438" s="12" t="str">
        <f t="shared" si="213"/>
        <v/>
      </c>
      <c r="Y438" s="12" t="str">
        <f t="shared" si="214"/>
        <v/>
      </c>
      <c r="Z438" s="12" t="str">
        <f t="shared" si="215"/>
        <v/>
      </c>
      <c r="AA438" s="12" t="str">
        <f t="shared" si="216"/>
        <v/>
      </c>
      <c r="AB438" s="12" t="str">
        <f t="shared" si="217"/>
        <v/>
      </c>
      <c r="AC438" s="12" t="str">
        <f t="shared" si="218"/>
        <v/>
      </c>
      <c r="AD438" s="12" t="str">
        <f t="shared" si="219"/>
        <v/>
      </c>
      <c r="AE438" s="12" t="str">
        <f t="shared" si="220"/>
        <v/>
      </c>
      <c r="AF438" s="12" t="str">
        <f t="shared" si="221"/>
        <v/>
      </c>
      <c r="AG438" s="12"/>
      <c r="AH438" s="12" t="str">
        <f t="shared" si="222"/>
        <v/>
      </c>
      <c r="AI438" s="12" t="str">
        <f t="shared" si="223"/>
        <v/>
      </c>
      <c r="AJ438" s="12" t="str">
        <f t="shared" si="224"/>
        <v/>
      </c>
      <c r="AK438" s="12" t="str">
        <f t="shared" si="225"/>
        <v/>
      </c>
      <c r="AL438" s="12" t="str">
        <f t="shared" si="226"/>
        <v/>
      </c>
      <c r="AM438" s="12" t="str">
        <f t="shared" si="227"/>
        <v/>
      </c>
      <c r="AN438" s="12" t="str">
        <f t="shared" si="228"/>
        <v/>
      </c>
      <c r="AO438" s="12" t="str">
        <f t="shared" si="229"/>
        <v/>
      </c>
      <c r="AP438" s="12" t="str">
        <f t="shared" si="230"/>
        <v/>
      </c>
    </row>
    <row r="439" spans="1:42">
      <c r="A439" s="9" t="str">
        <f t="shared" si="231"/>
        <v/>
      </c>
      <c r="B439" s="22" t="str">
        <f t="shared" si="232"/>
        <v/>
      </c>
      <c r="C439" s="23" t="str">
        <f t="shared" si="233"/>
        <v/>
      </c>
      <c r="D439" s="24" t="str">
        <f t="shared" si="234"/>
        <v/>
      </c>
      <c r="E439" s="24" t="str">
        <f t="shared" si="235"/>
        <v/>
      </c>
      <c r="F439" s="25" t="str">
        <f t="shared" si="236"/>
        <v/>
      </c>
      <c r="G439" s="7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2"/>
      <c r="U439" s="12">
        <f t="shared" si="210"/>
        <v>0</v>
      </c>
      <c r="V439" s="28" t="str">
        <f t="shared" ca="1" si="211"/>
        <v/>
      </c>
      <c r="W439" s="28" t="str">
        <f t="shared" si="212"/>
        <v/>
      </c>
      <c r="X439" s="12" t="str">
        <f t="shared" si="213"/>
        <v/>
      </c>
      <c r="Y439" s="12" t="str">
        <f t="shared" si="214"/>
        <v/>
      </c>
      <c r="Z439" s="12" t="str">
        <f t="shared" si="215"/>
        <v/>
      </c>
      <c r="AA439" s="12" t="str">
        <f t="shared" si="216"/>
        <v/>
      </c>
      <c r="AB439" s="12" t="str">
        <f t="shared" si="217"/>
        <v/>
      </c>
      <c r="AC439" s="12" t="str">
        <f t="shared" si="218"/>
        <v/>
      </c>
      <c r="AD439" s="12" t="str">
        <f t="shared" si="219"/>
        <v/>
      </c>
      <c r="AE439" s="12" t="str">
        <f t="shared" si="220"/>
        <v/>
      </c>
      <c r="AF439" s="12" t="str">
        <f t="shared" si="221"/>
        <v/>
      </c>
      <c r="AG439" s="12"/>
      <c r="AH439" s="12" t="str">
        <f t="shared" si="222"/>
        <v/>
      </c>
      <c r="AI439" s="12" t="str">
        <f t="shared" si="223"/>
        <v/>
      </c>
      <c r="AJ439" s="12" t="str">
        <f t="shared" si="224"/>
        <v/>
      </c>
      <c r="AK439" s="12" t="str">
        <f t="shared" si="225"/>
        <v/>
      </c>
      <c r="AL439" s="12" t="str">
        <f t="shared" si="226"/>
        <v/>
      </c>
      <c r="AM439" s="12" t="str">
        <f t="shared" si="227"/>
        <v/>
      </c>
      <c r="AN439" s="12" t="str">
        <f t="shared" si="228"/>
        <v/>
      </c>
      <c r="AO439" s="12" t="str">
        <f t="shared" si="229"/>
        <v/>
      </c>
      <c r="AP439" s="12" t="str">
        <f t="shared" si="230"/>
        <v/>
      </c>
    </row>
    <row r="440" spans="1:42">
      <c r="A440" s="9" t="str">
        <f t="shared" si="231"/>
        <v/>
      </c>
      <c r="B440" s="22" t="str">
        <f t="shared" si="232"/>
        <v/>
      </c>
      <c r="C440" s="23" t="str">
        <f t="shared" si="233"/>
        <v/>
      </c>
      <c r="D440" s="24" t="str">
        <f t="shared" si="234"/>
        <v/>
      </c>
      <c r="E440" s="24" t="str">
        <f t="shared" si="235"/>
        <v/>
      </c>
      <c r="F440" s="25" t="str">
        <f t="shared" si="236"/>
        <v/>
      </c>
      <c r="G440" s="7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2"/>
      <c r="U440" s="12">
        <f t="shared" si="210"/>
        <v>0</v>
      </c>
      <c r="V440" s="28" t="str">
        <f t="shared" ca="1" si="211"/>
        <v/>
      </c>
      <c r="W440" s="28" t="str">
        <f t="shared" si="212"/>
        <v/>
      </c>
      <c r="X440" s="12" t="str">
        <f t="shared" si="213"/>
        <v/>
      </c>
      <c r="Y440" s="12" t="str">
        <f t="shared" si="214"/>
        <v/>
      </c>
      <c r="Z440" s="12" t="str">
        <f t="shared" si="215"/>
        <v/>
      </c>
      <c r="AA440" s="12" t="str">
        <f t="shared" si="216"/>
        <v/>
      </c>
      <c r="AB440" s="12" t="str">
        <f t="shared" si="217"/>
        <v/>
      </c>
      <c r="AC440" s="12" t="str">
        <f t="shared" si="218"/>
        <v/>
      </c>
      <c r="AD440" s="12" t="str">
        <f t="shared" si="219"/>
        <v/>
      </c>
      <c r="AE440" s="12" t="str">
        <f t="shared" si="220"/>
        <v/>
      </c>
      <c r="AF440" s="12" t="str">
        <f t="shared" si="221"/>
        <v/>
      </c>
      <c r="AG440" s="12"/>
      <c r="AH440" s="12" t="str">
        <f t="shared" si="222"/>
        <v/>
      </c>
      <c r="AI440" s="12" t="str">
        <f t="shared" si="223"/>
        <v/>
      </c>
      <c r="AJ440" s="12" t="str">
        <f t="shared" si="224"/>
        <v/>
      </c>
      <c r="AK440" s="12" t="str">
        <f t="shared" si="225"/>
        <v/>
      </c>
      <c r="AL440" s="12" t="str">
        <f t="shared" si="226"/>
        <v/>
      </c>
      <c r="AM440" s="12" t="str">
        <f t="shared" si="227"/>
        <v/>
      </c>
      <c r="AN440" s="12" t="str">
        <f t="shared" si="228"/>
        <v/>
      </c>
      <c r="AO440" s="12" t="str">
        <f t="shared" si="229"/>
        <v/>
      </c>
      <c r="AP440" s="12" t="str">
        <f t="shared" si="230"/>
        <v/>
      </c>
    </row>
    <row r="441" spans="1:42">
      <c r="A441" s="9" t="str">
        <f t="shared" si="231"/>
        <v/>
      </c>
      <c r="B441" s="22" t="str">
        <f t="shared" si="232"/>
        <v/>
      </c>
      <c r="C441" s="23" t="str">
        <f t="shared" si="233"/>
        <v/>
      </c>
      <c r="D441" s="24" t="str">
        <f t="shared" si="234"/>
        <v/>
      </c>
      <c r="E441" s="24" t="str">
        <f t="shared" si="235"/>
        <v/>
      </c>
      <c r="F441" s="25" t="str">
        <f t="shared" si="236"/>
        <v/>
      </c>
      <c r="G441" s="7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2"/>
      <c r="U441" s="12">
        <f t="shared" si="210"/>
        <v>0</v>
      </c>
      <c r="V441" s="28" t="str">
        <f t="shared" ca="1" si="211"/>
        <v/>
      </c>
      <c r="W441" s="28" t="str">
        <f t="shared" si="212"/>
        <v/>
      </c>
      <c r="X441" s="12" t="str">
        <f t="shared" si="213"/>
        <v/>
      </c>
      <c r="Y441" s="12" t="str">
        <f t="shared" si="214"/>
        <v/>
      </c>
      <c r="Z441" s="12" t="str">
        <f t="shared" si="215"/>
        <v/>
      </c>
      <c r="AA441" s="12" t="str">
        <f t="shared" si="216"/>
        <v/>
      </c>
      <c r="AB441" s="12" t="str">
        <f t="shared" si="217"/>
        <v/>
      </c>
      <c r="AC441" s="12" t="str">
        <f t="shared" si="218"/>
        <v/>
      </c>
      <c r="AD441" s="12" t="str">
        <f t="shared" si="219"/>
        <v/>
      </c>
      <c r="AE441" s="12" t="str">
        <f t="shared" si="220"/>
        <v/>
      </c>
      <c r="AF441" s="12" t="str">
        <f t="shared" si="221"/>
        <v/>
      </c>
      <c r="AG441" s="12"/>
      <c r="AH441" s="12" t="str">
        <f t="shared" si="222"/>
        <v/>
      </c>
      <c r="AI441" s="12" t="str">
        <f t="shared" si="223"/>
        <v/>
      </c>
      <c r="AJ441" s="12" t="str">
        <f t="shared" si="224"/>
        <v/>
      </c>
      <c r="AK441" s="12" t="str">
        <f t="shared" si="225"/>
        <v/>
      </c>
      <c r="AL441" s="12" t="str">
        <f t="shared" si="226"/>
        <v/>
      </c>
      <c r="AM441" s="12" t="str">
        <f t="shared" si="227"/>
        <v/>
      </c>
      <c r="AN441" s="12" t="str">
        <f t="shared" si="228"/>
        <v/>
      </c>
      <c r="AO441" s="12" t="str">
        <f t="shared" si="229"/>
        <v/>
      </c>
      <c r="AP441" s="12" t="str">
        <f t="shared" si="230"/>
        <v/>
      </c>
    </row>
    <row r="442" spans="1:42">
      <c r="A442" s="9" t="str">
        <f t="shared" si="231"/>
        <v/>
      </c>
      <c r="B442" s="22" t="str">
        <f t="shared" si="232"/>
        <v/>
      </c>
      <c r="C442" s="23" t="str">
        <f t="shared" si="233"/>
        <v/>
      </c>
      <c r="D442" s="24" t="str">
        <f t="shared" si="234"/>
        <v/>
      </c>
      <c r="E442" s="24" t="str">
        <f t="shared" si="235"/>
        <v/>
      </c>
      <c r="F442" s="25" t="str">
        <f t="shared" si="236"/>
        <v/>
      </c>
      <c r="G442" s="7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2"/>
      <c r="U442" s="12">
        <f t="shared" si="210"/>
        <v>0</v>
      </c>
      <c r="V442" s="28" t="str">
        <f t="shared" ca="1" si="211"/>
        <v/>
      </c>
      <c r="W442" s="28" t="str">
        <f t="shared" si="212"/>
        <v/>
      </c>
      <c r="X442" s="12" t="str">
        <f t="shared" si="213"/>
        <v/>
      </c>
      <c r="Y442" s="12" t="str">
        <f t="shared" si="214"/>
        <v/>
      </c>
      <c r="Z442" s="12" t="str">
        <f t="shared" si="215"/>
        <v/>
      </c>
      <c r="AA442" s="12" t="str">
        <f t="shared" si="216"/>
        <v/>
      </c>
      <c r="AB442" s="12" t="str">
        <f t="shared" si="217"/>
        <v/>
      </c>
      <c r="AC442" s="12" t="str">
        <f t="shared" si="218"/>
        <v/>
      </c>
      <c r="AD442" s="12" t="str">
        <f t="shared" si="219"/>
        <v/>
      </c>
      <c r="AE442" s="12" t="str">
        <f t="shared" si="220"/>
        <v/>
      </c>
      <c r="AF442" s="12" t="str">
        <f t="shared" si="221"/>
        <v/>
      </c>
      <c r="AG442" s="12"/>
      <c r="AH442" s="12" t="str">
        <f t="shared" si="222"/>
        <v/>
      </c>
      <c r="AI442" s="12" t="str">
        <f t="shared" si="223"/>
        <v/>
      </c>
      <c r="AJ442" s="12" t="str">
        <f t="shared" si="224"/>
        <v/>
      </c>
      <c r="AK442" s="12" t="str">
        <f t="shared" si="225"/>
        <v/>
      </c>
      <c r="AL442" s="12" t="str">
        <f t="shared" si="226"/>
        <v/>
      </c>
      <c r="AM442" s="12" t="str">
        <f t="shared" si="227"/>
        <v/>
      </c>
      <c r="AN442" s="12" t="str">
        <f t="shared" si="228"/>
        <v/>
      </c>
      <c r="AO442" s="12" t="str">
        <f t="shared" si="229"/>
        <v/>
      </c>
      <c r="AP442" s="12" t="str">
        <f t="shared" si="230"/>
        <v/>
      </c>
    </row>
    <row r="443" spans="1:42">
      <c r="A443" s="9" t="str">
        <f t="shared" si="231"/>
        <v/>
      </c>
      <c r="B443" s="22" t="str">
        <f t="shared" si="232"/>
        <v/>
      </c>
      <c r="C443" s="23" t="str">
        <f t="shared" si="233"/>
        <v/>
      </c>
      <c r="D443" s="24" t="str">
        <f t="shared" si="234"/>
        <v/>
      </c>
      <c r="E443" s="24" t="str">
        <f t="shared" si="235"/>
        <v/>
      </c>
      <c r="F443" s="25" t="str">
        <f t="shared" si="236"/>
        <v/>
      </c>
      <c r="G443" s="7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2"/>
      <c r="U443" s="12">
        <f t="shared" si="210"/>
        <v>0</v>
      </c>
      <c r="V443" s="28" t="str">
        <f t="shared" ca="1" si="211"/>
        <v/>
      </c>
      <c r="W443" s="28" t="str">
        <f t="shared" si="212"/>
        <v/>
      </c>
      <c r="X443" s="12" t="str">
        <f t="shared" si="213"/>
        <v/>
      </c>
      <c r="Y443" s="12" t="str">
        <f t="shared" si="214"/>
        <v/>
      </c>
      <c r="Z443" s="12" t="str">
        <f t="shared" si="215"/>
        <v/>
      </c>
      <c r="AA443" s="12" t="str">
        <f t="shared" si="216"/>
        <v/>
      </c>
      <c r="AB443" s="12" t="str">
        <f t="shared" si="217"/>
        <v/>
      </c>
      <c r="AC443" s="12" t="str">
        <f t="shared" si="218"/>
        <v/>
      </c>
      <c r="AD443" s="12" t="str">
        <f t="shared" si="219"/>
        <v/>
      </c>
      <c r="AE443" s="12" t="str">
        <f t="shared" si="220"/>
        <v/>
      </c>
      <c r="AF443" s="12" t="str">
        <f t="shared" si="221"/>
        <v/>
      </c>
      <c r="AG443" s="12"/>
      <c r="AH443" s="12" t="str">
        <f t="shared" si="222"/>
        <v/>
      </c>
      <c r="AI443" s="12" t="str">
        <f t="shared" si="223"/>
        <v/>
      </c>
      <c r="AJ443" s="12" t="str">
        <f t="shared" si="224"/>
        <v/>
      </c>
      <c r="AK443" s="12" t="str">
        <f t="shared" si="225"/>
        <v/>
      </c>
      <c r="AL443" s="12" t="str">
        <f t="shared" si="226"/>
        <v/>
      </c>
      <c r="AM443" s="12" t="str">
        <f t="shared" si="227"/>
        <v/>
      </c>
      <c r="AN443" s="12" t="str">
        <f t="shared" si="228"/>
        <v/>
      </c>
      <c r="AO443" s="12" t="str">
        <f t="shared" si="229"/>
        <v/>
      </c>
      <c r="AP443" s="12" t="str">
        <f t="shared" si="230"/>
        <v/>
      </c>
    </row>
    <row r="444" spans="1:42">
      <c r="A444" s="9" t="str">
        <f t="shared" si="231"/>
        <v/>
      </c>
      <c r="B444" s="22" t="str">
        <f t="shared" si="232"/>
        <v/>
      </c>
      <c r="C444" s="23" t="str">
        <f t="shared" si="233"/>
        <v/>
      </c>
      <c r="D444" s="24" t="str">
        <f t="shared" si="234"/>
        <v/>
      </c>
      <c r="E444" s="24" t="str">
        <f t="shared" si="235"/>
        <v/>
      </c>
      <c r="F444" s="25" t="str">
        <f t="shared" si="236"/>
        <v/>
      </c>
      <c r="G444" s="7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2"/>
      <c r="U444" s="12">
        <f t="shared" si="210"/>
        <v>0</v>
      </c>
      <c r="V444" s="28" t="str">
        <f t="shared" ca="1" si="211"/>
        <v/>
      </c>
      <c r="W444" s="28" t="str">
        <f t="shared" si="212"/>
        <v/>
      </c>
      <c r="X444" s="12" t="str">
        <f t="shared" si="213"/>
        <v/>
      </c>
      <c r="Y444" s="12" t="str">
        <f t="shared" si="214"/>
        <v/>
      </c>
      <c r="Z444" s="12" t="str">
        <f t="shared" si="215"/>
        <v/>
      </c>
      <c r="AA444" s="12" t="str">
        <f t="shared" si="216"/>
        <v/>
      </c>
      <c r="AB444" s="12" t="str">
        <f t="shared" si="217"/>
        <v/>
      </c>
      <c r="AC444" s="12" t="str">
        <f t="shared" si="218"/>
        <v/>
      </c>
      <c r="AD444" s="12" t="str">
        <f t="shared" si="219"/>
        <v/>
      </c>
      <c r="AE444" s="12" t="str">
        <f t="shared" si="220"/>
        <v/>
      </c>
      <c r="AF444" s="12" t="str">
        <f t="shared" si="221"/>
        <v/>
      </c>
      <c r="AG444" s="12"/>
      <c r="AH444" s="12" t="str">
        <f t="shared" si="222"/>
        <v/>
      </c>
      <c r="AI444" s="12" t="str">
        <f t="shared" si="223"/>
        <v/>
      </c>
      <c r="AJ444" s="12" t="str">
        <f t="shared" si="224"/>
        <v/>
      </c>
      <c r="AK444" s="12" t="str">
        <f t="shared" si="225"/>
        <v/>
      </c>
      <c r="AL444" s="12" t="str">
        <f t="shared" si="226"/>
        <v/>
      </c>
      <c r="AM444" s="12" t="str">
        <f t="shared" si="227"/>
        <v/>
      </c>
      <c r="AN444" s="12" t="str">
        <f t="shared" si="228"/>
        <v/>
      </c>
      <c r="AO444" s="12" t="str">
        <f t="shared" si="229"/>
        <v/>
      </c>
      <c r="AP444" s="12" t="str">
        <f t="shared" si="230"/>
        <v/>
      </c>
    </row>
    <row r="445" spans="1:42">
      <c r="A445" s="9" t="str">
        <f t="shared" si="231"/>
        <v/>
      </c>
      <c r="B445" s="22" t="str">
        <f t="shared" si="232"/>
        <v/>
      </c>
      <c r="C445" s="23" t="str">
        <f t="shared" si="233"/>
        <v/>
      </c>
      <c r="D445" s="24" t="str">
        <f t="shared" si="234"/>
        <v/>
      </c>
      <c r="E445" s="24" t="str">
        <f t="shared" si="235"/>
        <v/>
      </c>
      <c r="F445" s="25" t="str">
        <f t="shared" si="236"/>
        <v/>
      </c>
      <c r="G445" s="7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2"/>
      <c r="U445" s="12">
        <f t="shared" si="210"/>
        <v>0</v>
      </c>
      <c r="V445" s="28" t="str">
        <f t="shared" ca="1" si="211"/>
        <v/>
      </c>
      <c r="W445" s="28" t="str">
        <f t="shared" si="212"/>
        <v/>
      </c>
      <c r="X445" s="12" t="str">
        <f t="shared" si="213"/>
        <v/>
      </c>
      <c r="Y445" s="12" t="str">
        <f t="shared" si="214"/>
        <v/>
      </c>
      <c r="Z445" s="12" t="str">
        <f t="shared" si="215"/>
        <v/>
      </c>
      <c r="AA445" s="12" t="str">
        <f t="shared" si="216"/>
        <v/>
      </c>
      <c r="AB445" s="12" t="str">
        <f t="shared" si="217"/>
        <v/>
      </c>
      <c r="AC445" s="12" t="str">
        <f t="shared" si="218"/>
        <v/>
      </c>
      <c r="AD445" s="12" t="str">
        <f t="shared" si="219"/>
        <v/>
      </c>
      <c r="AE445" s="12" t="str">
        <f t="shared" si="220"/>
        <v/>
      </c>
      <c r="AF445" s="12" t="str">
        <f t="shared" si="221"/>
        <v/>
      </c>
      <c r="AG445" s="12"/>
      <c r="AH445" s="12" t="str">
        <f t="shared" si="222"/>
        <v/>
      </c>
      <c r="AI445" s="12" t="str">
        <f t="shared" si="223"/>
        <v/>
      </c>
      <c r="AJ445" s="12" t="str">
        <f t="shared" si="224"/>
        <v/>
      </c>
      <c r="AK445" s="12" t="str">
        <f t="shared" si="225"/>
        <v/>
      </c>
      <c r="AL445" s="12" t="str">
        <f t="shared" si="226"/>
        <v/>
      </c>
      <c r="AM445" s="12" t="str">
        <f t="shared" si="227"/>
        <v/>
      </c>
      <c r="AN445" s="12" t="str">
        <f t="shared" si="228"/>
        <v/>
      </c>
      <c r="AO445" s="12" t="str">
        <f t="shared" si="229"/>
        <v/>
      </c>
      <c r="AP445" s="12" t="str">
        <f t="shared" si="230"/>
        <v/>
      </c>
    </row>
    <row r="446" spans="1:42">
      <c r="A446" s="9" t="str">
        <f t="shared" si="231"/>
        <v/>
      </c>
      <c r="B446" s="22" t="str">
        <f t="shared" si="232"/>
        <v/>
      </c>
      <c r="C446" s="23" t="str">
        <f t="shared" si="233"/>
        <v/>
      </c>
      <c r="D446" s="24" t="str">
        <f t="shared" si="234"/>
        <v/>
      </c>
      <c r="E446" s="24" t="str">
        <f t="shared" si="235"/>
        <v/>
      </c>
      <c r="F446" s="25" t="str">
        <f t="shared" si="236"/>
        <v/>
      </c>
      <c r="G446" s="7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2"/>
      <c r="U446" s="12">
        <f t="shared" si="210"/>
        <v>0</v>
      </c>
      <c r="V446" s="28" t="str">
        <f t="shared" ca="1" si="211"/>
        <v/>
      </c>
      <c r="W446" s="28" t="str">
        <f t="shared" si="212"/>
        <v/>
      </c>
      <c r="X446" s="12" t="str">
        <f t="shared" si="213"/>
        <v/>
      </c>
      <c r="Y446" s="12" t="str">
        <f t="shared" si="214"/>
        <v/>
      </c>
      <c r="Z446" s="12" t="str">
        <f t="shared" si="215"/>
        <v/>
      </c>
      <c r="AA446" s="12" t="str">
        <f t="shared" si="216"/>
        <v/>
      </c>
      <c r="AB446" s="12" t="str">
        <f t="shared" si="217"/>
        <v/>
      </c>
      <c r="AC446" s="12" t="str">
        <f t="shared" si="218"/>
        <v/>
      </c>
      <c r="AD446" s="12" t="str">
        <f t="shared" si="219"/>
        <v/>
      </c>
      <c r="AE446" s="12" t="str">
        <f t="shared" si="220"/>
        <v/>
      </c>
      <c r="AF446" s="12" t="str">
        <f t="shared" si="221"/>
        <v/>
      </c>
      <c r="AG446" s="12"/>
      <c r="AH446" s="12" t="str">
        <f t="shared" si="222"/>
        <v/>
      </c>
      <c r="AI446" s="12" t="str">
        <f t="shared" si="223"/>
        <v/>
      </c>
      <c r="AJ446" s="12" t="str">
        <f t="shared" si="224"/>
        <v/>
      </c>
      <c r="AK446" s="12" t="str">
        <f t="shared" si="225"/>
        <v/>
      </c>
      <c r="AL446" s="12" t="str">
        <f t="shared" si="226"/>
        <v/>
      </c>
      <c r="AM446" s="12" t="str">
        <f t="shared" si="227"/>
        <v/>
      </c>
      <c r="AN446" s="12" t="str">
        <f t="shared" si="228"/>
        <v/>
      </c>
      <c r="AO446" s="12" t="str">
        <f t="shared" si="229"/>
        <v/>
      </c>
      <c r="AP446" s="12" t="str">
        <f t="shared" si="230"/>
        <v/>
      </c>
    </row>
    <row r="447" spans="1:42">
      <c r="A447" s="9" t="str">
        <f t="shared" si="231"/>
        <v/>
      </c>
      <c r="B447" s="22" t="str">
        <f t="shared" si="232"/>
        <v/>
      </c>
      <c r="C447" s="23" t="str">
        <f t="shared" si="233"/>
        <v/>
      </c>
      <c r="D447" s="24" t="str">
        <f t="shared" si="234"/>
        <v/>
      </c>
      <c r="E447" s="24" t="str">
        <f t="shared" si="235"/>
        <v/>
      </c>
      <c r="F447" s="25" t="str">
        <f t="shared" si="236"/>
        <v/>
      </c>
      <c r="G447" s="7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2"/>
      <c r="U447" s="12">
        <f t="shared" ref="U447:U510" si="237">MIN(COUNTA(K$25:S$25),COUNTA(K447:S447))</f>
        <v>0</v>
      </c>
      <c r="V447" s="28" t="str">
        <f t="shared" ref="V447:V510" ca="1" si="238">IF(U447&gt;1,INDIRECT(ADDRESS(U447+1,3,1,1,"Student")),"")</f>
        <v/>
      </c>
      <c r="W447" s="28" t="str">
        <f t="shared" ref="W447:W510" si="239">IF(U447&gt;0,STDEV(X447:AF447),"")</f>
        <v/>
      </c>
      <c r="X447" s="12" t="str">
        <f t="shared" ref="X447:X510" si="240">IF(OR(ISBLANK(K$25),ISBLANK(K447),ISBLANK($I447)),"",$I447-K447+K$25)</f>
        <v/>
      </c>
      <c r="Y447" s="12" t="str">
        <f t="shared" ref="Y447:Y510" si="241">IF(OR(ISBLANK(L$25),ISBLANK(L447),ISBLANK($I447)),"",$I447-L447+L$25)</f>
        <v/>
      </c>
      <c r="Z447" s="12" t="str">
        <f t="shared" ref="Z447:Z510" si="242">IF(OR(ISBLANK(M$25),ISBLANK(M447),ISBLANK($I447)),"",$I447-M447+M$25)</f>
        <v/>
      </c>
      <c r="AA447" s="12" t="str">
        <f t="shared" ref="AA447:AA510" si="243">IF(OR(ISBLANK(N$25),ISBLANK(N447),ISBLANK($I447)),"",$I447-N447+N$25)</f>
        <v/>
      </c>
      <c r="AB447" s="12" t="str">
        <f t="shared" ref="AB447:AB510" si="244">IF(OR(ISBLANK(O$25),ISBLANK(O447),ISBLANK($I447)),"",$I447-O447+O$25)</f>
        <v/>
      </c>
      <c r="AC447" s="12" t="str">
        <f t="shared" ref="AC447:AC510" si="245">IF(OR(ISBLANK(P$25),ISBLANK(P447),ISBLANK($I447)),"",$I447-P447+P$25)</f>
        <v/>
      </c>
      <c r="AD447" s="12" t="str">
        <f t="shared" ref="AD447:AD510" si="246">IF(OR(ISBLANK(Q$25),ISBLANK(Q447),ISBLANK($I447)),"",$I447-Q447+Q$25)</f>
        <v/>
      </c>
      <c r="AE447" s="12" t="str">
        <f t="shared" ref="AE447:AE510" si="247">IF(OR(ISBLANK(R$25),ISBLANK(R447),ISBLANK($I447)),"",$I447-R447+R$25)</f>
        <v/>
      </c>
      <c r="AF447" s="12" t="str">
        <f t="shared" ref="AF447:AF510" si="248">IF(OR(ISBLANK(S$25),ISBLANK(S447),ISBLANK($I447)),"",$I447-S447+S$25)</f>
        <v/>
      </c>
      <c r="AG447" s="12"/>
      <c r="AH447" s="12" t="str">
        <f t="shared" ref="AH447:AH510" si="249">IF(OR(ISBLANK(K$25),ISBLANK(K447),ISBLANK($J447)),"",$J447-K447+K$25)</f>
        <v/>
      </c>
      <c r="AI447" s="12" t="str">
        <f t="shared" ref="AI447:AI510" si="250">IF(OR(ISBLANK(L$25),ISBLANK(L447),ISBLANK($J447)),"",$J447-L447+L$25)</f>
        <v/>
      </c>
      <c r="AJ447" s="12" t="str">
        <f t="shared" ref="AJ447:AJ510" si="251">IF(OR(ISBLANK(M$25),ISBLANK(M447),ISBLANK($J447)),"",$J447-M447+M$25)</f>
        <v/>
      </c>
      <c r="AK447" s="12" t="str">
        <f t="shared" ref="AK447:AK510" si="252">IF(OR(ISBLANK(N$25),ISBLANK(N447),ISBLANK($J447)),"",$J447-N447+N$25)</f>
        <v/>
      </c>
      <c r="AL447" s="12" t="str">
        <f t="shared" ref="AL447:AL510" si="253">IF(OR(ISBLANK(O$25),ISBLANK(O447),ISBLANK($J447)),"",$J447-O447+O$25)</f>
        <v/>
      </c>
      <c r="AM447" s="12" t="str">
        <f t="shared" ref="AM447:AM510" si="254">IF(OR(ISBLANK(P$25),ISBLANK(P447),ISBLANK($J447)),"",$J447-P447+P$25)</f>
        <v/>
      </c>
      <c r="AN447" s="12" t="str">
        <f t="shared" ref="AN447:AN510" si="255">IF(OR(ISBLANK(Q$25),ISBLANK(Q447),ISBLANK($J447)),"",$J447-Q447+Q$25)</f>
        <v/>
      </c>
      <c r="AO447" s="12" t="str">
        <f t="shared" ref="AO447:AO510" si="256">IF(OR(ISBLANK(R$25),ISBLANK(R447),ISBLANK($J447)),"",$J447-R447+R$25)</f>
        <v/>
      </c>
      <c r="AP447" s="12" t="str">
        <f t="shared" ref="AP447:AP510" si="257">IF(OR(ISBLANK(S$25),ISBLANK(S447),ISBLANK($J447)),"",$J447-S447+S$25)</f>
        <v/>
      </c>
    </row>
    <row r="448" spans="1:42">
      <c r="A448" s="9" t="str">
        <f t="shared" si="231"/>
        <v/>
      </c>
      <c r="B448" s="22" t="str">
        <f t="shared" si="232"/>
        <v/>
      </c>
      <c r="C448" s="23" t="str">
        <f t="shared" si="233"/>
        <v/>
      </c>
      <c r="D448" s="24" t="str">
        <f t="shared" si="234"/>
        <v/>
      </c>
      <c r="E448" s="24" t="str">
        <f t="shared" si="235"/>
        <v/>
      </c>
      <c r="F448" s="25" t="str">
        <f t="shared" si="236"/>
        <v/>
      </c>
      <c r="G448" s="7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2"/>
      <c r="U448" s="12">
        <f t="shared" si="237"/>
        <v>0</v>
      </c>
      <c r="V448" s="28" t="str">
        <f t="shared" ca="1" si="238"/>
        <v/>
      </c>
      <c r="W448" s="28" t="str">
        <f t="shared" si="239"/>
        <v/>
      </c>
      <c r="X448" s="12" t="str">
        <f t="shared" si="240"/>
        <v/>
      </c>
      <c r="Y448" s="12" t="str">
        <f t="shared" si="241"/>
        <v/>
      </c>
      <c r="Z448" s="12" t="str">
        <f t="shared" si="242"/>
        <v/>
      </c>
      <c r="AA448" s="12" t="str">
        <f t="shared" si="243"/>
        <v/>
      </c>
      <c r="AB448" s="12" t="str">
        <f t="shared" si="244"/>
        <v/>
      </c>
      <c r="AC448" s="12" t="str">
        <f t="shared" si="245"/>
        <v/>
      </c>
      <c r="AD448" s="12" t="str">
        <f t="shared" si="246"/>
        <v/>
      </c>
      <c r="AE448" s="12" t="str">
        <f t="shared" si="247"/>
        <v/>
      </c>
      <c r="AF448" s="12" t="str">
        <f t="shared" si="248"/>
        <v/>
      </c>
      <c r="AG448" s="12"/>
      <c r="AH448" s="12" t="str">
        <f t="shared" si="249"/>
        <v/>
      </c>
      <c r="AI448" s="12" t="str">
        <f t="shared" si="250"/>
        <v/>
      </c>
      <c r="AJ448" s="12" t="str">
        <f t="shared" si="251"/>
        <v/>
      </c>
      <c r="AK448" s="12" t="str">
        <f t="shared" si="252"/>
        <v/>
      </c>
      <c r="AL448" s="12" t="str">
        <f t="shared" si="253"/>
        <v/>
      </c>
      <c r="AM448" s="12" t="str">
        <f t="shared" si="254"/>
        <v/>
      </c>
      <c r="AN448" s="12" t="str">
        <f t="shared" si="255"/>
        <v/>
      </c>
      <c r="AO448" s="12" t="str">
        <f t="shared" si="256"/>
        <v/>
      </c>
      <c r="AP448" s="12" t="str">
        <f t="shared" si="257"/>
        <v/>
      </c>
    </row>
    <row r="449" spans="1:42">
      <c r="A449" s="9" t="str">
        <f t="shared" ref="A449:A512" si="258">IF(ISBLANK(G449),"",G449)</f>
        <v/>
      </c>
      <c r="B449" s="22" t="str">
        <f t="shared" ref="B449:B512" si="259">IF(ISBLANK(G449),"",G449+2415018.5)</f>
        <v/>
      </c>
      <c r="C449" s="23" t="str">
        <f t="shared" ref="C449:C512" si="260">IF(U449&gt;0,AVERAGE(X449:AF449),"")</f>
        <v/>
      </c>
      <c r="D449" s="24" t="str">
        <f t="shared" ref="D449:D512" si="261">IF(U449&gt;0,STDEV(X449:AF449)/SQRT(U449)*V449,"")</f>
        <v/>
      </c>
      <c r="E449" s="24" t="str">
        <f t="shared" ref="E449:E512" si="262">IF(ISBLANK(W449),"",W449)</f>
        <v/>
      </c>
      <c r="F449" s="25" t="str">
        <f t="shared" ref="F449:F512" si="263">IF(U449&gt;0,AVERAGE(AH449:AP449),"")</f>
        <v/>
      </c>
      <c r="G449" s="7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2"/>
      <c r="U449" s="12">
        <f t="shared" si="237"/>
        <v>0</v>
      </c>
      <c r="V449" s="28" t="str">
        <f t="shared" ca="1" si="238"/>
        <v/>
      </c>
      <c r="W449" s="28" t="str">
        <f t="shared" si="239"/>
        <v/>
      </c>
      <c r="X449" s="12" t="str">
        <f t="shared" si="240"/>
        <v/>
      </c>
      <c r="Y449" s="12" t="str">
        <f t="shared" si="241"/>
        <v/>
      </c>
      <c r="Z449" s="12" t="str">
        <f t="shared" si="242"/>
        <v/>
      </c>
      <c r="AA449" s="12" t="str">
        <f t="shared" si="243"/>
        <v/>
      </c>
      <c r="AB449" s="12" t="str">
        <f t="shared" si="244"/>
        <v/>
      </c>
      <c r="AC449" s="12" t="str">
        <f t="shared" si="245"/>
        <v/>
      </c>
      <c r="AD449" s="12" t="str">
        <f t="shared" si="246"/>
        <v/>
      </c>
      <c r="AE449" s="12" t="str">
        <f t="shared" si="247"/>
        <v/>
      </c>
      <c r="AF449" s="12" t="str">
        <f t="shared" si="248"/>
        <v/>
      </c>
      <c r="AG449" s="12"/>
      <c r="AH449" s="12" t="str">
        <f t="shared" si="249"/>
        <v/>
      </c>
      <c r="AI449" s="12" t="str">
        <f t="shared" si="250"/>
        <v/>
      </c>
      <c r="AJ449" s="12" t="str">
        <f t="shared" si="251"/>
        <v/>
      </c>
      <c r="AK449" s="12" t="str">
        <f t="shared" si="252"/>
        <v/>
      </c>
      <c r="AL449" s="12" t="str">
        <f t="shared" si="253"/>
        <v/>
      </c>
      <c r="AM449" s="12" t="str">
        <f t="shared" si="254"/>
        <v/>
      </c>
      <c r="AN449" s="12" t="str">
        <f t="shared" si="255"/>
        <v/>
      </c>
      <c r="AO449" s="12" t="str">
        <f t="shared" si="256"/>
        <v/>
      </c>
      <c r="AP449" s="12" t="str">
        <f t="shared" si="257"/>
        <v/>
      </c>
    </row>
    <row r="450" spans="1:42">
      <c r="A450" s="9" t="str">
        <f t="shared" si="258"/>
        <v/>
      </c>
      <c r="B450" s="22" t="str">
        <f t="shared" si="259"/>
        <v/>
      </c>
      <c r="C450" s="23" t="str">
        <f t="shared" si="260"/>
        <v/>
      </c>
      <c r="D450" s="24" t="str">
        <f t="shared" si="261"/>
        <v/>
      </c>
      <c r="E450" s="24" t="str">
        <f t="shared" si="262"/>
        <v/>
      </c>
      <c r="F450" s="25" t="str">
        <f t="shared" si="263"/>
        <v/>
      </c>
      <c r="G450" s="7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2"/>
      <c r="U450" s="12">
        <f t="shared" si="237"/>
        <v>0</v>
      </c>
      <c r="V450" s="28" t="str">
        <f t="shared" ca="1" si="238"/>
        <v/>
      </c>
      <c r="W450" s="28" t="str">
        <f t="shared" si="239"/>
        <v/>
      </c>
      <c r="X450" s="12" t="str">
        <f t="shared" si="240"/>
        <v/>
      </c>
      <c r="Y450" s="12" t="str">
        <f t="shared" si="241"/>
        <v/>
      </c>
      <c r="Z450" s="12" t="str">
        <f t="shared" si="242"/>
        <v/>
      </c>
      <c r="AA450" s="12" t="str">
        <f t="shared" si="243"/>
        <v/>
      </c>
      <c r="AB450" s="12" t="str">
        <f t="shared" si="244"/>
        <v/>
      </c>
      <c r="AC450" s="12" t="str">
        <f t="shared" si="245"/>
        <v/>
      </c>
      <c r="AD450" s="12" t="str">
        <f t="shared" si="246"/>
        <v/>
      </c>
      <c r="AE450" s="12" t="str">
        <f t="shared" si="247"/>
        <v/>
      </c>
      <c r="AF450" s="12" t="str">
        <f t="shared" si="248"/>
        <v/>
      </c>
      <c r="AG450" s="12"/>
      <c r="AH450" s="12" t="str">
        <f t="shared" si="249"/>
        <v/>
      </c>
      <c r="AI450" s="12" t="str">
        <f t="shared" si="250"/>
        <v/>
      </c>
      <c r="AJ450" s="12" t="str">
        <f t="shared" si="251"/>
        <v/>
      </c>
      <c r="AK450" s="12" t="str">
        <f t="shared" si="252"/>
        <v/>
      </c>
      <c r="AL450" s="12" t="str">
        <f t="shared" si="253"/>
        <v/>
      </c>
      <c r="AM450" s="12" t="str">
        <f t="shared" si="254"/>
        <v/>
      </c>
      <c r="AN450" s="12" t="str">
        <f t="shared" si="255"/>
        <v/>
      </c>
      <c r="AO450" s="12" t="str">
        <f t="shared" si="256"/>
        <v/>
      </c>
      <c r="AP450" s="12" t="str">
        <f t="shared" si="257"/>
        <v/>
      </c>
    </row>
    <row r="451" spans="1:42">
      <c r="A451" s="9" t="str">
        <f t="shared" si="258"/>
        <v/>
      </c>
      <c r="B451" s="22" t="str">
        <f t="shared" si="259"/>
        <v/>
      </c>
      <c r="C451" s="23" t="str">
        <f t="shared" si="260"/>
        <v/>
      </c>
      <c r="D451" s="24" t="str">
        <f t="shared" si="261"/>
        <v/>
      </c>
      <c r="E451" s="24" t="str">
        <f t="shared" si="262"/>
        <v/>
      </c>
      <c r="F451" s="25" t="str">
        <f t="shared" si="263"/>
        <v/>
      </c>
      <c r="G451" s="7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2"/>
      <c r="U451" s="12">
        <f t="shared" si="237"/>
        <v>0</v>
      </c>
      <c r="V451" s="28" t="str">
        <f t="shared" ca="1" si="238"/>
        <v/>
      </c>
      <c r="W451" s="28" t="str">
        <f t="shared" si="239"/>
        <v/>
      </c>
      <c r="X451" s="12" t="str">
        <f t="shared" si="240"/>
        <v/>
      </c>
      <c r="Y451" s="12" t="str">
        <f t="shared" si="241"/>
        <v/>
      </c>
      <c r="Z451" s="12" t="str">
        <f t="shared" si="242"/>
        <v/>
      </c>
      <c r="AA451" s="12" t="str">
        <f t="shared" si="243"/>
        <v/>
      </c>
      <c r="AB451" s="12" t="str">
        <f t="shared" si="244"/>
        <v/>
      </c>
      <c r="AC451" s="12" t="str">
        <f t="shared" si="245"/>
        <v/>
      </c>
      <c r="AD451" s="12" t="str">
        <f t="shared" si="246"/>
        <v/>
      </c>
      <c r="AE451" s="12" t="str">
        <f t="shared" si="247"/>
        <v/>
      </c>
      <c r="AF451" s="12" t="str">
        <f t="shared" si="248"/>
        <v/>
      </c>
      <c r="AG451" s="12"/>
      <c r="AH451" s="12" t="str">
        <f t="shared" si="249"/>
        <v/>
      </c>
      <c r="AI451" s="12" t="str">
        <f t="shared" si="250"/>
        <v/>
      </c>
      <c r="AJ451" s="12" t="str">
        <f t="shared" si="251"/>
        <v/>
      </c>
      <c r="AK451" s="12" t="str">
        <f t="shared" si="252"/>
        <v/>
      </c>
      <c r="AL451" s="12" t="str">
        <f t="shared" si="253"/>
        <v/>
      </c>
      <c r="AM451" s="12" t="str">
        <f t="shared" si="254"/>
        <v/>
      </c>
      <c r="AN451" s="12" t="str">
        <f t="shared" si="255"/>
        <v/>
      </c>
      <c r="AO451" s="12" t="str">
        <f t="shared" si="256"/>
        <v/>
      </c>
      <c r="AP451" s="12" t="str">
        <f t="shared" si="257"/>
        <v/>
      </c>
    </row>
    <row r="452" spans="1:42">
      <c r="A452" s="9" t="str">
        <f t="shared" si="258"/>
        <v/>
      </c>
      <c r="B452" s="22" t="str">
        <f t="shared" si="259"/>
        <v/>
      </c>
      <c r="C452" s="23" t="str">
        <f t="shared" si="260"/>
        <v/>
      </c>
      <c r="D452" s="24" t="str">
        <f t="shared" si="261"/>
        <v/>
      </c>
      <c r="E452" s="24" t="str">
        <f t="shared" si="262"/>
        <v/>
      </c>
      <c r="F452" s="25" t="str">
        <f t="shared" si="263"/>
        <v/>
      </c>
      <c r="G452" s="7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2"/>
      <c r="U452" s="12">
        <f t="shared" si="237"/>
        <v>0</v>
      </c>
      <c r="V452" s="28" t="str">
        <f t="shared" ca="1" si="238"/>
        <v/>
      </c>
      <c r="W452" s="28" t="str">
        <f t="shared" si="239"/>
        <v/>
      </c>
      <c r="X452" s="12" t="str">
        <f t="shared" si="240"/>
        <v/>
      </c>
      <c r="Y452" s="12" t="str">
        <f t="shared" si="241"/>
        <v/>
      </c>
      <c r="Z452" s="12" t="str">
        <f t="shared" si="242"/>
        <v/>
      </c>
      <c r="AA452" s="12" t="str">
        <f t="shared" si="243"/>
        <v/>
      </c>
      <c r="AB452" s="12" t="str">
        <f t="shared" si="244"/>
        <v/>
      </c>
      <c r="AC452" s="12" t="str">
        <f t="shared" si="245"/>
        <v/>
      </c>
      <c r="AD452" s="12" t="str">
        <f t="shared" si="246"/>
        <v/>
      </c>
      <c r="AE452" s="12" t="str">
        <f t="shared" si="247"/>
        <v/>
      </c>
      <c r="AF452" s="12" t="str">
        <f t="shared" si="248"/>
        <v/>
      </c>
      <c r="AG452" s="12"/>
      <c r="AH452" s="12" t="str">
        <f t="shared" si="249"/>
        <v/>
      </c>
      <c r="AI452" s="12" t="str">
        <f t="shared" si="250"/>
        <v/>
      </c>
      <c r="AJ452" s="12" t="str">
        <f t="shared" si="251"/>
        <v/>
      </c>
      <c r="AK452" s="12" t="str">
        <f t="shared" si="252"/>
        <v/>
      </c>
      <c r="AL452" s="12" t="str">
        <f t="shared" si="253"/>
        <v/>
      </c>
      <c r="AM452" s="12" t="str">
        <f t="shared" si="254"/>
        <v/>
      </c>
      <c r="AN452" s="12" t="str">
        <f t="shared" si="255"/>
        <v/>
      </c>
      <c r="AO452" s="12" t="str">
        <f t="shared" si="256"/>
        <v/>
      </c>
      <c r="AP452" s="12" t="str">
        <f t="shared" si="257"/>
        <v/>
      </c>
    </row>
    <row r="453" spans="1:42">
      <c r="A453" s="9" t="str">
        <f t="shared" si="258"/>
        <v/>
      </c>
      <c r="B453" s="22" t="str">
        <f t="shared" si="259"/>
        <v/>
      </c>
      <c r="C453" s="23" t="str">
        <f t="shared" si="260"/>
        <v/>
      </c>
      <c r="D453" s="24" t="str">
        <f t="shared" si="261"/>
        <v/>
      </c>
      <c r="E453" s="24" t="str">
        <f t="shared" si="262"/>
        <v/>
      </c>
      <c r="F453" s="25" t="str">
        <f t="shared" si="263"/>
        <v/>
      </c>
      <c r="G453" s="7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2"/>
      <c r="U453" s="12">
        <f t="shared" si="237"/>
        <v>0</v>
      </c>
      <c r="V453" s="28" t="str">
        <f t="shared" ca="1" si="238"/>
        <v/>
      </c>
      <c r="W453" s="28" t="str">
        <f t="shared" si="239"/>
        <v/>
      </c>
      <c r="X453" s="12" t="str">
        <f t="shared" si="240"/>
        <v/>
      </c>
      <c r="Y453" s="12" t="str">
        <f t="shared" si="241"/>
        <v/>
      </c>
      <c r="Z453" s="12" t="str">
        <f t="shared" si="242"/>
        <v/>
      </c>
      <c r="AA453" s="12" t="str">
        <f t="shared" si="243"/>
        <v/>
      </c>
      <c r="AB453" s="12" t="str">
        <f t="shared" si="244"/>
        <v/>
      </c>
      <c r="AC453" s="12" t="str">
        <f t="shared" si="245"/>
        <v/>
      </c>
      <c r="AD453" s="12" t="str">
        <f t="shared" si="246"/>
        <v/>
      </c>
      <c r="AE453" s="12" t="str">
        <f t="shared" si="247"/>
        <v/>
      </c>
      <c r="AF453" s="12" t="str">
        <f t="shared" si="248"/>
        <v/>
      </c>
      <c r="AG453" s="12"/>
      <c r="AH453" s="12" t="str">
        <f t="shared" si="249"/>
        <v/>
      </c>
      <c r="AI453" s="12" t="str">
        <f t="shared" si="250"/>
        <v/>
      </c>
      <c r="AJ453" s="12" t="str">
        <f t="shared" si="251"/>
        <v/>
      </c>
      <c r="AK453" s="12" t="str">
        <f t="shared" si="252"/>
        <v/>
      </c>
      <c r="AL453" s="12" t="str">
        <f t="shared" si="253"/>
        <v/>
      </c>
      <c r="AM453" s="12" t="str">
        <f t="shared" si="254"/>
        <v/>
      </c>
      <c r="AN453" s="12" t="str">
        <f t="shared" si="255"/>
        <v/>
      </c>
      <c r="AO453" s="12" t="str">
        <f t="shared" si="256"/>
        <v/>
      </c>
      <c r="AP453" s="12" t="str">
        <f t="shared" si="257"/>
        <v/>
      </c>
    </row>
    <row r="454" spans="1:42">
      <c r="A454" s="9" t="str">
        <f t="shared" si="258"/>
        <v/>
      </c>
      <c r="B454" s="22" t="str">
        <f t="shared" si="259"/>
        <v/>
      </c>
      <c r="C454" s="23" t="str">
        <f t="shared" si="260"/>
        <v/>
      </c>
      <c r="D454" s="24" t="str">
        <f t="shared" si="261"/>
        <v/>
      </c>
      <c r="E454" s="24" t="str">
        <f t="shared" si="262"/>
        <v/>
      </c>
      <c r="F454" s="25" t="str">
        <f t="shared" si="263"/>
        <v/>
      </c>
      <c r="G454" s="7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2"/>
      <c r="U454" s="12">
        <f t="shared" si="237"/>
        <v>0</v>
      </c>
      <c r="V454" s="28" t="str">
        <f t="shared" ca="1" si="238"/>
        <v/>
      </c>
      <c r="W454" s="28" t="str">
        <f t="shared" si="239"/>
        <v/>
      </c>
      <c r="X454" s="12" t="str">
        <f t="shared" si="240"/>
        <v/>
      </c>
      <c r="Y454" s="12" t="str">
        <f t="shared" si="241"/>
        <v/>
      </c>
      <c r="Z454" s="12" t="str">
        <f t="shared" si="242"/>
        <v/>
      </c>
      <c r="AA454" s="12" t="str">
        <f t="shared" si="243"/>
        <v/>
      </c>
      <c r="AB454" s="12" t="str">
        <f t="shared" si="244"/>
        <v/>
      </c>
      <c r="AC454" s="12" t="str">
        <f t="shared" si="245"/>
        <v/>
      </c>
      <c r="AD454" s="12" t="str">
        <f t="shared" si="246"/>
        <v/>
      </c>
      <c r="AE454" s="12" t="str">
        <f t="shared" si="247"/>
        <v/>
      </c>
      <c r="AF454" s="12" t="str">
        <f t="shared" si="248"/>
        <v/>
      </c>
      <c r="AG454" s="12"/>
      <c r="AH454" s="12" t="str">
        <f t="shared" si="249"/>
        <v/>
      </c>
      <c r="AI454" s="12" t="str">
        <f t="shared" si="250"/>
        <v/>
      </c>
      <c r="AJ454" s="12" t="str">
        <f t="shared" si="251"/>
        <v/>
      </c>
      <c r="AK454" s="12" t="str">
        <f t="shared" si="252"/>
        <v/>
      </c>
      <c r="AL454" s="12" t="str">
        <f t="shared" si="253"/>
        <v/>
      </c>
      <c r="AM454" s="12" t="str">
        <f t="shared" si="254"/>
        <v/>
      </c>
      <c r="AN454" s="12" t="str">
        <f t="shared" si="255"/>
        <v/>
      </c>
      <c r="AO454" s="12" t="str">
        <f t="shared" si="256"/>
        <v/>
      </c>
      <c r="AP454" s="12" t="str">
        <f t="shared" si="257"/>
        <v/>
      </c>
    </row>
    <row r="455" spans="1:42">
      <c r="A455" s="9" t="str">
        <f t="shared" si="258"/>
        <v/>
      </c>
      <c r="B455" s="22" t="str">
        <f t="shared" si="259"/>
        <v/>
      </c>
      <c r="C455" s="23" t="str">
        <f t="shared" si="260"/>
        <v/>
      </c>
      <c r="D455" s="24" t="str">
        <f t="shared" si="261"/>
        <v/>
      </c>
      <c r="E455" s="24" t="str">
        <f t="shared" si="262"/>
        <v/>
      </c>
      <c r="F455" s="25" t="str">
        <f t="shared" si="263"/>
        <v/>
      </c>
      <c r="G455" s="7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2"/>
      <c r="U455" s="12">
        <f t="shared" si="237"/>
        <v>0</v>
      </c>
      <c r="V455" s="28" t="str">
        <f t="shared" ca="1" si="238"/>
        <v/>
      </c>
      <c r="W455" s="28" t="str">
        <f t="shared" si="239"/>
        <v/>
      </c>
      <c r="X455" s="12" t="str">
        <f t="shared" si="240"/>
        <v/>
      </c>
      <c r="Y455" s="12" t="str">
        <f t="shared" si="241"/>
        <v/>
      </c>
      <c r="Z455" s="12" t="str">
        <f t="shared" si="242"/>
        <v/>
      </c>
      <c r="AA455" s="12" t="str">
        <f t="shared" si="243"/>
        <v/>
      </c>
      <c r="AB455" s="12" t="str">
        <f t="shared" si="244"/>
        <v/>
      </c>
      <c r="AC455" s="12" t="str">
        <f t="shared" si="245"/>
        <v/>
      </c>
      <c r="AD455" s="12" t="str">
        <f t="shared" si="246"/>
        <v/>
      </c>
      <c r="AE455" s="12" t="str">
        <f t="shared" si="247"/>
        <v/>
      </c>
      <c r="AF455" s="12" t="str">
        <f t="shared" si="248"/>
        <v/>
      </c>
      <c r="AG455" s="12"/>
      <c r="AH455" s="12" t="str">
        <f t="shared" si="249"/>
        <v/>
      </c>
      <c r="AI455" s="12" t="str">
        <f t="shared" si="250"/>
        <v/>
      </c>
      <c r="AJ455" s="12" t="str">
        <f t="shared" si="251"/>
        <v/>
      </c>
      <c r="AK455" s="12" t="str">
        <f t="shared" si="252"/>
        <v/>
      </c>
      <c r="AL455" s="12" t="str">
        <f t="shared" si="253"/>
        <v/>
      </c>
      <c r="AM455" s="12" t="str">
        <f t="shared" si="254"/>
        <v/>
      </c>
      <c r="AN455" s="12" t="str">
        <f t="shared" si="255"/>
        <v/>
      </c>
      <c r="AO455" s="12" t="str">
        <f t="shared" si="256"/>
        <v/>
      </c>
      <c r="AP455" s="12" t="str">
        <f t="shared" si="257"/>
        <v/>
      </c>
    </row>
    <row r="456" spans="1:42">
      <c r="A456" s="9" t="str">
        <f t="shared" si="258"/>
        <v/>
      </c>
      <c r="B456" s="22" t="str">
        <f t="shared" si="259"/>
        <v/>
      </c>
      <c r="C456" s="23" t="str">
        <f t="shared" si="260"/>
        <v/>
      </c>
      <c r="D456" s="24" t="str">
        <f t="shared" si="261"/>
        <v/>
      </c>
      <c r="E456" s="24" t="str">
        <f t="shared" si="262"/>
        <v/>
      </c>
      <c r="F456" s="25" t="str">
        <f t="shared" si="263"/>
        <v/>
      </c>
      <c r="G456" s="7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2"/>
      <c r="U456" s="12">
        <f t="shared" si="237"/>
        <v>0</v>
      </c>
      <c r="V456" s="28" t="str">
        <f t="shared" ca="1" si="238"/>
        <v/>
      </c>
      <c r="W456" s="28" t="str">
        <f t="shared" si="239"/>
        <v/>
      </c>
      <c r="X456" s="12" t="str">
        <f t="shared" si="240"/>
        <v/>
      </c>
      <c r="Y456" s="12" t="str">
        <f t="shared" si="241"/>
        <v/>
      </c>
      <c r="Z456" s="12" t="str">
        <f t="shared" si="242"/>
        <v/>
      </c>
      <c r="AA456" s="12" t="str">
        <f t="shared" si="243"/>
        <v/>
      </c>
      <c r="AB456" s="12" t="str">
        <f t="shared" si="244"/>
        <v/>
      </c>
      <c r="AC456" s="12" t="str">
        <f t="shared" si="245"/>
        <v/>
      </c>
      <c r="AD456" s="12" t="str">
        <f t="shared" si="246"/>
        <v/>
      </c>
      <c r="AE456" s="12" t="str">
        <f t="shared" si="247"/>
        <v/>
      </c>
      <c r="AF456" s="12" t="str">
        <f t="shared" si="248"/>
        <v/>
      </c>
      <c r="AG456" s="12"/>
      <c r="AH456" s="12" t="str">
        <f t="shared" si="249"/>
        <v/>
      </c>
      <c r="AI456" s="12" t="str">
        <f t="shared" si="250"/>
        <v/>
      </c>
      <c r="AJ456" s="12" t="str">
        <f t="shared" si="251"/>
        <v/>
      </c>
      <c r="AK456" s="12" t="str">
        <f t="shared" si="252"/>
        <v/>
      </c>
      <c r="AL456" s="12" t="str">
        <f t="shared" si="253"/>
        <v/>
      </c>
      <c r="AM456" s="12" t="str">
        <f t="shared" si="254"/>
        <v/>
      </c>
      <c r="AN456" s="12" t="str">
        <f t="shared" si="255"/>
        <v/>
      </c>
      <c r="AO456" s="12" t="str">
        <f t="shared" si="256"/>
        <v/>
      </c>
      <c r="AP456" s="12" t="str">
        <f t="shared" si="257"/>
        <v/>
      </c>
    </row>
    <row r="457" spans="1:42">
      <c r="A457" s="9" t="str">
        <f t="shared" si="258"/>
        <v/>
      </c>
      <c r="B457" s="22" t="str">
        <f t="shared" si="259"/>
        <v/>
      </c>
      <c r="C457" s="23" t="str">
        <f t="shared" si="260"/>
        <v/>
      </c>
      <c r="D457" s="24" t="str">
        <f t="shared" si="261"/>
        <v/>
      </c>
      <c r="E457" s="24" t="str">
        <f t="shared" si="262"/>
        <v/>
      </c>
      <c r="F457" s="25" t="str">
        <f t="shared" si="263"/>
        <v/>
      </c>
      <c r="G457" s="7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2"/>
      <c r="U457" s="12">
        <f t="shared" si="237"/>
        <v>0</v>
      </c>
      <c r="V457" s="28" t="str">
        <f t="shared" ca="1" si="238"/>
        <v/>
      </c>
      <c r="W457" s="28" t="str">
        <f t="shared" si="239"/>
        <v/>
      </c>
      <c r="X457" s="12" t="str">
        <f t="shared" si="240"/>
        <v/>
      </c>
      <c r="Y457" s="12" t="str">
        <f t="shared" si="241"/>
        <v/>
      </c>
      <c r="Z457" s="12" t="str">
        <f t="shared" si="242"/>
        <v/>
      </c>
      <c r="AA457" s="12" t="str">
        <f t="shared" si="243"/>
        <v/>
      </c>
      <c r="AB457" s="12" t="str">
        <f t="shared" si="244"/>
        <v/>
      </c>
      <c r="AC457" s="12" t="str">
        <f t="shared" si="245"/>
        <v/>
      </c>
      <c r="AD457" s="12" t="str">
        <f t="shared" si="246"/>
        <v/>
      </c>
      <c r="AE457" s="12" t="str">
        <f t="shared" si="247"/>
        <v/>
      </c>
      <c r="AF457" s="12" t="str">
        <f t="shared" si="248"/>
        <v/>
      </c>
      <c r="AG457" s="12"/>
      <c r="AH457" s="12" t="str">
        <f t="shared" si="249"/>
        <v/>
      </c>
      <c r="AI457" s="12" t="str">
        <f t="shared" si="250"/>
        <v/>
      </c>
      <c r="AJ457" s="12" t="str">
        <f t="shared" si="251"/>
        <v/>
      </c>
      <c r="AK457" s="12" t="str">
        <f t="shared" si="252"/>
        <v/>
      </c>
      <c r="AL457" s="12" t="str">
        <f t="shared" si="253"/>
        <v/>
      </c>
      <c r="AM457" s="12" t="str">
        <f t="shared" si="254"/>
        <v/>
      </c>
      <c r="AN457" s="12" t="str">
        <f t="shared" si="255"/>
        <v/>
      </c>
      <c r="AO457" s="12" t="str">
        <f t="shared" si="256"/>
        <v/>
      </c>
      <c r="AP457" s="12" t="str">
        <f t="shared" si="257"/>
        <v/>
      </c>
    </row>
    <row r="458" spans="1:42">
      <c r="A458" s="9" t="str">
        <f t="shared" si="258"/>
        <v/>
      </c>
      <c r="B458" s="22" t="str">
        <f t="shared" si="259"/>
        <v/>
      </c>
      <c r="C458" s="23" t="str">
        <f t="shared" si="260"/>
        <v/>
      </c>
      <c r="D458" s="24" t="str">
        <f t="shared" si="261"/>
        <v/>
      </c>
      <c r="E458" s="24" t="str">
        <f t="shared" si="262"/>
        <v/>
      </c>
      <c r="F458" s="25" t="str">
        <f t="shared" si="263"/>
        <v/>
      </c>
      <c r="G458" s="7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2"/>
      <c r="U458" s="12">
        <f t="shared" si="237"/>
        <v>0</v>
      </c>
      <c r="V458" s="28" t="str">
        <f t="shared" ca="1" si="238"/>
        <v/>
      </c>
      <c r="W458" s="28" t="str">
        <f t="shared" si="239"/>
        <v/>
      </c>
      <c r="X458" s="12" t="str">
        <f t="shared" si="240"/>
        <v/>
      </c>
      <c r="Y458" s="12" t="str">
        <f t="shared" si="241"/>
        <v/>
      </c>
      <c r="Z458" s="12" t="str">
        <f t="shared" si="242"/>
        <v/>
      </c>
      <c r="AA458" s="12" t="str">
        <f t="shared" si="243"/>
        <v/>
      </c>
      <c r="AB458" s="12" t="str">
        <f t="shared" si="244"/>
        <v/>
      </c>
      <c r="AC458" s="12" t="str">
        <f t="shared" si="245"/>
        <v/>
      </c>
      <c r="AD458" s="12" t="str">
        <f t="shared" si="246"/>
        <v/>
      </c>
      <c r="AE458" s="12" t="str">
        <f t="shared" si="247"/>
        <v/>
      </c>
      <c r="AF458" s="12" t="str">
        <f t="shared" si="248"/>
        <v/>
      </c>
      <c r="AG458" s="12"/>
      <c r="AH458" s="12" t="str">
        <f t="shared" si="249"/>
        <v/>
      </c>
      <c r="AI458" s="12" t="str">
        <f t="shared" si="250"/>
        <v/>
      </c>
      <c r="AJ458" s="12" t="str">
        <f t="shared" si="251"/>
        <v/>
      </c>
      <c r="AK458" s="12" t="str">
        <f t="shared" si="252"/>
        <v/>
      </c>
      <c r="AL458" s="12" t="str">
        <f t="shared" si="253"/>
        <v/>
      </c>
      <c r="AM458" s="12" t="str">
        <f t="shared" si="254"/>
        <v/>
      </c>
      <c r="AN458" s="12" t="str">
        <f t="shared" si="255"/>
        <v/>
      </c>
      <c r="AO458" s="12" t="str">
        <f t="shared" si="256"/>
        <v/>
      </c>
      <c r="AP458" s="12" t="str">
        <f t="shared" si="257"/>
        <v/>
      </c>
    </row>
    <row r="459" spans="1:42">
      <c r="A459" s="9" t="str">
        <f t="shared" si="258"/>
        <v/>
      </c>
      <c r="B459" s="22" t="str">
        <f t="shared" si="259"/>
        <v/>
      </c>
      <c r="C459" s="23" t="str">
        <f t="shared" si="260"/>
        <v/>
      </c>
      <c r="D459" s="24" t="str">
        <f t="shared" si="261"/>
        <v/>
      </c>
      <c r="E459" s="24" t="str">
        <f t="shared" si="262"/>
        <v/>
      </c>
      <c r="F459" s="25" t="str">
        <f t="shared" si="263"/>
        <v/>
      </c>
      <c r="G459" s="7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2"/>
      <c r="U459" s="12">
        <f t="shared" si="237"/>
        <v>0</v>
      </c>
      <c r="V459" s="28" t="str">
        <f t="shared" ca="1" si="238"/>
        <v/>
      </c>
      <c r="W459" s="28" t="str">
        <f t="shared" si="239"/>
        <v/>
      </c>
      <c r="X459" s="12" t="str">
        <f t="shared" si="240"/>
        <v/>
      </c>
      <c r="Y459" s="12" t="str">
        <f t="shared" si="241"/>
        <v/>
      </c>
      <c r="Z459" s="12" t="str">
        <f t="shared" si="242"/>
        <v/>
      </c>
      <c r="AA459" s="12" t="str">
        <f t="shared" si="243"/>
        <v/>
      </c>
      <c r="AB459" s="12" t="str">
        <f t="shared" si="244"/>
        <v/>
      </c>
      <c r="AC459" s="12" t="str">
        <f t="shared" si="245"/>
        <v/>
      </c>
      <c r="AD459" s="12" t="str">
        <f t="shared" si="246"/>
        <v/>
      </c>
      <c r="AE459" s="12" t="str">
        <f t="shared" si="247"/>
        <v/>
      </c>
      <c r="AF459" s="12" t="str">
        <f t="shared" si="248"/>
        <v/>
      </c>
      <c r="AG459" s="12"/>
      <c r="AH459" s="12" t="str">
        <f t="shared" si="249"/>
        <v/>
      </c>
      <c r="AI459" s="12" t="str">
        <f t="shared" si="250"/>
        <v/>
      </c>
      <c r="AJ459" s="12" t="str">
        <f t="shared" si="251"/>
        <v/>
      </c>
      <c r="AK459" s="12" t="str">
        <f t="shared" si="252"/>
        <v/>
      </c>
      <c r="AL459" s="12" t="str">
        <f t="shared" si="253"/>
        <v/>
      </c>
      <c r="AM459" s="12" t="str">
        <f t="shared" si="254"/>
        <v/>
      </c>
      <c r="AN459" s="12" t="str">
        <f t="shared" si="255"/>
        <v/>
      </c>
      <c r="AO459" s="12" t="str">
        <f t="shared" si="256"/>
        <v/>
      </c>
      <c r="AP459" s="12" t="str">
        <f t="shared" si="257"/>
        <v/>
      </c>
    </row>
    <row r="460" spans="1:42">
      <c r="A460" s="9" t="str">
        <f t="shared" si="258"/>
        <v/>
      </c>
      <c r="B460" s="22" t="str">
        <f t="shared" si="259"/>
        <v/>
      </c>
      <c r="C460" s="23" t="str">
        <f t="shared" si="260"/>
        <v/>
      </c>
      <c r="D460" s="24" t="str">
        <f t="shared" si="261"/>
        <v/>
      </c>
      <c r="E460" s="24" t="str">
        <f t="shared" si="262"/>
        <v/>
      </c>
      <c r="F460" s="25" t="str">
        <f t="shared" si="263"/>
        <v/>
      </c>
      <c r="G460" s="7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2"/>
      <c r="U460" s="12">
        <f t="shared" si="237"/>
        <v>0</v>
      </c>
      <c r="V460" s="28" t="str">
        <f t="shared" ca="1" si="238"/>
        <v/>
      </c>
      <c r="W460" s="28" t="str">
        <f t="shared" si="239"/>
        <v/>
      </c>
      <c r="X460" s="12" t="str">
        <f t="shared" si="240"/>
        <v/>
      </c>
      <c r="Y460" s="12" t="str">
        <f t="shared" si="241"/>
        <v/>
      </c>
      <c r="Z460" s="12" t="str">
        <f t="shared" si="242"/>
        <v/>
      </c>
      <c r="AA460" s="12" t="str">
        <f t="shared" si="243"/>
        <v/>
      </c>
      <c r="AB460" s="12" t="str">
        <f t="shared" si="244"/>
        <v/>
      </c>
      <c r="AC460" s="12" t="str">
        <f t="shared" si="245"/>
        <v/>
      </c>
      <c r="AD460" s="12" t="str">
        <f t="shared" si="246"/>
        <v/>
      </c>
      <c r="AE460" s="12" t="str">
        <f t="shared" si="247"/>
        <v/>
      </c>
      <c r="AF460" s="12" t="str">
        <f t="shared" si="248"/>
        <v/>
      </c>
      <c r="AG460" s="12"/>
      <c r="AH460" s="12" t="str">
        <f t="shared" si="249"/>
        <v/>
      </c>
      <c r="AI460" s="12" t="str">
        <f t="shared" si="250"/>
        <v/>
      </c>
      <c r="AJ460" s="12" t="str">
        <f t="shared" si="251"/>
        <v/>
      </c>
      <c r="AK460" s="12" t="str">
        <f t="shared" si="252"/>
        <v/>
      </c>
      <c r="AL460" s="12" t="str">
        <f t="shared" si="253"/>
        <v/>
      </c>
      <c r="AM460" s="12" t="str">
        <f t="shared" si="254"/>
        <v/>
      </c>
      <c r="AN460" s="12" t="str">
        <f t="shared" si="255"/>
        <v/>
      </c>
      <c r="AO460" s="12" t="str">
        <f t="shared" si="256"/>
        <v/>
      </c>
      <c r="AP460" s="12" t="str">
        <f t="shared" si="257"/>
        <v/>
      </c>
    </row>
    <row r="461" spans="1:42">
      <c r="A461" s="9" t="str">
        <f t="shared" si="258"/>
        <v/>
      </c>
      <c r="B461" s="22" t="str">
        <f t="shared" si="259"/>
        <v/>
      </c>
      <c r="C461" s="23" t="str">
        <f t="shared" si="260"/>
        <v/>
      </c>
      <c r="D461" s="24" t="str">
        <f t="shared" si="261"/>
        <v/>
      </c>
      <c r="E461" s="24" t="str">
        <f t="shared" si="262"/>
        <v/>
      </c>
      <c r="F461" s="25" t="str">
        <f t="shared" si="263"/>
        <v/>
      </c>
      <c r="G461" s="7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2"/>
      <c r="U461" s="12">
        <f t="shared" si="237"/>
        <v>0</v>
      </c>
      <c r="V461" s="28" t="str">
        <f t="shared" ca="1" si="238"/>
        <v/>
      </c>
      <c r="W461" s="28" t="str">
        <f t="shared" si="239"/>
        <v/>
      </c>
      <c r="X461" s="12" t="str">
        <f t="shared" si="240"/>
        <v/>
      </c>
      <c r="Y461" s="12" t="str">
        <f t="shared" si="241"/>
        <v/>
      </c>
      <c r="Z461" s="12" t="str">
        <f t="shared" si="242"/>
        <v/>
      </c>
      <c r="AA461" s="12" t="str">
        <f t="shared" si="243"/>
        <v/>
      </c>
      <c r="AB461" s="12" t="str">
        <f t="shared" si="244"/>
        <v/>
      </c>
      <c r="AC461" s="12" t="str">
        <f t="shared" si="245"/>
        <v/>
      </c>
      <c r="AD461" s="12" t="str">
        <f t="shared" si="246"/>
        <v/>
      </c>
      <c r="AE461" s="12" t="str">
        <f t="shared" si="247"/>
        <v/>
      </c>
      <c r="AF461" s="12" t="str">
        <f t="shared" si="248"/>
        <v/>
      </c>
      <c r="AG461" s="12"/>
      <c r="AH461" s="12" t="str">
        <f t="shared" si="249"/>
        <v/>
      </c>
      <c r="AI461" s="12" t="str">
        <f t="shared" si="250"/>
        <v/>
      </c>
      <c r="AJ461" s="12" t="str">
        <f t="shared" si="251"/>
        <v/>
      </c>
      <c r="AK461" s="12" t="str">
        <f t="shared" si="252"/>
        <v/>
      </c>
      <c r="AL461" s="12" t="str">
        <f t="shared" si="253"/>
        <v/>
      </c>
      <c r="AM461" s="12" t="str">
        <f t="shared" si="254"/>
        <v/>
      </c>
      <c r="AN461" s="12" t="str">
        <f t="shared" si="255"/>
        <v/>
      </c>
      <c r="AO461" s="12" t="str">
        <f t="shared" si="256"/>
        <v/>
      </c>
      <c r="AP461" s="12" t="str">
        <f t="shared" si="257"/>
        <v/>
      </c>
    </row>
    <row r="462" spans="1:42">
      <c r="A462" s="9" t="str">
        <f t="shared" si="258"/>
        <v/>
      </c>
      <c r="B462" s="22" t="str">
        <f t="shared" si="259"/>
        <v/>
      </c>
      <c r="C462" s="23" t="str">
        <f t="shared" si="260"/>
        <v/>
      </c>
      <c r="D462" s="24" t="str">
        <f t="shared" si="261"/>
        <v/>
      </c>
      <c r="E462" s="24" t="str">
        <f t="shared" si="262"/>
        <v/>
      </c>
      <c r="F462" s="25" t="str">
        <f t="shared" si="263"/>
        <v/>
      </c>
      <c r="G462" s="7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2"/>
      <c r="U462" s="12">
        <f t="shared" si="237"/>
        <v>0</v>
      </c>
      <c r="V462" s="28" t="str">
        <f t="shared" ca="1" si="238"/>
        <v/>
      </c>
      <c r="W462" s="28" t="str">
        <f t="shared" si="239"/>
        <v/>
      </c>
      <c r="X462" s="12" t="str">
        <f t="shared" si="240"/>
        <v/>
      </c>
      <c r="Y462" s="12" t="str">
        <f t="shared" si="241"/>
        <v/>
      </c>
      <c r="Z462" s="12" t="str">
        <f t="shared" si="242"/>
        <v/>
      </c>
      <c r="AA462" s="12" t="str">
        <f t="shared" si="243"/>
        <v/>
      </c>
      <c r="AB462" s="12" t="str">
        <f t="shared" si="244"/>
        <v/>
      </c>
      <c r="AC462" s="12" t="str">
        <f t="shared" si="245"/>
        <v/>
      </c>
      <c r="AD462" s="12" t="str">
        <f t="shared" si="246"/>
        <v/>
      </c>
      <c r="AE462" s="12" t="str">
        <f t="shared" si="247"/>
        <v/>
      </c>
      <c r="AF462" s="12" t="str">
        <f t="shared" si="248"/>
        <v/>
      </c>
      <c r="AG462" s="12"/>
      <c r="AH462" s="12" t="str">
        <f t="shared" si="249"/>
        <v/>
      </c>
      <c r="AI462" s="12" t="str">
        <f t="shared" si="250"/>
        <v/>
      </c>
      <c r="AJ462" s="12" t="str">
        <f t="shared" si="251"/>
        <v/>
      </c>
      <c r="AK462" s="12" t="str">
        <f t="shared" si="252"/>
        <v/>
      </c>
      <c r="AL462" s="12" t="str">
        <f t="shared" si="253"/>
        <v/>
      </c>
      <c r="AM462" s="12" t="str">
        <f t="shared" si="254"/>
        <v/>
      </c>
      <c r="AN462" s="12" t="str">
        <f t="shared" si="255"/>
        <v/>
      </c>
      <c r="AO462" s="12" t="str">
        <f t="shared" si="256"/>
        <v/>
      </c>
      <c r="AP462" s="12" t="str">
        <f t="shared" si="257"/>
        <v/>
      </c>
    </row>
    <row r="463" spans="1:42">
      <c r="A463" s="9" t="str">
        <f t="shared" si="258"/>
        <v/>
      </c>
      <c r="B463" s="22" t="str">
        <f t="shared" si="259"/>
        <v/>
      </c>
      <c r="C463" s="23" t="str">
        <f t="shared" si="260"/>
        <v/>
      </c>
      <c r="D463" s="24" t="str">
        <f t="shared" si="261"/>
        <v/>
      </c>
      <c r="E463" s="24" t="str">
        <f t="shared" si="262"/>
        <v/>
      </c>
      <c r="F463" s="25" t="str">
        <f t="shared" si="263"/>
        <v/>
      </c>
      <c r="G463" s="7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2"/>
      <c r="U463" s="12">
        <f t="shared" si="237"/>
        <v>0</v>
      </c>
      <c r="V463" s="28" t="str">
        <f t="shared" ca="1" si="238"/>
        <v/>
      </c>
      <c r="W463" s="28" t="str">
        <f t="shared" si="239"/>
        <v/>
      </c>
      <c r="X463" s="12" t="str">
        <f t="shared" si="240"/>
        <v/>
      </c>
      <c r="Y463" s="12" t="str">
        <f t="shared" si="241"/>
        <v/>
      </c>
      <c r="Z463" s="12" t="str">
        <f t="shared" si="242"/>
        <v/>
      </c>
      <c r="AA463" s="12" t="str">
        <f t="shared" si="243"/>
        <v/>
      </c>
      <c r="AB463" s="12" t="str">
        <f t="shared" si="244"/>
        <v/>
      </c>
      <c r="AC463" s="12" t="str">
        <f t="shared" si="245"/>
        <v/>
      </c>
      <c r="AD463" s="12" t="str">
        <f t="shared" si="246"/>
        <v/>
      </c>
      <c r="AE463" s="12" t="str">
        <f t="shared" si="247"/>
        <v/>
      </c>
      <c r="AF463" s="12" t="str">
        <f t="shared" si="248"/>
        <v/>
      </c>
      <c r="AG463" s="12"/>
      <c r="AH463" s="12" t="str">
        <f t="shared" si="249"/>
        <v/>
      </c>
      <c r="AI463" s="12" t="str">
        <f t="shared" si="250"/>
        <v/>
      </c>
      <c r="AJ463" s="12" t="str">
        <f t="shared" si="251"/>
        <v/>
      </c>
      <c r="AK463" s="12" t="str">
        <f t="shared" si="252"/>
        <v/>
      </c>
      <c r="AL463" s="12" t="str">
        <f t="shared" si="253"/>
        <v/>
      </c>
      <c r="AM463" s="12" t="str">
        <f t="shared" si="254"/>
        <v/>
      </c>
      <c r="AN463" s="12" t="str">
        <f t="shared" si="255"/>
        <v/>
      </c>
      <c r="AO463" s="12" t="str">
        <f t="shared" si="256"/>
        <v/>
      </c>
      <c r="AP463" s="12" t="str">
        <f t="shared" si="257"/>
        <v/>
      </c>
    </row>
    <row r="464" spans="1:42">
      <c r="A464" s="9" t="str">
        <f t="shared" si="258"/>
        <v/>
      </c>
      <c r="B464" s="22" t="str">
        <f t="shared" si="259"/>
        <v/>
      </c>
      <c r="C464" s="23" t="str">
        <f t="shared" si="260"/>
        <v/>
      </c>
      <c r="D464" s="24" t="str">
        <f t="shared" si="261"/>
        <v/>
      </c>
      <c r="E464" s="24" t="str">
        <f t="shared" si="262"/>
        <v/>
      </c>
      <c r="F464" s="25" t="str">
        <f t="shared" si="263"/>
        <v/>
      </c>
      <c r="G464" s="7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2"/>
      <c r="U464" s="12">
        <f t="shared" si="237"/>
        <v>0</v>
      </c>
      <c r="V464" s="28" t="str">
        <f t="shared" ca="1" si="238"/>
        <v/>
      </c>
      <c r="W464" s="28" t="str">
        <f t="shared" si="239"/>
        <v/>
      </c>
      <c r="X464" s="12" t="str">
        <f t="shared" si="240"/>
        <v/>
      </c>
      <c r="Y464" s="12" t="str">
        <f t="shared" si="241"/>
        <v/>
      </c>
      <c r="Z464" s="12" t="str">
        <f t="shared" si="242"/>
        <v/>
      </c>
      <c r="AA464" s="12" t="str">
        <f t="shared" si="243"/>
        <v/>
      </c>
      <c r="AB464" s="12" t="str">
        <f t="shared" si="244"/>
        <v/>
      </c>
      <c r="AC464" s="12" t="str">
        <f t="shared" si="245"/>
        <v/>
      </c>
      <c r="AD464" s="12" t="str">
        <f t="shared" si="246"/>
        <v/>
      </c>
      <c r="AE464" s="12" t="str">
        <f t="shared" si="247"/>
        <v/>
      </c>
      <c r="AF464" s="12" t="str">
        <f t="shared" si="248"/>
        <v/>
      </c>
      <c r="AG464" s="12"/>
      <c r="AH464" s="12" t="str">
        <f t="shared" si="249"/>
        <v/>
      </c>
      <c r="AI464" s="12" t="str">
        <f t="shared" si="250"/>
        <v/>
      </c>
      <c r="AJ464" s="12" t="str">
        <f t="shared" si="251"/>
        <v/>
      </c>
      <c r="AK464" s="12" t="str">
        <f t="shared" si="252"/>
        <v/>
      </c>
      <c r="AL464" s="12" t="str">
        <f t="shared" si="253"/>
        <v/>
      </c>
      <c r="AM464" s="12" t="str">
        <f t="shared" si="254"/>
        <v/>
      </c>
      <c r="AN464" s="12" t="str">
        <f t="shared" si="255"/>
        <v/>
      </c>
      <c r="AO464" s="12" t="str">
        <f t="shared" si="256"/>
        <v/>
      </c>
      <c r="AP464" s="12" t="str">
        <f t="shared" si="257"/>
        <v/>
      </c>
    </row>
    <row r="465" spans="1:42">
      <c r="A465" s="9" t="str">
        <f t="shared" si="258"/>
        <v/>
      </c>
      <c r="B465" s="22" t="str">
        <f t="shared" si="259"/>
        <v/>
      </c>
      <c r="C465" s="23" t="str">
        <f t="shared" si="260"/>
        <v/>
      </c>
      <c r="D465" s="24" t="str">
        <f t="shared" si="261"/>
        <v/>
      </c>
      <c r="E465" s="24" t="str">
        <f t="shared" si="262"/>
        <v/>
      </c>
      <c r="F465" s="25" t="str">
        <f t="shared" si="263"/>
        <v/>
      </c>
      <c r="G465" s="7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2"/>
      <c r="U465" s="12">
        <f t="shared" si="237"/>
        <v>0</v>
      </c>
      <c r="V465" s="28" t="str">
        <f t="shared" ca="1" si="238"/>
        <v/>
      </c>
      <c r="W465" s="28" t="str">
        <f t="shared" si="239"/>
        <v/>
      </c>
      <c r="X465" s="12" t="str">
        <f t="shared" si="240"/>
        <v/>
      </c>
      <c r="Y465" s="12" t="str">
        <f t="shared" si="241"/>
        <v/>
      </c>
      <c r="Z465" s="12" t="str">
        <f t="shared" si="242"/>
        <v/>
      </c>
      <c r="AA465" s="12" t="str">
        <f t="shared" si="243"/>
        <v/>
      </c>
      <c r="AB465" s="12" t="str">
        <f t="shared" si="244"/>
        <v/>
      </c>
      <c r="AC465" s="12" t="str">
        <f t="shared" si="245"/>
        <v/>
      </c>
      <c r="AD465" s="12" t="str">
        <f t="shared" si="246"/>
        <v/>
      </c>
      <c r="AE465" s="12" t="str">
        <f t="shared" si="247"/>
        <v/>
      </c>
      <c r="AF465" s="12" t="str">
        <f t="shared" si="248"/>
        <v/>
      </c>
      <c r="AG465" s="12"/>
      <c r="AH465" s="12" t="str">
        <f t="shared" si="249"/>
        <v/>
      </c>
      <c r="AI465" s="12" t="str">
        <f t="shared" si="250"/>
        <v/>
      </c>
      <c r="AJ465" s="12" t="str">
        <f t="shared" si="251"/>
        <v/>
      </c>
      <c r="AK465" s="12" t="str">
        <f t="shared" si="252"/>
        <v/>
      </c>
      <c r="AL465" s="12" t="str">
        <f t="shared" si="253"/>
        <v/>
      </c>
      <c r="AM465" s="12" t="str">
        <f t="shared" si="254"/>
        <v/>
      </c>
      <c r="AN465" s="12" t="str">
        <f t="shared" si="255"/>
        <v/>
      </c>
      <c r="AO465" s="12" t="str">
        <f t="shared" si="256"/>
        <v/>
      </c>
      <c r="AP465" s="12" t="str">
        <f t="shared" si="257"/>
        <v/>
      </c>
    </row>
    <row r="466" spans="1:42">
      <c r="A466" s="9" t="str">
        <f t="shared" si="258"/>
        <v/>
      </c>
      <c r="B466" s="22" t="str">
        <f t="shared" si="259"/>
        <v/>
      </c>
      <c r="C466" s="23" t="str">
        <f t="shared" si="260"/>
        <v/>
      </c>
      <c r="D466" s="24" t="str">
        <f t="shared" si="261"/>
        <v/>
      </c>
      <c r="E466" s="24" t="str">
        <f t="shared" si="262"/>
        <v/>
      </c>
      <c r="F466" s="25" t="str">
        <f t="shared" si="263"/>
        <v/>
      </c>
      <c r="G466" s="7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2"/>
      <c r="U466" s="12">
        <f t="shared" si="237"/>
        <v>0</v>
      </c>
      <c r="V466" s="28" t="str">
        <f t="shared" ca="1" si="238"/>
        <v/>
      </c>
      <c r="W466" s="28" t="str">
        <f t="shared" si="239"/>
        <v/>
      </c>
      <c r="X466" s="12" t="str">
        <f t="shared" si="240"/>
        <v/>
      </c>
      <c r="Y466" s="12" t="str">
        <f t="shared" si="241"/>
        <v/>
      </c>
      <c r="Z466" s="12" t="str">
        <f t="shared" si="242"/>
        <v/>
      </c>
      <c r="AA466" s="12" t="str">
        <f t="shared" si="243"/>
        <v/>
      </c>
      <c r="AB466" s="12" t="str">
        <f t="shared" si="244"/>
        <v/>
      </c>
      <c r="AC466" s="12" t="str">
        <f t="shared" si="245"/>
        <v/>
      </c>
      <c r="AD466" s="12" t="str">
        <f t="shared" si="246"/>
        <v/>
      </c>
      <c r="AE466" s="12" t="str">
        <f t="shared" si="247"/>
        <v/>
      </c>
      <c r="AF466" s="12" t="str">
        <f t="shared" si="248"/>
        <v/>
      </c>
      <c r="AG466" s="12"/>
      <c r="AH466" s="12" t="str">
        <f t="shared" si="249"/>
        <v/>
      </c>
      <c r="AI466" s="12" t="str">
        <f t="shared" si="250"/>
        <v/>
      </c>
      <c r="AJ466" s="12" t="str">
        <f t="shared" si="251"/>
        <v/>
      </c>
      <c r="AK466" s="12" t="str">
        <f t="shared" si="252"/>
        <v/>
      </c>
      <c r="AL466" s="12" t="str">
        <f t="shared" si="253"/>
        <v/>
      </c>
      <c r="AM466" s="12" t="str">
        <f t="shared" si="254"/>
        <v/>
      </c>
      <c r="AN466" s="12" t="str">
        <f t="shared" si="255"/>
        <v/>
      </c>
      <c r="AO466" s="12" t="str">
        <f t="shared" si="256"/>
        <v/>
      </c>
      <c r="AP466" s="12" t="str">
        <f t="shared" si="257"/>
        <v/>
      </c>
    </row>
    <row r="467" spans="1:42">
      <c r="A467" s="9" t="str">
        <f t="shared" si="258"/>
        <v/>
      </c>
      <c r="B467" s="22" t="str">
        <f t="shared" si="259"/>
        <v/>
      </c>
      <c r="C467" s="23" t="str">
        <f t="shared" si="260"/>
        <v/>
      </c>
      <c r="D467" s="24" t="str">
        <f t="shared" si="261"/>
        <v/>
      </c>
      <c r="E467" s="24" t="str">
        <f t="shared" si="262"/>
        <v/>
      </c>
      <c r="F467" s="25" t="str">
        <f t="shared" si="263"/>
        <v/>
      </c>
      <c r="G467" s="7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2"/>
      <c r="U467" s="12">
        <f t="shared" si="237"/>
        <v>0</v>
      </c>
      <c r="V467" s="28" t="str">
        <f t="shared" ca="1" si="238"/>
        <v/>
      </c>
      <c r="W467" s="28" t="str">
        <f t="shared" si="239"/>
        <v/>
      </c>
      <c r="X467" s="12" t="str">
        <f t="shared" si="240"/>
        <v/>
      </c>
      <c r="Y467" s="12" t="str">
        <f t="shared" si="241"/>
        <v/>
      </c>
      <c r="Z467" s="12" t="str">
        <f t="shared" si="242"/>
        <v/>
      </c>
      <c r="AA467" s="12" t="str">
        <f t="shared" si="243"/>
        <v/>
      </c>
      <c r="AB467" s="12" t="str">
        <f t="shared" si="244"/>
        <v/>
      </c>
      <c r="AC467" s="12" t="str">
        <f t="shared" si="245"/>
        <v/>
      </c>
      <c r="AD467" s="12" t="str">
        <f t="shared" si="246"/>
        <v/>
      </c>
      <c r="AE467" s="12" t="str">
        <f t="shared" si="247"/>
        <v/>
      </c>
      <c r="AF467" s="12" t="str">
        <f t="shared" si="248"/>
        <v/>
      </c>
      <c r="AG467" s="12"/>
      <c r="AH467" s="12" t="str">
        <f t="shared" si="249"/>
        <v/>
      </c>
      <c r="AI467" s="12" t="str">
        <f t="shared" si="250"/>
        <v/>
      </c>
      <c r="AJ467" s="12" t="str">
        <f t="shared" si="251"/>
        <v/>
      </c>
      <c r="AK467" s="12" t="str">
        <f t="shared" si="252"/>
        <v/>
      </c>
      <c r="AL467" s="12" t="str">
        <f t="shared" si="253"/>
        <v/>
      </c>
      <c r="AM467" s="12" t="str">
        <f t="shared" si="254"/>
        <v/>
      </c>
      <c r="AN467" s="12" t="str">
        <f t="shared" si="255"/>
        <v/>
      </c>
      <c r="AO467" s="12" t="str">
        <f t="shared" si="256"/>
        <v/>
      </c>
      <c r="AP467" s="12" t="str">
        <f t="shared" si="257"/>
        <v/>
      </c>
    </row>
    <row r="468" spans="1:42">
      <c r="A468" s="9" t="str">
        <f t="shared" si="258"/>
        <v/>
      </c>
      <c r="B468" s="22" t="str">
        <f t="shared" si="259"/>
        <v/>
      </c>
      <c r="C468" s="23" t="str">
        <f t="shared" si="260"/>
        <v/>
      </c>
      <c r="D468" s="24" t="str">
        <f t="shared" si="261"/>
        <v/>
      </c>
      <c r="E468" s="24" t="str">
        <f t="shared" si="262"/>
        <v/>
      </c>
      <c r="F468" s="25" t="str">
        <f t="shared" si="263"/>
        <v/>
      </c>
      <c r="G468" s="7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2"/>
      <c r="U468" s="12">
        <f t="shared" si="237"/>
        <v>0</v>
      </c>
      <c r="V468" s="28" t="str">
        <f t="shared" ca="1" si="238"/>
        <v/>
      </c>
      <c r="W468" s="28" t="str">
        <f t="shared" si="239"/>
        <v/>
      </c>
      <c r="X468" s="12" t="str">
        <f t="shared" si="240"/>
        <v/>
      </c>
      <c r="Y468" s="12" t="str">
        <f t="shared" si="241"/>
        <v/>
      </c>
      <c r="Z468" s="12" t="str">
        <f t="shared" si="242"/>
        <v/>
      </c>
      <c r="AA468" s="12" t="str">
        <f t="shared" si="243"/>
        <v/>
      </c>
      <c r="AB468" s="12" t="str">
        <f t="shared" si="244"/>
        <v/>
      </c>
      <c r="AC468" s="12" t="str">
        <f t="shared" si="245"/>
        <v/>
      </c>
      <c r="AD468" s="12" t="str">
        <f t="shared" si="246"/>
        <v/>
      </c>
      <c r="AE468" s="12" t="str">
        <f t="shared" si="247"/>
        <v/>
      </c>
      <c r="AF468" s="12" t="str">
        <f t="shared" si="248"/>
        <v/>
      </c>
      <c r="AG468" s="12"/>
      <c r="AH468" s="12" t="str">
        <f t="shared" si="249"/>
        <v/>
      </c>
      <c r="AI468" s="12" t="str">
        <f t="shared" si="250"/>
        <v/>
      </c>
      <c r="AJ468" s="12" t="str">
        <f t="shared" si="251"/>
        <v/>
      </c>
      <c r="AK468" s="12" t="str">
        <f t="shared" si="252"/>
        <v/>
      </c>
      <c r="AL468" s="12" t="str">
        <f t="shared" si="253"/>
        <v/>
      </c>
      <c r="AM468" s="12" t="str">
        <f t="shared" si="254"/>
        <v/>
      </c>
      <c r="AN468" s="12" t="str">
        <f t="shared" si="255"/>
        <v/>
      </c>
      <c r="AO468" s="12" t="str">
        <f t="shared" si="256"/>
        <v/>
      </c>
      <c r="AP468" s="12" t="str">
        <f t="shared" si="257"/>
        <v/>
      </c>
    </row>
    <row r="469" spans="1:42">
      <c r="A469" s="9" t="str">
        <f t="shared" si="258"/>
        <v/>
      </c>
      <c r="B469" s="22" t="str">
        <f t="shared" si="259"/>
        <v/>
      </c>
      <c r="C469" s="23" t="str">
        <f t="shared" si="260"/>
        <v/>
      </c>
      <c r="D469" s="24" t="str">
        <f t="shared" si="261"/>
        <v/>
      </c>
      <c r="E469" s="24" t="str">
        <f t="shared" si="262"/>
        <v/>
      </c>
      <c r="F469" s="25" t="str">
        <f t="shared" si="263"/>
        <v/>
      </c>
      <c r="G469" s="7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2"/>
      <c r="U469" s="12">
        <f t="shared" si="237"/>
        <v>0</v>
      </c>
      <c r="V469" s="28" t="str">
        <f t="shared" ca="1" si="238"/>
        <v/>
      </c>
      <c r="W469" s="28" t="str">
        <f t="shared" si="239"/>
        <v/>
      </c>
      <c r="X469" s="12" t="str">
        <f t="shared" si="240"/>
        <v/>
      </c>
      <c r="Y469" s="12" t="str">
        <f t="shared" si="241"/>
        <v/>
      </c>
      <c r="Z469" s="12" t="str">
        <f t="shared" si="242"/>
        <v/>
      </c>
      <c r="AA469" s="12" t="str">
        <f t="shared" si="243"/>
        <v/>
      </c>
      <c r="AB469" s="12" t="str">
        <f t="shared" si="244"/>
        <v/>
      </c>
      <c r="AC469" s="12" t="str">
        <f t="shared" si="245"/>
        <v/>
      </c>
      <c r="AD469" s="12" t="str">
        <f t="shared" si="246"/>
        <v/>
      </c>
      <c r="AE469" s="12" t="str">
        <f t="shared" si="247"/>
        <v/>
      </c>
      <c r="AF469" s="12" t="str">
        <f t="shared" si="248"/>
        <v/>
      </c>
      <c r="AG469" s="12"/>
      <c r="AH469" s="12" t="str">
        <f t="shared" si="249"/>
        <v/>
      </c>
      <c r="AI469" s="12" t="str">
        <f t="shared" si="250"/>
        <v/>
      </c>
      <c r="AJ469" s="12" t="str">
        <f t="shared" si="251"/>
        <v/>
      </c>
      <c r="AK469" s="12" t="str">
        <f t="shared" si="252"/>
        <v/>
      </c>
      <c r="AL469" s="12" t="str">
        <f t="shared" si="253"/>
        <v/>
      </c>
      <c r="AM469" s="12" t="str">
        <f t="shared" si="254"/>
        <v/>
      </c>
      <c r="AN469" s="12" t="str">
        <f t="shared" si="255"/>
        <v/>
      </c>
      <c r="AO469" s="12" t="str">
        <f t="shared" si="256"/>
        <v/>
      </c>
      <c r="AP469" s="12" t="str">
        <f t="shared" si="257"/>
        <v/>
      </c>
    </row>
    <row r="470" spans="1:42">
      <c r="A470" s="9" t="str">
        <f t="shared" si="258"/>
        <v/>
      </c>
      <c r="B470" s="22" t="str">
        <f t="shared" si="259"/>
        <v/>
      </c>
      <c r="C470" s="23" t="str">
        <f t="shared" si="260"/>
        <v/>
      </c>
      <c r="D470" s="24" t="str">
        <f t="shared" si="261"/>
        <v/>
      </c>
      <c r="E470" s="24" t="str">
        <f t="shared" si="262"/>
        <v/>
      </c>
      <c r="F470" s="25" t="str">
        <f t="shared" si="263"/>
        <v/>
      </c>
      <c r="G470" s="7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2"/>
      <c r="U470" s="12">
        <f t="shared" si="237"/>
        <v>0</v>
      </c>
      <c r="V470" s="28" t="str">
        <f t="shared" ca="1" si="238"/>
        <v/>
      </c>
      <c r="W470" s="28" t="str">
        <f t="shared" si="239"/>
        <v/>
      </c>
      <c r="X470" s="12" t="str">
        <f t="shared" si="240"/>
        <v/>
      </c>
      <c r="Y470" s="12" t="str">
        <f t="shared" si="241"/>
        <v/>
      </c>
      <c r="Z470" s="12" t="str">
        <f t="shared" si="242"/>
        <v/>
      </c>
      <c r="AA470" s="12" t="str">
        <f t="shared" si="243"/>
        <v/>
      </c>
      <c r="AB470" s="12" t="str">
        <f t="shared" si="244"/>
        <v/>
      </c>
      <c r="AC470" s="12" t="str">
        <f t="shared" si="245"/>
        <v/>
      </c>
      <c r="AD470" s="12" t="str">
        <f t="shared" si="246"/>
        <v/>
      </c>
      <c r="AE470" s="12" t="str">
        <f t="shared" si="247"/>
        <v/>
      </c>
      <c r="AF470" s="12" t="str">
        <f t="shared" si="248"/>
        <v/>
      </c>
      <c r="AG470" s="12"/>
      <c r="AH470" s="12" t="str">
        <f t="shared" si="249"/>
        <v/>
      </c>
      <c r="AI470" s="12" t="str">
        <f t="shared" si="250"/>
        <v/>
      </c>
      <c r="AJ470" s="12" t="str">
        <f t="shared" si="251"/>
        <v/>
      </c>
      <c r="AK470" s="12" t="str">
        <f t="shared" si="252"/>
        <v/>
      </c>
      <c r="AL470" s="12" t="str">
        <f t="shared" si="253"/>
        <v/>
      </c>
      <c r="AM470" s="12" t="str">
        <f t="shared" si="254"/>
        <v/>
      </c>
      <c r="AN470" s="12" t="str">
        <f t="shared" si="255"/>
        <v/>
      </c>
      <c r="AO470" s="12" t="str">
        <f t="shared" si="256"/>
        <v/>
      </c>
      <c r="AP470" s="12" t="str">
        <f t="shared" si="257"/>
        <v/>
      </c>
    </row>
    <row r="471" spans="1:42">
      <c r="A471" s="9" t="str">
        <f t="shared" si="258"/>
        <v/>
      </c>
      <c r="B471" s="22" t="str">
        <f t="shared" si="259"/>
        <v/>
      </c>
      <c r="C471" s="23" t="str">
        <f t="shared" si="260"/>
        <v/>
      </c>
      <c r="D471" s="24" t="str">
        <f t="shared" si="261"/>
        <v/>
      </c>
      <c r="E471" s="24" t="str">
        <f t="shared" si="262"/>
        <v/>
      </c>
      <c r="F471" s="25" t="str">
        <f t="shared" si="263"/>
        <v/>
      </c>
      <c r="G471" s="7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2"/>
      <c r="U471" s="12">
        <f t="shared" si="237"/>
        <v>0</v>
      </c>
      <c r="V471" s="28" t="str">
        <f t="shared" ca="1" si="238"/>
        <v/>
      </c>
      <c r="W471" s="28" t="str">
        <f t="shared" si="239"/>
        <v/>
      </c>
      <c r="X471" s="12" t="str">
        <f t="shared" si="240"/>
        <v/>
      </c>
      <c r="Y471" s="12" t="str">
        <f t="shared" si="241"/>
        <v/>
      </c>
      <c r="Z471" s="12" t="str">
        <f t="shared" si="242"/>
        <v/>
      </c>
      <c r="AA471" s="12" t="str">
        <f t="shared" si="243"/>
        <v/>
      </c>
      <c r="AB471" s="12" t="str">
        <f t="shared" si="244"/>
        <v/>
      </c>
      <c r="AC471" s="12" t="str">
        <f t="shared" si="245"/>
        <v/>
      </c>
      <c r="AD471" s="12" t="str">
        <f t="shared" si="246"/>
        <v/>
      </c>
      <c r="AE471" s="12" t="str">
        <f t="shared" si="247"/>
        <v/>
      </c>
      <c r="AF471" s="12" t="str">
        <f t="shared" si="248"/>
        <v/>
      </c>
      <c r="AG471" s="12"/>
      <c r="AH471" s="12" t="str">
        <f t="shared" si="249"/>
        <v/>
      </c>
      <c r="AI471" s="12" t="str">
        <f t="shared" si="250"/>
        <v/>
      </c>
      <c r="AJ471" s="12" t="str">
        <f t="shared" si="251"/>
        <v/>
      </c>
      <c r="AK471" s="12" t="str">
        <f t="shared" si="252"/>
        <v/>
      </c>
      <c r="AL471" s="12" t="str">
        <f t="shared" si="253"/>
        <v/>
      </c>
      <c r="AM471" s="12" t="str">
        <f t="shared" si="254"/>
        <v/>
      </c>
      <c r="AN471" s="12" t="str">
        <f t="shared" si="255"/>
        <v/>
      </c>
      <c r="AO471" s="12" t="str">
        <f t="shared" si="256"/>
        <v/>
      </c>
      <c r="AP471" s="12" t="str">
        <f t="shared" si="257"/>
        <v/>
      </c>
    </row>
    <row r="472" spans="1:42">
      <c r="A472" s="9" t="str">
        <f t="shared" si="258"/>
        <v/>
      </c>
      <c r="B472" s="22" t="str">
        <f t="shared" si="259"/>
        <v/>
      </c>
      <c r="C472" s="23" t="str">
        <f t="shared" si="260"/>
        <v/>
      </c>
      <c r="D472" s="24" t="str">
        <f t="shared" si="261"/>
        <v/>
      </c>
      <c r="E472" s="24" t="str">
        <f t="shared" si="262"/>
        <v/>
      </c>
      <c r="F472" s="25" t="str">
        <f t="shared" si="263"/>
        <v/>
      </c>
      <c r="G472" s="7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2"/>
      <c r="U472" s="12">
        <f t="shared" si="237"/>
        <v>0</v>
      </c>
      <c r="V472" s="28" t="str">
        <f t="shared" ca="1" si="238"/>
        <v/>
      </c>
      <c r="W472" s="28" t="str">
        <f t="shared" si="239"/>
        <v/>
      </c>
      <c r="X472" s="12" t="str">
        <f t="shared" si="240"/>
        <v/>
      </c>
      <c r="Y472" s="12" t="str">
        <f t="shared" si="241"/>
        <v/>
      </c>
      <c r="Z472" s="12" t="str">
        <f t="shared" si="242"/>
        <v/>
      </c>
      <c r="AA472" s="12" t="str">
        <f t="shared" si="243"/>
        <v/>
      </c>
      <c r="AB472" s="12" t="str">
        <f t="shared" si="244"/>
        <v/>
      </c>
      <c r="AC472" s="12" t="str">
        <f t="shared" si="245"/>
        <v/>
      </c>
      <c r="AD472" s="12" t="str">
        <f t="shared" si="246"/>
        <v/>
      </c>
      <c r="AE472" s="12" t="str">
        <f t="shared" si="247"/>
        <v/>
      </c>
      <c r="AF472" s="12" t="str">
        <f t="shared" si="248"/>
        <v/>
      </c>
      <c r="AG472" s="12"/>
      <c r="AH472" s="12" t="str">
        <f t="shared" si="249"/>
        <v/>
      </c>
      <c r="AI472" s="12" t="str">
        <f t="shared" si="250"/>
        <v/>
      </c>
      <c r="AJ472" s="12" t="str">
        <f t="shared" si="251"/>
        <v/>
      </c>
      <c r="AK472" s="12" t="str">
        <f t="shared" si="252"/>
        <v/>
      </c>
      <c r="AL472" s="12" t="str">
        <f t="shared" si="253"/>
        <v/>
      </c>
      <c r="AM472" s="12" t="str">
        <f t="shared" si="254"/>
        <v/>
      </c>
      <c r="AN472" s="12" t="str">
        <f t="shared" si="255"/>
        <v/>
      </c>
      <c r="AO472" s="12" t="str">
        <f t="shared" si="256"/>
        <v/>
      </c>
      <c r="AP472" s="12" t="str">
        <f t="shared" si="257"/>
        <v/>
      </c>
    </row>
    <row r="473" spans="1:42">
      <c r="A473" s="9" t="str">
        <f t="shared" si="258"/>
        <v/>
      </c>
      <c r="B473" s="22" t="str">
        <f t="shared" si="259"/>
        <v/>
      </c>
      <c r="C473" s="23" t="str">
        <f t="shared" si="260"/>
        <v/>
      </c>
      <c r="D473" s="24" t="str">
        <f t="shared" si="261"/>
        <v/>
      </c>
      <c r="E473" s="24" t="str">
        <f t="shared" si="262"/>
        <v/>
      </c>
      <c r="F473" s="25" t="str">
        <f t="shared" si="263"/>
        <v/>
      </c>
      <c r="G473" s="7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2"/>
      <c r="U473" s="12">
        <f t="shared" si="237"/>
        <v>0</v>
      </c>
      <c r="V473" s="28" t="str">
        <f t="shared" ca="1" si="238"/>
        <v/>
      </c>
      <c r="W473" s="28" t="str">
        <f t="shared" si="239"/>
        <v/>
      </c>
      <c r="X473" s="12" t="str">
        <f t="shared" si="240"/>
        <v/>
      </c>
      <c r="Y473" s="12" t="str">
        <f t="shared" si="241"/>
        <v/>
      </c>
      <c r="Z473" s="12" t="str">
        <f t="shared" si="242"/>
        <v/>
      </c>
      <c r="AA473" s="12" t="str">
        <f t="shared" si="243"/>
        <v/>
      </c>
      <c r="AB473" s="12" t="str">
        <f t="shared" si="244"/>
        <v/>
      </c>
      <c r="AC473" s="12" t="str">
        <f t="shared" si="245"/>
        <v/>
      </c>
      <c r="AD473" s="12" t="str">
        <f t="shared" si="246"/>
        <v/>
      </c>
      <c r="AE473" s="12" t="str">
        <f t="shared" si="247"/>
        <v/>
      </c>
      <c r="AF473" s="12" t="str">
        <f t="shared" si="248"/>
        <v/>
      </c>
      <c r="AG473" s="12"/>
      <c r="AH473" s="12" t="str">
        <f t="shared" si="249"/>
        <v/>
      </c>
      <c r="AI473" s="12" t="str">
        <f t="shared" si="250"/>
        <v/>
      </c>
      <c r="AJ473" s="12" t="str">
        <f t="shared" si="251"/>
        <v/>
      </c>
      <c r="AK473" s="12" t="str">
        <f t="shared" si="252"/>
        <v/>
      </c>
      <c r="AL473" s="12" t="str">
        <f t="shared" si="253"/>
        <v/>
      </c>
      <c r="AM473" s="12" t="str">
        <f t="shared" si="254"/>
        <v/>
      </c>
      <c r="AN473" s="12" t="str">
        <f t="shared" si="255"/>
        <v/>
      </c>
      <c r="AO473" s="12" t="str">
        <f t="shared" si="256"/>
        <v/>
      </c>
      <c r="AP473" s="12" t="str">
        <f t="shared" si="257"/>
        <v/>
      </c>
    </row>
    <row r="474" spans="1:42">
      <c r="A474" s="9" t="str">
        <f t="shared" si="258"/>
        <v/>
      </c>
      <c r="B474" s="22" t="str">
        <f t="shared" si="259"/>
        <v/>
      </c>
      <c r="C474" s="23" t="str">
        <f t="shared" si="260"/>
        <v/>
      </c>
      <c r="D474" s="24" t="str">
        <f t="shared" si="261"/>
        <v/>
      </c>
      <c r="E474" s="24" t="str">
        <f t="shared" si="262"/>
        <v/>
      </c>
      <c r="F474" s="25" t="str">
        <f t="shared" si="263"/>
        <v/>
      </c>
      <c r="G474" s="7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2"/>
      <c r="U474" s="12">
        <f t="shared" si="237"/>
        <v>0</v>
      </c>
      <c r="V474" s="28" t="str">
        <f t="shared" ca="1" si="238"/>
        <v/>
      </c>
      <c r="W474" s="28" t="str">
        <f t="shared" si="239"/>
        <v/>
      </c>
      <c r="X474" s="12" t="str">
        <f t="shared" si="240"/>
        <v/>
      </c>
      <c r="Y474" s="12" t="str">
        <f t="shared" si="241"/>
        <v/>
      </c>
      <c r="Z474" s="12" t="str">
        <f t="shared" si="242"/>
        <v/>
      </c>
      <c r="AA474" s="12" t="str">
        <f t="shared" si="243"/>
        <v/>
      </c>
      <c r="AB474" s="12" t="str">
        <f t="shared" si="244"/>
        <v/>
      </c>
      <c r="AC474" s="12" t="str">
        <f t="shared" si="245"/>
        <v/>
      </c>
      <c r="AD474" s="12" t="str">
        <f t="shared" si="246"/>
        <v/>
      </c>
      <c r="AE474" s="12" t="str">
        <f t="shared" si="247"/>
        <v/>
      </c>
      <c r="AF474" s="12" t="str">
        <f t="shared" si="248"/>
        <v/>
      </c>
      <c r="AG474" s="12"/>
      <c r="AH474" s="12" t="str">
        <f t="shared" si="249"/>
        <v/>
      </c>
      <c r="AI474" s="12" t="str">
        <f t="shared" si="250"/>
        <v/>
      </c>
      <c r="AJ474" s="12" t="str">
        <f t="shared" si="251"/>
        <v/>
      </c>
      <c r="AK474" s="12" t="str">
        <f t="shared" si="252"/>
        <v/>
      </c>
      <c r="AL474" s="12" t="str">
        <f t="shared" si="253"/>
        <v/>
      </c>
      <c r="AM474" s="12" t="str">
        <f t="shared" si="254"/>
        <v/>
      </c>
      <c r="AN474" s="12" t="str">
        <f t="shared" si="255"/>
        <v/>
      </c>
      <c r="AO474" s="12" t="str">
        <f t="shared" si="256"/>
        <v/>
      </c>
      <c r="AP474" s="12" t="str">
        <f t="shared" si="257"/>
        <v/>
      </c>
    </row>
    <row r="475" spans="1:42">
      <c r="A475" s="9" t="str">
        <f t="shared" si="258"/>
        <v/>
      </c>
      <c r="B475" s="22" t="str">
        <f t="shared" si="259"/>
        <v/>
      </c>
      <c r="C475" s="23" t="str">
        <f t="shared" si="260"/>
        <v/>
      </c>
      <c r="D475" s="24" t="str">
        <f t="shared" si="261"/>
        <v/>
      </c>
      <c r="E475" s="24" t="str">
        <f t="shared" si="262"/>
        <v/>
      </c>
      <c r="F475" s="25" t="str">
        <f t="shared" si="263"/>
        <v/>
      </c>
      <c r="G475" s="7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2"/>
      <c r="U475" s="12">
        <f t="shared" si="237"/>
        <v>0</v>
      </c>
      <c r="V475" s="28" t="str">
        <f t="shared" ca="1" si="238"/>
        <v/>
      </c>
      <c r="W475" s="28" t="str">
        <f t="shared" si="239"/>
        <v/>
      </c>
      <c r="X475" s="12" t="str">
        <f t="shared" si="240"/>
        <v/>
      </c>
      <c r="Y475" s="12" t="str">
        <f t="shared" si="241"/>
        <v/>
      </c>
      <c r="Z475" s="12" t="str">
        <f t="shared" si="242"/>
        <v/>
      </c>
      <c r="AA475" s="12" t="str">
        <f t="shared" si="243"/>
        <v/>
      </c>
      <c r="AB475" s="12" t="str">
        <f t="shared" si="244"/>
        <v/>
      </c>
      <c r="AC475" s="12" t="str">
        <f t="shared" si="245"/>
        <v/>
      </c>
      <c r="AD475" s="12" t="str">
        <f t="shared" si="246"/>
        <v/>
      </c>
      <c r="AE475" s="12" t="str">
        <f t="shared" si="247"/>
        <v/>
      </c>
      <c r="AF475" s="12" t="str">
        <f t="shared" si="248"/>
        <v/>
      </c>
      <c r="AG475" s="12"/>
      <c r="AH475" s="12" t="str">
        <f t="shared" si="249"/>
        <v/>
      </c>
      <c r="AI475" s="12" t="str">
        <f t="shared" si="250"/>
        <v/>
      </c>
      <c r="AJ475" s="12" t="str">
        <f t="shared" si="251"/>
        <v/>
      </c>
      <c r="AK475" s="12" t="str">
        <f t="shared" si="252"/>
        <v/>
      </c>
      <c r="AL475" s="12" t="str">
        <f t="shared" si="253"/>
        <v/>
      </c>
      <c r="AM475" s="12" t="str">
        <f t="shared" si="254"/>
        <v/>
      </c>
      <c r="AN475" s="12" t="str">
        <f t="shared" si="255"/>
        <v/>
      </c>
      <c r="AO475" s="12" t="str">
        <f t="shared" si="256"/>
        <v/>
      </c>
      <c r="AP475" s="12" t="str">
        <f t="shared" si="257"/>
        <v/>
      </c>
    </row>
    <row r="476" spans="1:42">
      <c r="A476" s="9" t="str">
        <f t="shared" si="258"/>
        <v/>
      </c>
      <c r="B476" s="22" t="str">
        <f t="shared" si="259"/>
        <v/>
      </c>
      <c r="C476" s="23" t="str">
        <f t="shared" si="260"/>
        <v/>
      </c>
      <c r="D476" s="24" t="str">
        <f t="shared" si="261"/>
        <v/>
      </c>
      <c r="E476" s="24" t="str">
        <f t="shared" si="262"/>
        <v/>
      </c>
      <c r="F476" s="25" t="str">
        <f t="shared" si="263"/>
        <v/>
      </c>
      <c r="G476" s="7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2"/>
      <c r="U476" s="12">
        <f t="shared" si="237"/>
        <v>0</v>
      </c>
      <c r="V476" s="28" t="str">
        <f t="shared" ca="1" si="238"/>
        <v/>
      </c>
      <c r="W476" s="28" t="str">
        <f t="shared" si="239"/>
        <v/>
      </c>
      <c r="X476" s="12" t="str">
        <f t="shared" si="240"/>
        <v/>
      </c>
      <c r="Y476" s="12" t="str">
        <f t="shared" si="241"/>
        <v/>
      </c>
      <c r="Z476" s="12" t="str">
        <f t="shared" si="242"/>
        <v/>
      </c>
      <c r="AA476" s="12" t="str">
        <f t="shared" si="243"/>
        <v/>
      </c>
      <c r="AB476" s="12" t="str">
        <f t="shared" si="244"/>
        <v/>
      </c>
      <c r="AC476" s="12" t="str">
        <f t="shared" si="245"/>
        <v/>
      </c>
      <c r="AD476" s="12" t="str">
        <f t="shared" si="246"/>
        <v/>
      </c>
      <c r="AE476" s="12" t="str">
        <f t="shared" si="247"/>
        <v/>
      </c>
      <c r="AF476" s="12" t="str">
        <f t="shared" si="248"/>
        <v/>
      </c>
      <c r="AG476" s="12"/>
      <c r="AH476" s="12" t="str">
        <f t="shared" si="249"/>
        <v/>
      </c>
      <c r="AI476" s="12" t="str">
        <f t="shared" si="250"/>
        <v/>
      </c>
      <c r="AJ476" s="12" t="str">
        <f t="shared" si="251"/>
        <v/>
      </c>
      <c r="AK476" s="12" t="str">
        <f t="shared" si="252"/>
        <v/>
      </c>
      <c r="AL476" s="12" t="str">
        <f t="shared" si="253"/>
        <v/>
      </c>
      <c r="AM476" s="12" t="str">
        <f t="shared" si="254"/>
        <v/>
      </c>
      <c r="AN476" s="12" t="str">
        <f t="shared" si="255"/>
        <v/>
      </c>
      <c r="AO476" s="12" t="str">
        <f t="shared" si="256"/>
        <v/>
      </c>
      <c r="AP476" s="12" t="str">
        <f t="shared" si="257"/>
        <v/>
      </c>
    </row>
    <row r="477" spans="1:42">
      <c r="A477" s="9" t="str">
        <f t="shared" si="258"/>
        <v/>
      </c>
      <c r="B477" s="22" t="str">
        <f t="shared" si="259"/>
        <v/>
      </c>
      <c r="C477" s="23" t="str">
        <f t="shared" si="260"/>
        <v/>
      </c>
      <c r="D477" s="24" t="str">
        <f t="shared" si="261"/>
        <v/>
      </c>
      <c r="E477" s="24" t="str">
        <f t="shared" si="262"/>
        <v/>
      </c>
      <c r="F477" s="25" t="str">
        <f t="shared" si="263"/>
        <v/>
      </c>
      <c r="G477" s="7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2"/>
      <c r="U477" s="12">
        <f t="shared" si="237"/>
        <v>0</v>
      </c>
      <c r="V477" s="28" t="str">
        <f t="shared" ca="1" si="238"/>
        <v/>
      </c>
      <c r="W477" s="28" t="str">
        <f t="shared" si="239"/>
        <v/>
      </c>
      <c r="X477" s="12" t="str">
        <f t="shared" si="240"/>
        <v/>
      </c>
      <c r="Y477" s="12" t="str">
        <f t="shared" si="241"/>
        <v/>
      </c>
      <c r="Z477" s="12" t="str">
        <f t="shared" si="242"/>
        <v/>
      </c>
      <c r="AA477" s="12" t="str">
        <f t="shared" si="243"/>
        <v/>
      </c>
      <c r="AB477" s="12" t="str">
        <f t="shared" si="244"/>
        <v/>
      </c>
      <c r="AC477" s="12" t="str">
        <f t="shared" si="245"/>
        <v/>
      </c>
      <c r="AD477" s="12" t="str">
        <f t="shared" si="246"/>
        <v/>
      </c>
      <c r="AE477" s="12" t="str">
        <f t="shared" si="247"/>
        <v/>
      </c>
      <c r="AF477" s="12" t="str">
        <f t="shared" si="248"/>
        <v/>
      </c>
      <c r="AG477" s="12"/>
      <c r="AH477" s="12" t="str">
        <f t="shared" si="249"/>
        <v/>
      </c>
      <c r="AI477" s="12" t="str">
        <f t="shared" si="250"/>
        <v/>
      </c>
      <c r="AJ477" s="12" t="str">
        <f t="shared" si="251"/>
        <v/>
      </c>
      <c r="AK477" s="12" t="str">
        <f t="shared" si="252"/>
        <v/>
      </c>
      <c r="AL477" s="12" t="str">
        <f t="shared" si="253"/>
        <v/>
      </c>
      <c r="AM477" s="12" t="str">
        <f t="shared" si="254"/>
        <v/>
      </c>
      <c r="AN477" s="12" t="str">
        <f t="shared" si="255"/>
        <v/>
      </c>
      <c r="AO477" s="12" t="str">
        <f t="shared" si="256"/>
        <v/>
      </c>
      <c r="AP477" s="12" t="str">
        <f t="shared" si="257"/>
        <v/>
      </c>
    </row>
    <row r="478" spans="1:42">
      <c r="A478" s="9" t="str">
        <f t="shared" si="258"/>
        <v/>
      </c>
      <c r="B478" s="22" t="str">
        <f t="shared" si="259"/>
        <v/>
      </c>
      <c r="C478" s="23" t="str">
        <f t="shared" si="260"/>
        <v/>
      </c>
      <c r="D478" s="24" t="str">
        <f t="shared" si="261"/>
        <v/>
      </c>
      <c r="E478" s="24" t="str">
        <f t="shared" si="262"/>
        <v/>
      </c>
      <c r="F478" s="25" t="str">
        <f t="shared" si="263"/>
        <v/>
      </c>
      <c r="G478" s="7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2"/>
      <c r="U478" s="12">
        <f t="shared" si="237"/>
        <v>0</v>
      </c>
      <c r="V478" s="28" t="str">
        <f t="shared" ca="1" si="238"/>
        <v/>
      </c>
      <c r="W478" s="28" t="str">
        <f t="shared" si="239"/>
        <v/>
      </c>
      <c r="X478" s="12" t="str">
        <f t="shared" si="240"/>
        <v/>
      </c>
      <c r="Y478" s="12" t="str">
        <f t="shared" si="241"/>
        <v/>
      </c>
      <c r="Z478" s="12" t="str">
        <f t="shared" si="242"/>
        <v/>
      </c>
      <c r="AA478" s="12" t="str">
        <f t="shared" si="243"/>
        <v/>
      </c>
      <c r="AB478" s="12" t="str">
        <f t="shared" si="244"/>
        <v/>
      </c>
      <c r="AC478" s="12" t="str">
        <f t="shared" si="245"/>
        <v/>
      </c>
      <c r="AD478" s="12" t="str">
        <f t="shared" si="246"/>
        <v/>
      </c>
      <c r="AE478" s="12" t="str">
        <f t="shared" si="247"/>
        <v/>
      </c>
      <c r="AF478" s="12" t="str">
        <f t="shared" si="248"/>
        <v/>
      </c>
      <c r="AG478" s="12"/>
      <c r="AH478" s="12" t="str">
        <f t="shared" si="249"/>
        <v/>
      </c>
      <c r="AI478" s="12" t="str">
        <f t="shared" si="250"/>
        <v/>
      </c>
      <c r="AJ478" s="12" t="str">
        <f t="shared" si="251"/>
        <v/>
      </c>
      <c r="AK478" s="12" t="str">
        <f t="shared" si="252"/>
        <v/>
      </c>
      <c r="AL478" s="12" t="str">
        <f t="shared" si="253"/>
        <v/>
      </c>
      <c r="AM478" s="12" t="str">
        <f t="shared" si="254"/>
        <v/>
      </c>
      <c r="AN478" s="12" t="str">
        <f t="shared" si="255"/>
        <v/>
      </c>
      <c r="AO478" s="12" t="str">
        <f t="shared" si="256"/>
        <v/>
      </c>
      <c r="AP478" s="12" t="str">
        <f t="shared" si="257"/>
        <v/>
      </c>
    </row>
    <row r="479" spans="1:42">
      <c r="A479" s="9" t="str">
        <f t="shared" si="258"/>
        <v/>
      </c>
      <c r="B479" s="22" t="str">
        <f t="shared" si="259"/>
        <v/>
      </c>
      <c r="C479" s="23" t="str">
        <f t="shared" si="260"/>
        <v/>
      </c>
      <c r="D479" s="24" t="str">
        <f t="shared" si="261"/>
        <v/>
      </c>
      <c r="E479" s="24" t="str">
        <f t="shared" si="262"/>
        <v/>
      </c>
      <c r="F479" s="25" t="str">
        <f t="shared" si="263"/>
        <v/>
      </c>
      <c r="G479" s="7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2"/>
      <c r="U479" s="12">
        <f t="shared" si="237"/>
        <v>0</v>
      </c>
      <c r="V479" s="28" t="str">
        <f t="shared" ca="1" si="238"/>
        <v/>
      </c>
      <c r="W479" s="28" t="str">
        <f t="shared" si="239"/>
        <v/>
      </c>
      <c r="X479" s="12" t="str">
        <f t="shared" si="240"/>
        <v/>
      </c>
      <c r="Y479" s="12" t="str">
        <f t="shared" si="241"/>
        <v/>
      </c>
      <c r="Z479" s="12" t="str">
        <f t="shared" si="242"/>
        <v/>
      </c>
      <c r="AA479" s="12" t="str">
        <f t="shared" si="243"/>
        <v/>
      </c>
      <c r="AB479" s="12" t="str">
        <f t="shared" si="244"/>
        <v/>
      </c>
      <c r="AC479" s="12" t="str">
        <f t="shared" si="245"/>
        <v/>
      </c>
      <c r="AD479" s="12" t="str">
        <f t="shared" si="246"/>
        <v/>
      </c>
      <c r="AE479" s="12" t="str">
        <f t="shared" si="247"/>
        <v/>
      </c>
      <c r="AF479" s="12" t="str">
        <f t="shared" si="248"/>
        <v/>
      </c>
      <c r="AG479" s="12"/>
      <c r="AH479" s="12" t="str">
        <f t="shared" si="249"/>
        <v/>
      </c>
      <c r="AI479" s="12" t="str">
        <f t="shared" si="250"/>
        <v/>
      </c>
      <c r="AJ479" s="12" t="str">
        <f t="shared" si="251"/>
        <v/>
      </c>
      <c r="AK479" s="12" t="str">
        <f t="shared" si="252"/>
        <v/>
      </c>
      <c r="AL479" s="12" t="str">
        <f t="shared" si="253"/>
        <v/>
      </c>
      <c r="AM479" s="12" t="str">
        <f t="shared" si="254"/>
        <v/>
      </c>
      <c r="AN479" s="12" t="str">
        <f t="shared" si="255"/>
        <v/>
      </c>
      <c r="AO479" s="12" t="str">
        <f t="shared" si="256"/>
        <v/>
      </c>
      <c r="AP479" s="12" t="str">
        <f t="shared" si="257"/>
        <v/>
      </c>
    </row>
    <row r="480" spans="1:42">
      <c r="A480" s="9" t="str">
        <f t="shared" si="258"/>
        <v/>
      </c>
      <c r="B480" s="22" t="str">
        <f t="shared" si="259"/>
        <v/>
      </c>
      <c r="C480" s="23" t="str">
        <f t="shared" si="260"/>
        <v/>
      </c>
      <c r="D480" s="24" t="str">
        <f t="shared" si="261"/>
        <v/>
      </c>
      <c r="E480" s="24" t="str">
        <f t="shared" si="262"/>
        <v/>
      </c>
      <c r="F480" s="25" t="str">
        <f t="shared" si="263"/>
        <v/>
      </c>
      <c r="G480" s="7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2"/>
      <c r="U480" s="12">
        <f t="shared" si="237"/>
        <v>0</v>
      </c>
      <c r="V480" s="28" t="str">
        <f t="shared" ca="1" si="238"/>
        <v/>
      </c>
      <c r="W480" s="28" t="str">
        <f t="shared" si="239"/>
        <v/>
      </c>
      <c r="X480" s="12" t="str">
        <f t="shared" si="240"/>
        <v/>
      </c>
      <c r="Y480" s="12" t="str">
        <f t="shared" si="241"/>
        <v/>
      </c>
      <c r="Z480" s="12" t="str">
        <f t="shared" si="242"/>
        <v/>
      </c>
      <c r="AA480" s="12" t="str">
        <f t="shared" si="243"/>
        <v/>
      </c>
      <c r="AB480" s="12" t="str">
        <f t="shared" si="244"/>
        <v/>
      </c>
      <c r="AC480" s="12" t="str">
        <f t="shared" si="245"/>
        <v/>
      </c>
      <c r="AD480" s="12" t="str">
        <f t="shared" si="246"/>
        <v/>
      </c>
      <c r="AE480" s="12" t="str">
        <f t="shared" si="247"/>
        <v/>
      </c>
      <c r="AF480" s="12" t="str">
        <f t="shared" si="248"/>
        <v/>
      </c>
      <c r="AG480" s="12"/>
      <c r="AH480" s="12" t="str">
        <f t="shared" si="249"/>
        <v/>
      </c>
      <c r="AI480" s="12" t="str">
        <f t="shared" si="250"/>
        <v/>
      </c>
      <c r="AJ480" s="12" t="str">
        <f t="shared" si="251"/>
        <v/>
      </c>
      <c r="AK480" s="12" t="str">
        <f t="shared" si="252"/>
        <v/>
      </c>
      <c r="AL480" s="12" t="str">
        <f t="shared" si="253"/>
        <v/>
      </c>
      <c r="AM480" s="12" t="str">
        <f t="shared" si="254"/>
        <v/>
      </c>
      <c r="AN480" s="12" t="str">
        <f t="shared" si="255"/>
        <v/>
      </c>
      <c r="AO480" s="12" t="str">
        <f t="shared" si="256"/>
        <v/>
      </c>
      <c r="AP480" s="12" t="str">
        <f t="shared" si="257"/>
        <v/>
      </c>
    </row>
    <row r="481" spans="1:42">
      <c r="A481" s="9" t="str">
        <f t="shared" si="258"/>
        <v/>
      </c>
      <c r="B481" s="22" t="str">
        <f t="shared" si="259"/>
        <v/>
      </c>
      <c r="C481" s="23" t="str">
        <f t="shared" si="260"/>
        <v/>
      </c>
      <c r="D481" s="24" t="str">
        <f t="shared" si="261"/>
        <v/>
      </c>
      <c r="E481" s="24" t="str">
        <f t="shared" si="262"/>
        <v/>
      </c>
      <c r="F481" s="25" t="str">
        <f t="shared" si="263"/>
        <v/>
      </c>
      <c r="G481" s="7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2"/>
      <c r="U481" s="12">
        <f t="shared" si="237"/>
        <v>0</v>
      </c>
      <c r="V481" s="28" t="str">
        <f t="shared" ca="1" si="238"/>
        <v/>
      </c>
      <c r="W481" s="28" t="str">
        <f t="shared" si="239"/>
        <v/>
      </c>
      <c r="X481" s="12" t="str">
        <f t="shared" si="240"/>
        <v/>
      </c>
      <c r="Y481" s="12" t="str">
        <f t="shared" si="241"/>
        <v/>
      </c>
      <c r="Z481" s="12" t="str">
        <f t="shared" si="242"/>
        <v/>
      </c>
      <c r="AA481" s="12" t="str">
        <f t="shared" si="243"/>
        <v/>
      </c>
      <c r="AB481" s="12" t="str">
        <f t="shared" si="244"/>
        <v/>
      </c>
      <c r="AC481" s="12" t="str">
        <f t="shared" si="245"/>
        <v/>
      </c>
      <c r="AD481" s="12" t="str">
        <f t="shared" si="246"/>
        <v/>
      </c>
      <c r="AE481" s="12" t="str">
        <f t="shared" si="247"/>
        <v/>
      </c>
      <c r="AF481" s="12" t="str">
        <f t="shared" si="248"/>
        <v/>
      </c>
      <c r="AG481" s="12"/>
      <c r="AH481" s="12" t="str">
        <f t="shared" si="249"/>
        <v/>
      </c>
      <c r="AI481" s="12" t="str">
        <f t="shared" si="250"/>
        <v/>
      </c>
      <c r="AJ481" s="12" t="str">
        <f t="shared" si="251"/>
        <v/>
      </c>
      <c r="AK481" s="12" t="str">
        <f t="shared" si="252"/>
        <v/>
      </c>
      <c r="AL481" s="12" t="str">
        <f t="shared" si="253"/>
        <v/>
      </c>
      <c r="AM481" s="12" t="str">
        <f t="shared" si="254"/>
        <v/>
      </c>
      <c r="AN481" s="12" t="str">
        <f t="shared" si="255"/>
        <v/>
      </c>
      <c r="AO481" s="12" t="str">
        <f t="shared" si="256"/>
        <v/>
      </c>
      <c r="AP481" s="12" t="str">
        <f t="shared" si="257"/>
        <v/>
      </c>
    </row>
    <row r="482" spans="1:42">
      <c r="A482" s="9" t="str">
        <f t="shared" si="258"/>
        <v/>
      </c>
      <c r="B482" s="22" t="str">
        <f t="shared" si="259"/>
        <v/>
      </c>
      <c r="C482" s="23" t="str">
        <f t="shared" si="260"/>
        <v/>
      </c>
      <c r="D482" s="24" t="str">
        <f t="shared" si="261"/>
        <v/>
      </c>
      <c r="E482" s="24" t="str">
        <f t="shared" si="262"/>
        <v/>
      </c>
      <c r="F482" s="25" t="str">
        <f t="shared" si="263"/>
        <v/>
      </c>
      <c r="G482" s="7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2"/>
      <c r="U482" s="12">
        <f t="shared" si="237"/>
        <v>0</v>
      </c>
      <c r="V482" s="28" t="str">
        <f t="shared" ca="1" si="238"/>
        <v/>
      </c>
      <c r="W482" s="28" t="str">
        <f t="shared" si="239"/>
        <v/>
      </c>
      <c r="X482" s="12" t="str">
        <f t="shared" si="240"/>
        <v/>
      </c>
      <c r="Y482" s="12" t="str">
        <f t="shared" si="241"/>
        <v/>
      </c>
      <c r="Z482" s="12" t="str">
        <f t="shared" si="242"/>
        <v/>
      </c>
      <c r="AA482" s="12" t="str">
        <f t="shared" si="243"/>
        <v/>
      </c>
      <c r="AB482" s="12" t="str">
        <f t="shared" si="244"/>
        <v/>
      </c>
      <c r="AC482" s="12" t="str">
        <f t="shared" si="245"/>
        <v/>
      </c>
      <c r="AD482" s="12" t="str">
        <f t="shared" si="246"/>
        <v/>
      </c>
      <c r="AE482" s="12" t="str">
        <f t="shared" si="247"/>
        <v/>
      </c>
      <c r="AF482" s="12" t="str">
        <f t="shared" si="248"/>
        <v/>
      </c>
      <c r="AG482" s="12"/>
      <c r="AH482" s="12" t="str">
        <f t="shared" si="249"/>
        <v/>
      </c>
      <c r="AI482" s="12" t="str">
        <f t="shared" si="250"/>
        <v/>
      </c>
      <c r="AJ482" s="12" t="str">
        <f t="shared" si="251"/>
        <v/>
      </c>
      <c r="AK482" s="12" t="str">
        <f t="shared" si="252"/>
        <v/>
      </c>
      <c r="AL482" s="12" t="str">
        <f t="shared" si="253"/>
        <v/>
      </c>
      <c r="AM482" s="12" t="str">
        <f t="shared" si="254"/>
        <v/>
      </c>
      <c r="AN482" s="12" t="str">
        <f t="shared" si="255"/>
        <v/>
      </c>
      <c r="AO482" s="12" t="str">
        <f t="shared" si="256"/>
        <v/>
      </c>
      <c r="AP482" s="12" t="str">
        <f t="shared" si="257"/>
        <v/>
      </c>
    </row>
    <row r="483" spans="1:42">
      <c r="A483" s="9" t="str">
        <f t="shared" si="258"/>
        <v/>
      </c>
      <c r="B483" s="22" t="str">
        <f t="shared" si="259"/>
        <v/>
      </c>
      <c r="C483" s="23" t="str">
        <f t="shared" si="260"/>
        <v/>
      </c>
      <c r="D483" s="24" t="str">
        <f t="shared" si="261"/>
        <v/>
      </c>
      <c r="E483" s="24" t="str">
        <f t="shared" si="262"/>
        <v/>
      </c>
      <c r="F483" s="25" t="str">
        <f t="shared" si="263"/>
        <v/>
      </c>
      <c r="G483" s="7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2"/>
      <c r="U483" s="12">
        <f t="shared" si="237"/>
        <v>0</v>
      </c>
      <c r="V483" s="28" t="str">
        <f t="shared" ca="1" si="238"/>
        <v/>
      </c>
      <c r="W483" s="28" t="str">
        <f t="shared" si="239"/>
        <v/>
      </c>
      <c r="X483" s="12" t="str">
        <f t="shared" si="240"/>
        <v/>
      </c>
      <c r="Y483" s="12" t="str">
        <f t="shared" si="241"/>
        <v/>
      </c>
      <c r="Z483" s="12" t="str">
        <f t="shared" si="242"/>
        <v/>
      </c>
      <c r="AA483" s="12" t="str">
        <f t="shared" si="243"/>
        <v/>
      </c>
      <c r="AB483" s="12" t="str">
        <f t="shared" si="244"/>
        <v/>
      </c>
      <c r="AC483" s="12" t="str">
        <f t="shared" si="245"/>
        <v/>
      </c>
      <c r="AD483" s="12" t="str">
        <f t="shared" si="246"/>
        <v/>
      </c>
      <c r="AE483" s="12" t="str">
        <f t="shared" si="247"/>
        <v/>
      </c>
      <c r="AF483" s="12" t="str">
        <f t="shared" si="248"/>
        <v/>
      </c>
      <c r="AG483" s="12"/>
      <c r="AH483" s="12" t="str">
        <f t="shared" si="249"/>
        <v/>
      </c>
      <c r="AI483" s="12" t="str">
        <f t="shared" si="250"/>
        <v/>
      </c>
      <c r="AJ483" s="12" t="str">
        <f t="shared" si="251"/>
        <v/>
      </c>
      <c r="AK483" s="12" t="str">
        <f t="shared" si="252"/>
        <v/>
      </c>
      <c r="AL483" s="12" t="str">
        <f t="shared" si="253"/>
        <v/>
      </c>
      <c r="AM483" s="12" t="str">
        <f t="shared" si="254"/>
        <v/>
      </c>
      <c r="AN483" s="12" t="str">
        <f t="shared" si="255"/>
        <v/>
      </c>
      <c r="AO483" s="12" t="str">
        <f t="shared" si="256"/>
        <v/>
      </c>
      <c r="AP483" s="12" t="str">
        <f t="shared" si="257"/>
        <v/>
      </c>
    </row>
    <row r="484" spans="1:42">
      <c r="A484" s="9" t="str">
        <f t="shared" si="258"/>
        <v/>
      </c>
      <c r="B484" s="22" t="str">
        <f t="shared" si="259"/>
        <v/>
      </c>
      <c r="C484" s="23" t="str">
        <f t="shared" si="260"/>
        <v/>
      </c>
      <c r="D484" s="24" t="str">
        <f t="shared" si="261"/>
        <v/>
      </c>
      <c r="E484" s="24" t="str">
        <f t="shared" si="262"/>
        <v/>
      </c>
      <c r="F484" s="25" t="str">
        <f t="shared" si="263"/>
        <v/>
      </c>
      <c r="G484" s="7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2"/>
      <c r="U484" s="12">
        <f t="shared" si="237"/>
        <v>0</v>
      </c>
      <c r="V484" s="28" t="str">
        <f t="shared" ca="1" si="238"/>
        <v/>
      </c>
      <c r="W484" s="28" t="str">
        <f t="shared" si="239"/>
        <v/>
      </c>
      <c r="X484" s="12" t="str">
        <f t="shared" si="240"/>
        <v/>
      </c>
      <c r="Y484" s="12" t="str">
        <f t="shared" si="241"/>
        <v/>
      </c>
      <c r="Z484" s="12" t="str">
        <f t="shared" si="242"/>
        <v/>
      </c>
      <c r="AA484" s="12" t="str">
        <f t="shared" si="243"/>
        <v/>
      </c>
      <c r="AB484" s="12" t="str">
        <f t="shared" si="244"/>
        <v/>
      </c>
      <c r="AC484" s="12" t="str">
        <f t="shared" si="245"/>
        <v/>
      </c>
      <c r="AD484" s="12" t="str">
        <f t="shared" si="246"/>
        <v/>
      </c>
      <c r="AE484" s="12" t="str">
        <f t="shared" si="247"/>
        <v/>
      </c>
      <c r="AF484" s="12" t="str">
        <f t="shared" si="248"/>
        <v/>
      </c>
      <c r="AG484" s="12"/>
      <c r="AH484" s="12" t="str">
        <f t="shared" si="249"/>
        <v/>
      </c>
      <c r="AI484" s="12" t="str">
        <f t="shared" si="250"/>
        <v/>
      </c>
      <c r="AJ484" s="12" t="str">
        <f t="shared" si="251"/>
        <v/>
      </c>
      <c r="AK484" s="12" t="str">
        <f t="shared" si="252"/>
        <v/>
      </c>
      <c r="AL484" s="12" t="str">
        <f t="shared" si="253"/>
        <v/>
      </c>
      <c r="AM484" s="12" t="str">
        <f t="shared" si="254"/>
        <v/>
      </c>
      <c r="AN484" s="12" t="str">
        <f t="shared" si="255"/>
        <v/>
      </c>
      <c r="AO484" s="12" t="str">
        <f t="shared" si="256"/>
        <v/>
      </c>
      <c r="AP484" s="12" t="str">
        <f t="shared" si="257"/>
        <v/>
      </c>
    </row>
    <row r="485" spans="1:42">
      <c r="A485" s="9" t="str">
        <f t="shared" si="258"/>
        <v/>
      </c>
      <c r="B485" s="22" t="str">
        <f t="shared" si="259"/>
        <v/>
      </c>
      <c r="C485" s="23" t="str">
        <f t="shared" si="260"/>
        <v/>
      </c>
      <c r="D485" s="24" t="str">
        <f t="shared" si="261"/>
        <v/>
      </c>
      <c r="E485" s="24" t="str">
        <f t="shared" si="262"/>
        <v/>
      </c>
      <c r="F485" s="25" t="str">
        <f t="shared" si="263"/>
        <v/>
      </c>
      <c r="G485" s="7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2"/>
      <c r="U485" s="12">
        <f t="shared" si="237"/>
        <v>0</v>
      </c>
      <c r="V485" s="28" t="str">
        <f t="shared" ca="1" si="238"/>
        <v/>
      </c>
      <c r="W485" s="28" t="str">
        <f t="shared" si="239"/>
        <v/>
      </c>
      <c r="X485" s="12" t="str">
        <f t="shared" si="240"/>
        <v/>
      </c>
      <c r="Y485" s="12" t="str">
        <f t="shared" si="241"/>
        <v/>
      </c>
      <c r="Z485" s="12" t="str">
        <f t="shared" si="242"/>
        <v/>
      </c>
      <c r="AA485" s="12" t="str">
        <f t="shared" si="243"/>
        <v/>
      </c>
      <c r="AB485" s="12" t="str">
        <f t="shared" si="244"/>
        <v/>
      </c>
      <c r="AC485" s="12" t="str">
        <f t="shared" si="245"/>
        <v/>
      </c>
      <c r="AD485" s="12" t="str">
        <f t="shared" si="246"/>
        <v/>
      </c>
      <c r="AE485" s="12" t="str">
        <f t="shared" si="247"/>
        <v/>
      </c>
      <c r="AF485" s="12" t="str">
        <f t="shared" si="248"/>
        <v/>
      </c>
      <c r="AG485" s="12"/>
      <c r="AH485" s="12" t="str">
        <f t="shared" si="249"/>
        <v/>
      </c>
      <c r="AI485" s="12" t="str">
        <f t="shared" si="250"/>
        <v/>
      </c>
      <c r="AJ485" s="12" t="str">
        <f t="shared" si="251"/>
        <v/>
      </c>
      <c r="AK485" s="12" t="str">
        <f t="shared" si="252"/>
        <v/>
      </c>
      <c r="AL485" s="12" t="str">
        <f t="shared" si="253"/>
        <v/>
      </c>
      <c r="AM485" s="12" t="str">
        <f t="shared" si="254"/>
        <v/>
      </c>
      <c r="AN485" s="12" t="str">
        <f t="shared" si="255"/>
        <v/>
      </c>
      <c r="AO485" s="12" t="str">
        <f t="shared" si="256"/>
        <v/>
      </c>
      <c r="AP485" s="12" t="str">
        <f t="shared" si="257"/>
        <v/>
      </c>
    </row>
    <row r="486" spans="1:42">
      <c r="A486" s="9" t="str">
        <f t="shared" si="258"/>
        <v/>
      </c>
      <c r="B486" s="22" t="str">
        <f t="shared" si="259"/>
        <v/>
      </c>
      <c r="C486" s="23" t="str">
        <f t="shared" si="260"/>
        <v/>
      </c>
      <c r="D486" s="24" t="str">
        <f t="shared" si="261"/>
        <v/>
      </c>
      <c r="E486" s="24" t="str">
        <f t="shared" si="262"/>
        <v/>
      </c>
      <c r="F486" s="25" t="str">
        <f t="shared" si="263"/>
        <v/>
      </c>
      <c r="G486" s="7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2"/>
      <c r="U486" s="12">
        <f t="shared" si="237"/>
        <v>0</v>
      </c>
      <c r="V486" s="28" t="str">
        <f t="shared" ca="1" si="238"/>
        <v/>
      </c>
      <c r="W486" s="28" t="str">
        <f t="shared" si="239"/>
        <v/>
      </c>
      <c r="X486" s="12" t="str">
        <f t="shared" si="240"/>
        <v/>
      </c>
      <c r="Y486" s="12" t="str">
        <f t="shared" si="241"/>
        <v/>
      </c>
      <c r="Z486" s="12" t="str">
        <f t="shared" si="242"/>
        <v/>
      </c>
      <c r="AA486" s="12" t="str">
        <f t="shared" si="243"/>
        <v/>
      </c>
      <c r="AB486" s="12" t="str">
        <f t="shared" si="244"/>
        <v/>
      </c>
      <c r="AC486" s="12" t="str">
        <f t="shared" si="245"/>
        <v/>
      </c>
      <c r="AD486" s="12" t="str">
        <f t="shared" si="246"/>
        <v/>
      </c>
      <c r="AE486" s="12" t="str">
        <f t="shared" si="247"/>
        <v/>
      </c>
      <c r="AF486" s="12" t="str">
        <f t="shared" si="248"/>
        <v/>
      </c>
      <c r="AG486" s="12"/>
      <c r="AH486" s="12" t="str">
        <f t="shared" si="249"/>
        <v/>
      </c>
      <c r="AI486" s="12" t="str">
        <f t="shared" si="250"/>
        <v/>
      </c>
      <c r="AJ486" s="12" t="str">
        <f t="shared" si="251"/>
        <v/>
      </c>
      <c r="AK486" s="12" t="str">
        <f t="shared" si="252"/>
        <v/>
      </c>
      <c r="AL486" s="12" t="str">
        <f t="shared" si="253"/>
        <v/>
      </c>
      <c r="AM486" s="12" t="str">
        <f t="shared" si="254"/>
        <v/>
      </c>
      <c r="AN486" s="12" t="str">
        <f t="shared" si="255"/>
        <v/>
      </c>
      <c r="AO486" s="12" t="str">
        <f t="shared" si="256"/>
        <v/>
      </c>
      <c r="AP486" s="12" t="str">
        <f t="shared" si="257"/>
        <v/>
      </c>
    </row>
    <row r="487" spans="1:42">
      <c r="A487" s="9" t="str">
        <f t="shared" si="258"/>
        <v/>
      </c>
      <c r="B487" s="22" t="str">
        <f t="shared" si="259"/>
        <v/>
      </c>
      <c r="C487" s="23" t="str">
        <f t="shared" si="260"/>
        <v/>
      </c>
      <c r="D487" s="24" t="str">
        <f t="shared" si="261"/>
        <v/>
      </c>
      <c r="E487" s="24" t="str">
        <f t="shared" si="262"/>
        <v/>
      </c>
      <c r="F487" s="25" t="str">
        <f t="shared" si="263"/>
        <v/>
      </c>
      <c r="G487" s="7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2"/>
      <c r="U487" s="12">
        <f t="shared" si="237"/>
        <v>0</v>
      </c>
      <c r="V487" s="28" t="str">
        <f t="shared" ca="1" si="238"/>
        <v/>
      </c>
      <c r="W487" s="28" t="str">
        <f t="shared" si="239"/>
        <v/>
      </c>
      <c r="X487" s="12" t="str">
        <f t="shared" si="240"/>
        <v/>
      </c>
      <c r="Y487" s="12" t="str">
        <f t="shared" si="241"/>
        <v/>
      </c>
      <c r="Z487" s="12" t="str">
        <f t="shared" si="242"/>
        <v/>
      </c>
      <c r="AA487" s="12" t="str">
        <f t="shared" si="243"/>
        <v/>
      </c>
      <c r="AB487" s="12" t="str">
        <f t="shared" si="244"/>
        <v/>
      </c>
      <c r="AC487" s="12" t="str">
        <f t="shared" si="245"/>
        <v/>
      </c>
      <c r="AD487" s="12" t="str">
        <f t="shared" si="246"/>
        <v/>
      </c>
      <c r="AE487" s="12" t="str">
        <f t="shared" si="247"/>
        <v/>
      </c>
      <c r="AF487" s="12" t="str">
        <f t="shared" si="248"/>
        <v/>
      </c>
      <c r="AG487" s="12"/>
      <c r="AH487" s="12" t="str">
        <f t="shared" si="249"/>
        <v/>
      </c>
      <c r="AI487" s="12" t="str">
        <f t="shared" si="250"/>
        <v/>
      </c>
      <c r="AJ487" s="12" t="str">
        <f t="shared" si="251"/>
        <v/>
      </c>
      <c r="AK487" s="12" t="str">
        <f t="shared" si="252"/>
        <v/>
      </c>
      <c r="AL487" s="12" t="str">
        <f t="shared" si="253"/>
        <v/>
      </c>
      <c r="AM487" s="12" t="str">
        <f t="shared" si="254"/>
        <v/>
      </c>
      <c r="AN487" s="12" t="str">
        <f t="shared" si="255"/>
        <v/>
      </c>
      <c r="AO487" s="12" t="str">
        <f t="shared" si="256"/>
        <v/>
      </c>
      <c r="AP487" s="12" t="str">
        <f t="shared" si="257"/>
        <v/>
      </c>
    </row>
    <row r="488" spans="1:42">
      <c r="A488" s="9" t="str">
        <f t="shared" si="258"/>
        <v/>
      </c>
      <c r="B488" s="22" t="str">
        <f t="shared" si="259"/>
        <v/>
      </c>
      <c r="C488" s="23" t="str">
        <f t="shared" si="260"/>
        <v/>
      </c>
      <c r="D488" s="24" t="str">
        <f t="shared" si="261"/>
        <v/>
      </c>
      <c r="E488" s="24" t="str">
        <f t="shared" si="262"/>
        <v/>
      </c>
      <c r="F488" s="25" t="str">
        <f t="shared" si="263"/>
        <v/>
      </c>
      <c r="G488" s="7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2"/>
      <c r="U488" s="12">
        <f t="shared" si="237"/>
        <v>0</v>
      </c>
      <c r="V488" s="28" t="str">
        <f t="shared" ca="1" si="238"/>
        <v/>
      </c>
      <c r="W488" s="28" t="str">
        <f t="shared" si="239"/>
        <v/>
      </c>
      <c r="X488" s="12" t="str">
        <f t="shared" si="240"/>
        <v/>
      </c>
      <c r="Y488" s="12" t="str">
        <f t="shared" si="241"/>
        <v/>
      </c>
      <c r="Z488" s="12" t="str">
        <f t="shared" si="242"/>
        <v/>
      </c>
      <c r="AA488" s="12" t="str">
        <f t="shared" si="243"/>
        <v/>
      </c>
      <c r="AB488" s="12" t="str">
        <f t="shared" si="244"/>
        <v/>
      </c>
      <c r="AC488" s="12" t="str">
        <f t="shared" si="245"/>
        <v/>
      </c>
      <c r="AD488" s="12" t="str">
        <f t="shared" si="246"/>
        <v/>
      </c>
      <c r="AE488" s="12" t="str">
        <f t="shared" si="247"/>
        <v/>
      </c>
      <c r="AF488" s="12" t="str">
        <f t="shared" si="248"/>
        <v/>
      </c>
      <c r="AG488" s="12"/>
      <c r="AH488" s="12" t="str">
        <f t="shared" si="249"/>
        <v/>
      </c>
      <c r="AI488" s="12" t="str">
        <f t="shared" si="250"/>
        <v/>
      </c>
      <c r="AJ488" s="12" t="str">
        <f t="shared" si="251"/>
        <v/>
      </c>
      <c r="AK488" s="12" t="str">
        <f t="shared" si="252"/>
        <v/>
      </c>
      <c r="AL488" s="12" t="str">
        <f t="shared" si="253"/>
        <v/>
      </c>
      <c r="AM488" s="12" t="str">
        <f t="shared" si="254"/>
        <v/>
      </c>
      <c r="AN488" s="12" t="str">
        <f t="shared" si="255"/>
        <v/>
      </c>
      <c r="AO488" s="12" t="str">
        <f t="shared" si="256"/>
        <v/>
      </c>
      <c r="AP488" s="12" t="str">
        <f t="shared" si="257"/>
        <v/>
      </c>
    </row>
    <row r="489" spans="1:42">
      <c r="A489" s="9" t="str">
        <f t="shared" si="258"/>
        <v/>
      </c>
      <c r="B489" s="22" t="str">
        <f t="shared" si="259"/>
        <v/>
      </c>
      <c r="C489" s="23" t="str">
        <f t="shared" si="260"/>
        <v/>
      </c>
      <c r="D489" s="24" t="str">
        <f t="shared" si="261"/>
        <v/>
      </c>
      <c r="E489" s="24" t="str">
        <f t="shared" si="262"/>
        <v/>
      </c>
      <c r="F489" s="25" t="str">
        <f t="shared" si="263"/>
        <v/>
      </c>
      <c r="G489" s="7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2"/>
      <c r="U489" s="12">
        <f t="shared" si="237"/>
        <v>0</v>
      </c>
      <c r="V489" s="28" t="str">
        <f t="shared" ca="1" si="238"/>
        <v/>
      </c>
      <c r="W489" s="28" t="str">
        <f t="shared" si="239"/>
        <v/>
      </c>
      <c r="X489" s="12" t="str">
        <f t="shared" si="240"/>
        <v/>
      </c>
      <c r="Y489" s="12" t="str">
        <f t="shared" si="241"/>
        <v/>
      </c>
      <c r="Z489" s="12" t="str">
        <f t="shared" si="242"/>
        <v/>
      </c>
      <c r="AA489" s="12" t="str">
        <f t="shared" si="243"/>
        <v/>
      </c>
      <c r="AB489" s="12" t="str">
        <f t="shared" si="244"/>
        <v/>
      </c>
      <c r="AC489" s="12" t="str">
        <f t="shared" si="245"/>
        <v/>
      </c>
      <c r="AD489" s="12" t="str">
        <f t="shared" si="246"/>
        <v/>
      </c>
      <c r="AE489" s="12" t="str">
        <f t="shared" si="247"/>
        <v/>
      </c>
      <c r="AF489" s="12" t="str">
        <f t="shared" si="248"/>
        <v/>
      </c>
      <c r="AG489" s="12"/>
      <c r="AH489" s="12" t="str">
        <f t="shared" si="249"/>
        <v/>
      </c>
      <c r="AI489" s="12" t="str">
        <f t="shared" si="250"/>
        <v/>
      </c>
      <c r="AJ489" s="12" t="str">
        <f t="shared" si="251"/>
        <v/>
      </c>
      <c r="AK489" s="12" t="str">
        <f t="shared" si="252"/>
        <v/>
      </c>
      <c r="AL489" s="12" t="str">
        <f t="shared" si="253"/>
        <v/>
      </c>
      <c r="AM489" s="12" t="str">
        <f t="shared" si="254"/>
        <v/>
      </c>
      <c r="AN489" s="12" t="str">
        <f t="shared" si="255"/>
        <v/>
      </c>
      <c r="AO489" s="12" t="str">
        <f t="shared" si="256"/>
        <v/>
      </c>
      <c r="AP489" s="12" t="str">
        <f t="shared" si="257"/>
        <v/>
      </c>
    </row>
    <row r="490" spans="1:42">
      <c r="A490" s="9" t="str">
        <f t="shared" si="258"/>
        <v/>
      </c>
      <c r="B490" s="22" t="str">
        <f t="shared" si="259"/>
        <v/>
      </c>
      <c r="C490" s="23" t="str">
        <f t="shared" si="260"/>
        <v/>
      </c>
      <c r="D490" s="24" t="str">
        <f t="shared" si="261"/>
        <v/>
      </c>
      <c r="E490" s="24" t="str">
        <f t="shared" si="262"/>
        <v/>
      </c>
      <c r="F490" s="25" t="str">
        <f t="shared" si="263"/>
        <v/>
      </c>
      <c r="G490" s="7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2"/>
      <c r="U490" s="12">
        <f t="shared" si="237"/>
        <v>0</v>
      </c>
      <c r="V490" s="28" t="str">
        <f t="shared" ca="1" si="238"/>
        <v/>
      </c>
      <c r="W490" s="28" t="str">
        <f t="shared" si="239"/>
        <v/>
      </c>
      <c r="X490" s="12" t="str">
        <f t="shared" si="240"/>
        <v/>
      </c>
      <c r="Y490" s="12" t="str">
        <f t="shared" si="241"/>
        <v/>
      </c>
      <c r="Z490" s="12" t="str">
        <f t="shared" si="242"/>
        <v/>
      </c>
      <c r="AA490" s="12" t="str">
        <f t="shared" si="243"/>
        <v/>
      </c>
      <c r="AB490" s="12" t="str">
        <f t="shared" si="244"/>
        <v/>
      </c>
      <c r="AC490" s="12" t="str">
        <f t="shared" si="245"/>
        <v/>
      </c>
      <c r="AD490" s="12" t="str">
        <f t="shared" si="246"/>
        <v/>
      </c>
      <c r="AE490" s="12" t="str">
        <f t="shared" si="247"/>
        <v/>
      </c>
      <c r="AF490" s="12" t="str">
        <f t="shared" si="248"/>
        <v/>
      </c>
      <c r="AG490" s="12"/>
      <c r="AH490" s="12" t="str">
        <f t="shared" si="249"/>
        <v/>
      </c>
      <c r="AI490" s="12" t="str">
        <f t="shared" si="250"/>
        <v/>
      </c>
      <c r="AJ490" s="12" t="str">
        <f t="shared" si="251"/>
        <v/>
      </c>
      <c r="AK490" s="12" t="str">
        <f t="shared" si="252"/>
        <v/>
      </c>
      <c r="AL490" s="12" t="str">
        <f t="shared" si="253"/>
        <v/>
      </c>
      <c r="AM490" s="12" t="str">
        <f t="shared" si="254"/>
        <v/>
      </c>
      <c r="AN490" s="12" t="str">
        <f t="shared" si="255"/>
        <v/>
      </c>
      <c r="AO490" s="12" t="str">
        <f t="shared" si="256"/>
        <v/>
      </c>
      <c r="AP490" s="12" t="str">
        <f t="shared" si="257"/>
        <v/>
      </c>
    </row>
    <row r="491" spans="1:42">
      <c r="A491" s="9" t="str">
        <f t="shared" si="258"/>
        <v/>
      </c>
      <c r="B491" s="22" t="str">
        <f t="shared" si="259"/>
        <v/>
      </c>
      <c r="C491" s="23" t="str">
        <f t="shared" si="260"/>
        <v/>
      </c>
      <c r="D491" s="24" t="str">
        <f t="shared" si="261"/>
        <v/>
      </c>
      <c r="E491" s="24" t="str">
        <f t="shared" si="262"/>
        <v/>
      </c>
      <c r="F491" s="25" t="str">
        <f t="shared" si="263"/>
        <v/>
      </c>
      <c r="G491" s="7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2"/>
      <c r="U491" s="12">
        <f t="shared" si="237"/>
        <v>0</v>
      </c>
      <c r="V491" s="28" t="str">
        <f t="shared" ca="1" si="238"/>
        <v/>
      </c>
      <c r="W491" s="28" t="str">
        <f t="shared" si="239"/>
        <v/>
      </c>
      <c r="X491" s="12" t="str">
        <f t="shared" si="240"/>
        <v/>
      </c>
      <c r="Y491" s="12" t="str">
        <f t="shared" si="241"/>
        <v/>
      </c>
      <c r="Z491" s="12" t="str">
        <f t="shared" si="242"/>
        <v/>
      </c>
      <c r="AA491" s="12" t="str">
        <f t="shared" si="243"/>
        <v/>
      </c>
      <c r="AB491" s="12" t="str">
        <f t="shared" si="244"/>
        <v/>
      </c>
      <c r="AC491" s="12" t="str">
        <f t="shared" si="245"/>
        <v/>
      </c>
      <c r="AD491" s="12" t="str">
        <f t="shared" si="246"/>
        <v/>
      </c>
      <c r="AE491" s="12" t="str">
        <f t="shared" si="247"/>
        <v/>
      </c>
      <c r="AF491" s="12" t="str">
        <f t="shared" si="248"/>
        <v/>
      </c>
      <c r="AG491" s="12"/>
      <c r="AH491" s="12" t="str">
        <f t="shared" si="249"/>
        <v/>
      </c>
      <c r="AI491" s="12" t="str">
        <f t="shared" si="250"/>
        <v/>
      </c>
      <c r="AJ491" s="12" t="str">
        <f t="shared" si="251"/>
        <v/>
      </c>
      <c r="AK491" s="12" t="str">
        <f t="shared" si="252"/>
        <v/>
      </c>
      <c r="AL491" s="12" t="str">
        <f t="shared" si="253"/>
        <v/>
      </c>
      <c r="AM491" s="12" t="str">
        <f t="shared" si="254"/>
        <v/>
      </c>
      <c r="AN491" s="12" t="str">
        <f t="shared" si="255"/>
        <v/>
      </c>
      <c r="AO491" s="12" t="str">
        <f t="shared" si="256"/>
        <v/>
      </c>
      <c r="AP491" s="12" t="str">
        <f t="shared" si="257"/>
        <v/>
      </c>
    </row>
    <row r="492" spans="1:42">
      <c r="A492" s="9" t="str">
        <f t="shared" si="258"/>
        <v/>
      </c>
      <c r="B492" s="22" t="str">
        <f t="shared" si="259"/>
        <v/>
      </c>
      <c r="C492" s="23" t="str">
        <f t="shared" si="260"/>
        <v/>
      </c>
      <c r="D492" s="24" t="str">
        <f t="shared" si="261"/>
        <v/>
      </c>
      <c r="E492" s="24" t="str">
        <f t="shared" si="262"/>
        <v/>
      </c>
      <c r="F492" s="25" t="str">
        <f t="shared" si="263"/>
        <v/>
      </c>
      <c r="G492" s="7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2"/>
      <c r="U492" s="12">
        <f t="shared" si="237"/>
        <v>0</v>
      </c>
      <c r="V492" s="28" t="str">
        <f t="shared" ca="1" si="238"/>
        <v/>
      </c>
      <c r="W492" s="28" t="str">
        <f t="shared" si="239"/>
        <v/>
      </c>
      <c r="X492" s="12" t="str">
        <f t="shared" si="240"/>
        <v/>
      </c>
      <c r="Y492" s="12" t="str">
        <f t="shared" si="241"/>
        <v/>
      </c>
      <c r="Z492" s="12" t="str">
        <f t="shared" si="242"/>
        <v/>
      </c>
      <c r="AA492" s="12" t="str">
        <f t="shared" si="243"/>
        <v/>
      </c>
      <c r="AB492" s="12" t="str">
        <f t="shared" si="244"/>
        <v/>
      </c>
      <c r="AC492" s="12" t="str">
        <f t="shared" si="245"/>
        <v/>
      </c>
      <c r="AD492" s="12" t="str">
        <f t="shared" si="246"/>
        <v/>
      </c>
      <c r="AE492" s="12" t="str">
        <f t="shared" si="247"/>
        <v/>
      </c>
      <c r="AF492" s="12" t="str">
        <f t="shared" si="248"/>
        <v/>
      </c>
      <c r="AG492" s="12"/>
      <c r="AH492" s="12" t="str">
        <f t="shared" si="249"/>
        <v/>
      </c>
      <c r="AI492" s="12" t="str">
        <f t="shared" si="250"/>
        <v/>
      </c>
      <c r="AJ492" s="12" t="str">
        <f t="shared" si="251"/>
        <v/>
      </c>
      <c r="AK492" s="12" t="str">
        <f t="shared" si="252"/>
        <v/>
      </c>
      <c r="AL492" s="12" t="str">
        <f t="shared" si="253"/>
        <v/>
      </c>
      <c r="AM492" s="12" t="str">
        <f t="shared" si="254"/>
        <v/>
      </c>
      <c r="AN492" s="12" t="str">
        <f t="shared" si="255"/>
        <v/>
      </c>
      <c r="AO492" s="12" t="str">
        <f t="shared" si="256"/>
        <v/>
      </c>
      <c r="AP492" s="12" t="str">
        <f t="shared" si="257"/>
        <v/>
      </c>
    </row>
    <row r="493" spans="1:42">
      <c r="A493" s="9" t="str">
        <f t="shared" si="258"/>
        <v/>
      </c>
      <c r="B493" s="22" t="str">
        <f t="shared" si="259"/>
        <v/>
      </c>
      <c r="C493" s="23" t="str">
        <f t="shared" si="260"/>
        <v/>
      </c>
      <c r="D493" s="24" t="str">
        <f t="shared" si="261"/>
        <v/>
      </c>
      <c r="E493" s="24" t="str">
        <f t="shared" si="262"/>
        <v/>
      </c>
      <c r="F493" s="25" t="str">
        <f t="shared" si="263"/>
        <v/>
      </c>
      <c r="G493" s="7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2"/>
      <c r="U493" s="12">
        <f t="shared" si="237"/>
        <v>0</v>
      </c>
      <c r="V493" s="28" t="str">
        <f t="shared" ca="1" si="238"/>
        <v/>
      </c>
      <c r="W493" s="28" t="str">
        <f t="shared" si="239"/>
        <v/>
      </c>
      <c r="X493" s="12" t="str">
        <f t="shared" si="240"/>
        <v/>
      </c>
      <c r="Y493" s="12" t="str">
        <f t="shared" si="241"/>
        <v/>
      </c>
      <c r="Z493" s="12" t="str">
        <f t="shared" si="242"/>
        <v/>
      </c>
      <c r="AA493" s="12" t="str">
        <f t="shared" si="243"/>
        <v/>
      </c>
      <c r="AB493" s="12" t="str">
        <f t="shared" si="244"/>
        <v/>
      </c>
      <c r="AC493" s="12" t="str">
        <f t="shared" si="245"/>
        <v/>
      </c>
      <c r="AD493" s="12" t="str">
        <f t="shared" si="246"/>
        <v/>
      </c>
      <c r="AE493" s="12" t="str">
        <f t="shared" si="247"/>
        <v/>
      </c>
      <c r="AF493" s="12" t="str">
        <f t="shared" si="248"/>
        <v/>
      </c>
      <c r="AG493" s="12"/>
      <c r="AH493" s="12" t="str">
        <f t="shared" si="249"/>
        <v/>
      </c>
      <c r="AI493" s="12" t="str">
        <f t="shared" si="250"/>
        <v/>
      </c>
      <c r="AJ493" s="12" t="str">
        <f t="shared" si="251"/>
        <v/>
      </c>
      <c r="AK493" s="12" t="str">
        <f t="shared" si="252"/>
        <v/>
      </c>
      <c r="AL493" s="12" t="str">
        <f t="shared" si="253"/>
        <v/>
      </c>
      <c r="AM493" s="12" t="str">
        <f t="shared" si="254"/>
        <v/>
      </c>
      <c r="AN493" s="12" t="str">
        <f t="shared" si="255"/>
        <v/>
      </c>
      <c r="AO493" s="12" t="str">
        <f t="shared" si="256"/>
        <v/>
      </c>
      <c r="AP493" s="12" t="str">
        <f t="shared" si="257"/>
        <v/>
      </c>
    </row>
    <row r="494" spans="1:42">
      <c r="A494" s="9" t="str">
        <f t="shared" si="258"/>
        <v/>
      </c>
      <c r="B494" s="22" t="str">
        <f t="shared" si="259"/>
        <v/>
      </c>
      <c r="C494" s="23" t="str">
        <f t="shared" si="260"/>
        <v/>
      </c>
      <c r="D494" s="24" t="str">
        <f t="shared" si="261"/>
        <v/>
      </c>
      <c r="E494" s="24" t="str">
        <f t="shared" si="262"/>
        <v/>
      </c>
      <c r="F494" s="25" t="str">
        <f t="shared" si="263"/>
        <v/>
      </c>
      <c r="G494" s="7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2"/>
      <c r="U494" s="12">
        <f t="shared" si="237"/>
        <v>0</v>
      </c>
      <c r="V494" s="28" t="str">
        <f t="shared" ca="1" si="238"/>
        <v/>
      </c>
      <c r="W494" s="28" t="str">
        <f t="shared" si="239"/>
        <v/>
      </c>
      <c r="X494" s="12" t="str">
        <f t="shared" si="240"/>
        <v/>
      </c>
      <c r="Y494" s="12" t="str">
        <f t="shared" si="241"/>
        <v/>
      </c>
      <c r="Z494" s="12" t="str">
        <f t="shared" si="242"/>
        <v/>
      </c>
      <c r="AA494" s="12" t="str">
        <f t="shared" si="243"/>
        <v/>
      </c>
      <c r="AB494" s="12" t="str">
        <f t="shared" si="244"/>
        <v/>
      </c>
      <c r="AC494" s="12" t="str">
        <f t="shared" si="245"/>
        <v/>
      </c>
      <c r="AD494" s="12" t="str">
        <f t="shared" si="246"/>
        <v/>
      </c>
      <c r="AE494" s="12" t="str">
        <f t="shared" si="247"/>
        <v/>
      </c>
      <c r="AF494" s="12" t="str">
        <f t="shared" si="248"/>
        <v/>
      </c>
      <c r="AG494" s="12"/>
      <c r="AH494" s="12" t="str">
        <f t="shared" si="249"/>
        <v/>
      </c>
      <c r="AI494" s="12" t="str">
        <f t="shared" si="250"/>
        <v/>
      </c>
      <c r="AJ494" s="12" t="str">
        <f t="shared" si="251"/>
        <v/>
      </c>
      <c r="AK494" s="12" t="str">
        <f t="shared" si="252"/>
        <v/>
      </c>
      <c r="AL494" s="12" t="str">
        <f t="shared" si="253"/>
        <v/>
      </c>
      <c r="AM494" s="12" t="str">
        <f t="shared" si="254"/>
        <v/>
      </c>
      <c r="AN494" s="12" t="str">
        <f t="shared" si="255"/>
        <v/>
      </c>
      <c r="AO494" s="12" t="str">
        <f t="shared" si="256"/>
        <v/>
      </c>
      <c r="AP494" s="12" t="str">
        <f t="shared" si="257"/>
        <v/>
      </c>
    </row>
    <row r="495" spans="1:42">
      <c r="A495" s="9" t="str">
        <f t="shared" si="258"/>
        <v/>
      </c>
      <c r="B495" s="22" t="str">
        <f t="shared" si="259"/>
        <v/>
      </c>
      <c r="C495" s="23" t="str">
        <f t="shared" si="260"/>
        <v/>
      </c>
      <c r="D495" s="24" t="str">
        <f t="shared" si="261"/>
        <v/>
      </c>
      <c r="E495" s="24" t="str">
        <f t="shared" si="262"/>
        <v/>
      </c>
      <c r="F495" s="25" t="str">
        <f t="shared" si="263"/>
        <v/>
      </c>
      <c r="G495" s="7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2"/>
      <c r="U495" s="12">
        <f t="shared" si="237"/>
        <v>0</v>
      </c>
      <c r="V495" s="28" t="str">
        <f t="shared" ca="1" si="238"/>
        <v/>
      </c>
      <c r="W495" s="28" t="str">
        <f t="shared" si="239"/>
        <v/>
      </c>
      <c r="X495" s="12" t="str">
        <f t="shared" si="240"/>
        <v/>
      </c>
      <c r="Y495" s="12" t="str">
        <f t="shared" si="241"/>
        <v/>
      </c>
      <c r="Z495" s="12" t="str">
        <f t="shared" si="242"/>
        <v/>
      </c>
      <c r="AA495" s="12" t="str">
        <f t="shared" si="243"/>
        <v/>
      </c>
      <c r="AB495" s="12" t="str">
        <f t="shared" si="244"/>
        <v/>
      </c>
      <c r="AC495" s="12" t="str">
        <f t="shared" si="245"/>
        <v/>
      </c>
      <c r="AD495" s="12" t="str">
        <f t="shared" si="246"/>
        <v/>
      </c>
      <c r="AE495" s="12" t="str">
        <f t="shared" si="247"/>
        <v/>
      </c>
      <c r="AF495" s="12" t="str">
        <f t="shared" si="248"/>
        <v/>
      </c>
      <c r="AG495" s="12"/>
      <c r="AH495" s="12" t="str">
        <f t="shared" si="249"/>
        <v/>
      </c>
      <c r="AI495" s="12" t="str">
        <f t="shared" si="250"/>
        <v/>
      </c>
      <c r="AJ495" s="12" t="str">
        <f t="shared" si="251"/>
        <v/>
      </c>
      <c r="AK495" s="12" t="str">
        <f t="shared" si="252"/>
        <v/>
      </c>
      <c r="AL495" s="12" t="str">
        <f t="shared" si="253"/>
        <v/>
      </c>
      <c r="AM495" s="12" t="str">
        <f t="shared" si="254"/>
        <v/>
      </c>
      <c r="AN495" s="12" t="str">
        <f t="shared" si="255"/>
        <v/>
      </c>
      <c r="AO495" s="12" t="str">
        <f t="shared" si="256"/>
        <v/>
      </c>
      <c r="AP495" s="12" t="str">
        <f t="shared" si="257"/>
        <v/>
      </c>
    </row>
    <row r="496" spans="1:42">
      <c r="A496" s="9" t="str">
        <f t="shared" si="258"/>
        <v/>
      </c>
      <c r="B496" s="22" t="str">
        <f t="shared" si="259"/>
        <v/>
      </c>
      <c r="C496" s="23" t="str">
        <f t="shared" si="260"/>
        <v/>
      </c>
      <c r="D496" s="24" t="str">
        <f t="shared" si="261"/>
        <v/>
      </c>
      <c r="E496" s="24" t="str">
        <f t="shared" si="262"/>
        <v/>
      </c>
      <c r="F496" s="25" t="str">
        <f t="shared" si="263"/>
        <v/>
      </c>
      <c r="G496" s="7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2"/>
      <c r="U496" s="12">
        <f t="shared" si="237"/>
        <v>0</v>
      </c>
      <c r="V496" s="28" t="str">
        <f t="shared" ca="1" si="238"/>
        <v/>
      </c>
      <c r="W496" s="28" t="str">
        <f t="shared" si="239"/>
        <v/>
      </c>
      <c r="X496" s="12" t="str">
        <f t="shared" si="240"/>
        <v/>
      </c>
      <c r="Y496" s="12" t="str">
        <f t="shared" si="241"/>
        <v/>
      </c>
      <c r="Z496" s="12" t="str">
        <f t="shared" si="242"/>
        <v/>
      </c>
      <c r="AA496" s="12" t="str">
        <f t="shared" si="243"/>
        <v/>
      </c>
      <c r="AB496" s="12" t="str">
        <f t="shared" si="244"/>
        <v/>
      </c>
      <c r="AC496" s="12" t="str">
        <f t="shared" si="245"/>
        <v/>
      </c>
      <c r="AD496" s="12" t="str">
        <f t="shared" si="246"/>
        <v/>
      </c>
      <c r="AE496" s="12" t="str">
        <f t="shared" si="247"/>
        <v/>
      </c>
      <c r="AF496" s="12" t="str">
        <f t="shared" si="248"/>
        <v/>
      </c>
      <c r="AG496" s="12"/>
      <c r="AH496" s="12" t="str">
        <f t="shared" si="249"/>
        <v/>
      </c>
      <c r="AI496" s="12" t="str">
        <f t="shared" si="250"/>
        <v/>
      </c>
      <c r="AJ496" s="12" t="str">
        <f t="shared" si="251"/>
        <v/>
      </c>
      <c r="AK496" s="12" t="str">
        <f t="shared" si="252"/>
        <v/>
      </c>
      <c r="AL496" s="12" t="str">
        <f t="shared" si="253"/>
        <v/>
      </c>
      <c r="AM496" s="12" t="str">
        <f t="shared" si="254"/>
        <v/>
      </c>
      <c r="AN496" s="12" t="str">
        <f t="shared" si="255"/>
        <v/>
      </c>
      <c r="AO496" s="12" t="str">
        <f t="shared" si="256"/>
        <v/>
      </c>
      <c r="AP496" s="12" t="str">
        <f t="shared" si="257"/>
        <v/>
      </c>
    </row>
    <row r="497" spans="1:42">
      <c r="A497" s="9" t="str">
        <f t="shared" si="258"/>
        <v/>
      </c>
      <c r="B497" s="22" t="str">
        <f t="shared" si="259"/>
        <v/>
      </c>
      <c r="C497" s="23" t="str">
        <f t="shared" si="260"/>
        <v/>
      </c>
      <c r="D497" s="24" t="str">
        <f t="shared" si="261"/>
        <v/>
      </c>
      <c r="E497" s="24" t="str">
        <f t="shared" si="262"/>
        <v/>
      </c>
      <c r="F497" s="25" t="str">
        <f t="shared" si="263"/>
        <v/>
      </c>
      <c r="G497" s="7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2"/>
      <c r="U497" s="12">
        <f t="shared" si="237"/>
        <v>0</v>
      </c>
      <c r="V497" s="28" t="str">
        <f t="shared" ca="1" si="238"/>
        <v/>
      </c>
      <c r="W497" s="28" t="str">
        <f t="shared" si="239"/>
        <v/>
      </c>
      <c r="X497" s="12" t="str">
        <f t="shared" si="240"/>
        <v/>
      </c>
      <c r="Y497" s="12" t="str">
        <f t="shared" si="241"/>
        <v/>
      </c>
      <c r="Z497" s="12" t="str">
        <f t="shared" si="242"/>
        <v/>
      </c>
      <c r="AA497" s="12" t="str">
        <f t="shared" si="243"/>
        <v/>
      </c>
      <c r="AB497" s="12" t="str">
        <f t="shared" si="244"/>
        <v/>
      </c>
      <c r="AC497" s="12" t="str">
        <f t="shared" si="245"/>
        <v/>
      </c>
      <c r="AD497" s="12" t="str">
        <f t="shared" si="246"/>
        <v/>
      </c>
      <c r="AE497" s="12" t="str">
        <f t="shared" si="247"/>
        <v/>
      </c>
      <c r="AF497" s="12" t="str">
        <f t="shared" si="248"/>
        <v/>
      </c>
      <c r="AG497" s="12"/>
      <c r="AH497" s="12" t="str">
        <f t="shared" si="249"/>
        <v/>
      </c>
      <c r="AI497" s="12" t="str">
        <f t="shared" si="250"/>
        <v/>
      </c>
      <c r="AJ497" s="12" t="str">
        <f t="shared" si="251"/>
        <v/>
      </c>
      <c r="AK497" s="12" t="str">
        <f t="shared" si="252"/>
        <v/>
      </c>
      <c r="AL497" s="12" t="str">
        <f t="shared" si="253"/>
        <v/>
      </c>
      <c r="AM497" s="12" t="str">
        <f t="shared" si="254"/>
        <v/>
      </c>
      <c r="AN497" s="12" t="str">
        <f t="shared" si="255"/>
        <v/>
      </c>
      <c r="AO497" s="12" t="str">
        <f t="shared" si="256"/>
        <v/>
      </c>
      <c r="AP497" s="12" t="str">
        <f t="shared" si="257"/>
        <v/>
      </c>
    </row>
    <row r="498" spans="1:42">
      <c r="A498" s="9" t="str">
        <f t="shared" si="258"/>
        <v/>
      </c>
      <c r="B498" s="22" t="str">
        <f t="shared" si="259"/>
        <v/>
      </c>
      <c r="C498" s="23" t="str">
        <f t="shared" si="260"/>
        <v/>
      </c>
      <c r="D498" s="24" t="str">
        <f t="shared" si="261"/>
        <v/>
      </c>
      <c r="E498" s="24" t="str">
        <f t="shared" si="262"/>
        <v/>
      </c>
      <c r="F498" s="25" t="str">
        <f t="shared" si="263"/>
        <v/>
      </c>
      <c r="G498" s="7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2"/>
      <c r="U498" s="12">
        <f t="shared" si="237"/>
        <v>0</v>
      </c>
      <c r="V498" s="28" t="str">
        <f t="shared" ca="1" si="238"/>
        <v/>
      </c>
      <c r="W498" s="28" t="str">
        <f t="shared" si="239"/>
        <v/>
      </c>
      <c r="X498" s="12" t="str">
        <f t="shared" si="240"/>
        <v/>
      </c>
      <c r="Y498" s="12" t="str">
        <f t="shared" si="241"/>
        <v/>
      </c>
      <c r="Z498" s="12" t="str">
        <f t="shared" si="242"/>
        <v/>
      </c>
      <c r="AA498" s="12" t="str">
        <f t="shared" si="243"/>
        <v/>
      </c>
      <c r="AB498" s="12" t="str">
        <f t="shared" si="244"/>
        <v/>
      </c>
      <c r="AC498" s="12" t="str">
        <f t="shared" si="245"/>
        <v/>
      </c>
      <c r="AD498" s="12" t="str">
        <f t="shared" si="246"/>
        <v/>
      </c>
      <c r="AE498" s="12" t="str">
        <f t="shared" si="247"/>
        <v/>
      </c>
      <c r="AF498" s="12" t="str">
        <f t="shared" si="248"/>
        <v/>
      </c>
      <c r="AG498" s="12"/>
      <c r="AH498" s="12" t="str">
        <f t="shared" si="249"/>
        <v/>
      </c>
      <c r="AI498" s="12" t="str">
        <f t="shared" si="250"/>
        <v/>
      </c>
      <c r="AJ498" s="12" t="str">
        <f t="shared" si="251"/>
        <v/>
      </c>
      <c r="AK498" s="12" t="str">
        <f t="shared" si="252"/>
        <v/>
      </c>
      <c r="AL498" s="12" t="str">
        <f t="shared" si="253"/>
        <v/>
      </c>
      <c r="AM498" s="12" t="str">
        <f t="shared" si="254"/>
        <v/>
      </c>
      <c r="AN498" s="12" t="str">
        <f t="shared" si="255"/>
        <v/>
      </c>
      <c r="AO498" s="12" t="str">
        <f t="shared" si="256"/>
        <v/>
      </c>
      <c r="AP498" s="12" t="str">
        <f t="shared" si="257"/>
        <v/>
      </c>
    </row>
    <row r="499" spans="1:42">
      <c r="A499" s="9" t="str">
        <f t="shared" si="258"/>
        <v/>
      </c>
      <c r="B499" s="22" t="str">
        <f t="shared" si="259"/>
        <v/>
      </c>
      <c r="C499" s="23" t="str">
        <f t="shared" si="260"/>
        <v/>
      </c>
      <c r="D499" s="24" t="str">
        <f t="shared" si="261"/>
        <v/>
      </c>
      <c r="E499" s="24" t="str">
        <f t="shared" si="262"/>
        <v/>
      </c>
      <c r="F499" s="25" t="str">
        <f t="shared" si="263"/>
        <v/>
      </c>
      <c r="G499" s="7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2"/>
      <c r="U499" s="12">
        <f t="shared" si="237"/>
        <v>0</v>
      </c>
      <c r="V499" s="28" t="str">
        <f t="shared" ca="1" si="238"/>
        <v/>
      </c>
      <c r="W499" s="28" t="str">
        <f t="shared" si="239"/>
        <v/>
      </c>
      <c r="X499" s="12" t="str">
        <f t="shared" si="240"/>
        <v/>
      </c>
      <c r="Y499" s="12" t="str">
        <f t="shared" si="241"/>
        <v/>
      </c>
      <c r="Z499" s="12" t="str">
        <f t="shared" si="242"/>
        <v/>
      </c>
      <c r="AA499" s="12" t="str">
        <f t="shared" si="243"/>
        <v/>
      </c>
      <c r="AB499" s="12" t="str">
        <f t="shared" si="244"/>
        <v/>
      </c>
      <c r="AC499" s="12" t="str">
        <f t="shared" si="245"/>
        <v/>
      </c>
      <c r="AD499" s="12" t="str">
        <f t="shared" si="246"/>
        <v/>
      </c>
      <c r="AE499" s="12" t="str">
        <f t="shared" si="247"/>
        <v/>
      </c>
      <c r="AF499" s="12" t="str">
        <f t="shared" si="248"/>
        <v/>
      </c>
      <c r="AG499" s="12"/>
      <c r="AH499" s="12" t="str">
        <f t="shared" si="249"/>
        <v/>
      </c>
      <c r="AI499" s="12" t="str">
        <f t="shared" si="250"/>
        <v/>
      </c>
      <c r="AJ499" s="12" t="str">
        <f t="shared" si="251"/>
        <v/>
      </c>
      <c r="AK499" s="12" t="str">
        <f t="shared" si="252"/>
        <v/>
      </c>
      <c r="AL499" s="12" t="str">
        <f t="shared" si="253"/>
        <v/>
      </c>
      <c r="AM499" s="12" t="str">
        <f t="shared" si="254"/>
        <v/>
      </c>
      <c r="AN499" s="12" t="str">
        <f t="shared" si="255"/>
        <v/>
      </c>
      <c r="AO499" s="12" t="str">
        <f t="shared" si="256"/>
        <v/>
      </c>
      <c r="AP499" s="12" t="str">
        <f t="shared" si="257"/>
        <v/>
      </c>
    </row>
    <row r="500" spans="1:42">
      <c r="A500" s="9" t="str">
        <f t="shared" si="258"/>
        <v/>
      </c>
      <c r="B500" s="22" t="str">
        <f t="shared" si="259"/>
        <v/>
      </c>
      <c r="C500" s="23" t="str">
        <f t="shared" si="260"/>
        <v/>
      </c>
      <c r="D500" s="24" t="str">
        <f t="shared" si="261"/>
        <v/>
      </c>
      <c r="E500" s="24" t="str">
        <f t="shared" si="262"/>
        <v/>
      </c>
      <c r="F500" s="25" t="str">
        <f t="shared" si="263"/>
        <v/>
      </c>
      <c r="G500" s="7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2"/>
      <c r="U500" s="12">
        <f t="shared" si="237"/>
        <v>0</v>
      </c>
      <c r="V500" s="28" t="str">
        <f t="shared" ca="1" si="238"/>
        <v/>
      </c>
      <c r="W500" s="28" t="str">
        <f t="shared" si="239"/>
        <v/>
      </c>
      <c r="X500" s="12" t="str">
        <f t="shared" si="240"/>
        <v/>
      </c>
      <c r="Y500" s="12" t="str">
        <f t="shared" si="241"/>
        <v/>
      </c>
      <c r="Z500" s="12" t="str">
        <f t="shared" si="242"/>
        <v/>
      </c>
      <c r="AA500" s="12" t="str">
        <f t="shared" si="243"/>
        <v/>
      </c>
      <c r="AB500" s="12" t="str">
        <f t="shared" si="244"/>
        <v/>
      </c>
      <c r="AC500" s="12" t="str">
        <f t="shared" si="245"/>
        <v/>
      </c>
      <c r="AD500" s="12" t="str">
        <f t="shared" si="246"/>
        <v/>
      </c>
      <c r="AE500" s="12" t="str">
        <f t="shared" si="247"/>
        <v/>
      </c>
      <c r="AF500" s="12" t="str">
        <f t="shared" si="248"/>
        <v/>
      </c>
      <c r="AG500" s="12"/>
      <c r="AH500" s="12" t="str">
        <f t="shared" si="249"/>
        <v/>
      </c>
      <c r="AI500" s="12" t="str">
        <f t="shared" si="250"/>
        <v/>
      </c>
      <c r="AJ500" s="12" t="str">
        <f t="shared" si="251"/>
        <v/>
      </c>
      <c r="AK500" s="12" t="str">
        <f t="shared" si="252"/>
        <v/>
      </c>
      <c r="AL500" s="12" t="str">
        <f t="shared" si="253"/>
        <v/>
      </c>
      <c r="AM500" s="12" t="str">
        <f t="shared" si="254"/>
        <v/>
      </c>
      <c r="AN500" s="12" t="str">
        <f t="shared" si="255"/>
        <v/>
      </c>
      <c r="AO500" s="12" t="str">
        <f t="shared" si="256"/>
        <v/>
      </c>
      <c r="AP500" s="12" t="str">
        <f t="shared" si="257"/>
        <v/>
      </c>
    </row>
    <row r="501" spans="1:42">
      <c r="A501" s="9" t="str">
        <f t="shared" si="258"/>
        <v/>
      </c>
      <c r="B501" s="22" t="str">
        <f t="shared" si="259"/>
        <v/>
      </c>
      <c r="C501" s="23" t="str">
        <f t="shared" si="260"/>
        <v/>
      </c>
      <c r="D501" s="24" t="str">
        <f t="shared" si="261"/>
        <v/>
      </c>
      <c r="E501" s="24" t="str">
        <f t="shared" si="262"/>
        <v/>
      </c>
      <c r="F501" s="25" t="str">
        <f t="shared" si="263"/>
        <v/>
      </c>
      <c r="G501" s="7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2"/>
      <c r="U501" s="12">
        <f t="shared" si="237"/>
        <v>0</v>
      </c>
      <c r="V501" s="28" t="str">
        <f t="shared" ca="1" si="238"/>
        <v/>
      </c>
      <c r="W501" s="28" t="str">
        <f t="shared" si="239"/>
        <v/>
      </c>
      <c r="X501" s="12" t="str">
        <f t="shared" si="240"/>
        <v/>
      </c>
      <c r="Y501" s="12" t="str">
        <f t="shared" si="241"/>
        <v/>
      </c>
      <c r="Z501" s="12" t="str">
        <f t="shared" si="242"/>
        <v/>
      </c>
      <c r="AA501" s="12" t="str">
        <f t="shared" si="243"/>
        <v/>
      </c>
      <c r="AB501" s="12" t="str">
        <f t="shared" si="244"/>
        <v/>
      </c>
      <c r="AC501" s="12" t="str">
        <f t="shared" si="245"/>
        <v/>
      </c>
      <c r="AD501" s="12" t="str">
        <f t="shared" si="246"/>
        <v/>
      </c>
      <c r="AE501" s="12" t="str">
        <f t="shared" si="247"/>
        <v/>
      </c>
      <c r="AF501" s="12" t="str">
        <f t="shared" si="248"/>
        <v/>
      </c>
      <c r="AG501" s="12"/>
      <c r="AH501" s="12" t="str">
        <f t="shared" si="249"/>
        <v/>
      </c>
      <c r="AI501" s="12" t="str">
        <f t="shared" si="250"/>
        <v/>
      </c>
      <c r="AJ501" s="12" t="str">
        <f t="shared" si="251"/>
        <v/>
      </c>
      <c r="AK501" s="12" t="str">
        <f t="shared" si="252"/>
        <v/>
      </c>
      <c r="AL501" s="12" t="str">
        <f t="shared" si="253"/>
        <v/>
      </c>
      <c r="AM501" s="12" t="str">
        <f t="shared" si="254"/>
        <v/>
      </c>
      <c r="AN501" s="12" t="str">
        <f t="shared" si="255"/>
        <v/>
      </c>
      <c r="AO501" s="12" t="str">
        <f t="shared" si="256"/>
        <v/>
      </c>
      <c r="AP501" s="12" t="str">
        <f t="shared" si="257"/>
        <v/>
      </c>
    </row>
    <row r="502" spans="1:42">
      <c r="A502" s="9" t="str">
        <f t="shared" si="258"/>
        <v/>
      </c>
      <c r="B502" s="22" t="str">
        <f t="shared" si="259"/>
        <v/>
      </c>
      <c r="C502" s="23" t="str">
        <f t="shared" si="260"/>
        <v/>
      </c>
      <c r="D502" s="24" t="str">
        <f t="shared" si="261"/>
        <v/>
      </c>
      <c r="E502" s="24" t="str">
        <f t="shared" si="262"/>
        <v/>
      </c>
      <c r="F502" s="25" t="str">
        <f t="shared" si="263"/>
        <v/>
      </c>
      <c r="G502" s="7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2"/>
      <c r="U502" s="12">
        <f t="shared" si="237"/>
        <v>0</v>
      </c>
      <c r="V502" s="28" t="str">
        <f t="shared" ca="1" si="238"/>
        <v/>
      </c>
      <c r="W502" s="28" t="str">
        <f t="shared" si="239"/>
        <v/>
      </c>
      <c r="X502" s="12" t="str">
        <f t="shared" si="240"/>
        <v/>
      </c>
      <c r="Y502" s="12" t="str">
        <f t="shared" si="241"/>
        <v/>
      </c>
      <c r="Z502" s="12" t="str">
        <f t="shared" si="242"/>
        <v/>
      </c>
      <c r="AA502" s="12" t="str">
        <f t="shared" si="243"/>
        <v/>
      </c>
      <c r="AB502" s="12" t="str">
        <f t="shared" si="244"/>
        <v/>
      </c>
      <c r="AC502" s="12" t="str">
        <f t="shared" si="245"/>
        <v/>
      </c>
      <c r="AD502" s="12" t="str">
        <f t="shared" si="246"/>
        <v/>
      </c>
      <c r="AE502" s="12" t="str">
        <f t="shared" si="247"/>
        <v/>
      </c>
      <c r="AF502" s="12" t="str">
        <f t="shared" si="248"/>
        <v/>
      </c>
      <c r="AG502" s="12"/>
      <c r="AH502" s="12" t="str">
        <f t="shared" si="249"/>
        <v/>
      </c>
      <c r="AI502" s="12" t="str">
        <f t="shared" si="250"/>
        <v/>
      </c>
      <c r="AJ502" s="12" t="str">
        <f t="shared" si="251"/>
        <v/>
      </c>
      <c r="AK502" s="12" t="str">
        <f t="shared" si="252"/>
        <v/>
      </c>
      <c r="AL502" s="12" t="str">
        <f t="shared" si="253"/>
        <v/>
      </c>
      <c r="AM502" s="12" t="str">
        <f t="shared" si="254"/>
        <v/>
      </c>
      <c r="AN502" s="12" t="str">
        <f t="shared" si="255"/>
        <v/>
      </c>
      <c r="AO502" s="12" t="str">
        <f t="shared" si="256"/>
        <v/>
      </c>
      <c r="AP502" s="12" t="str">
        <f t="shared" si="257"/>
        <v/>
      </c>
    </row>
    <row r="503" spans="1:42">
      <c r="A503" s="9" t="str">
        <f t="shared" si="258"/>
        <v/>
      </c>
      <c r="B503" s="22" t="str">
        <f t="shared" si="259"/>
        <v/>
      </c>
      <c r="C503" s="23" t="str">
        <f t="shared" si="260"/>
        <v/>
      </c>
      <c r="D503" s="24" t="str">
        <f t="shared" si="261"/>
        <v/>
      </c>
      <c r="E503" s="24" t="str">
        <f t="shared" si="262"/>
        <v/>
      </c>
      <c r="F503" s="25" t="str">
        <f t="shared" si="263"/>
        <v/>
      </c>
      <c r="G503" s="7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2"/>
      <c r="U503" s="12">
        <f t="shared" si="237"/>
        <v>0</v>
      </c>
      <c r="V503" s="28" t="str">
        <f t="shared" ca="1" si="238"/>
        <v/>
      </c>
      <c r="W503" s="28" t="str">
        <f t="shared" si="239"/>
        <v/>
      </c>
      <c r="X503" s="12" t="str">
        <f t="shared" si="240"/>
        <v/>
      </c>
      <c r="Y503" s="12" t="str">
        <f t="shared" si="241"/>
        <v/>
      </c>
      <c r="Z503" s="12" t="str">
        <f t="shared" si="242"/>
        <v/>
      </c>
      <c r="AA503" s="12" t="str">
        <f t="shared" si="243"/>
        <v/>
      </c>
      <c r="AB503" s="12" t="str">
        <f t="shared" si="244"/>
        <v/>
      </c>
      <c r="AC503" s="12" t="str">
        <f t="shared" si="245"/>
        <v/>
      </c>
      <c r="AD503" s="12" t="str">
        <f t="shared" si="246"/>
        <v/>
      </c>
      <c r="AE503" s="12" t="str">
        <f t="shared" si="247"/>
        <v/>
      </c>
      <c r="AF503" s="12" t="str">
        <f t="shared" si="248"/>
        <v/>
      </c>
      <c r="AG503" s="12"/>
      <c r="AH503" s="12" t="str">
        <f t="shared" si="249"/>
        <v/>
      </c>
      <c r="AI503" s="12" t="str">
        <f t="shared" si="250"/>
        <v/>
      </c>
      <c r="AJ503" s="12" t="str">
        <f t="shared" si="251"/>
        <v/>
      </c>
      <c r="AK503" s="12" t="str">
        <f t="shared" si="252"/>
        <v/>
      </c>
      <c r="AL503" s="12" t="str">
        <f t="shared" si="253"/>
        <v/>
      </c>
      <c r="AM503" s="12" t="str">
        <f t="shared" si="254"/>
        <v/>
      </c>
      <c r="AN503" s="12" t="str">
        <f t="shared" si="255"/>
        <v/>
      </c>
      <c r="AO503" s="12" t="str">
        <f t="shared" si="256"/>
        <v/>
      </c>
      <c r="AP503" s="12" t="str">
        <f t="shared" si="257"/>
        <v/>
      </c>
    </row>
    <row r="504" spans="1:42">
      <c r="A504" s="9" t="str">
        <f t="shared" si="258"/>
        <v/>
      </c>
      <c r="B504" s="22" t="str">
        <f t="shared" si="259"/>
        <v/>
      </c>
      <c r="C504" s="23" t="str">
        <f t="shared" si="260"/>
        <v/>
      </c>
      <c r="D504" s="24" t="str">
        <f t="shared" si="261"/>
        <v/>
      </c>
      <c r="E504" s="24" t="str">
        <f t="shared" si="262"/>
        <v/>
      </c>
      <c r="F504" s="25" t="str">
        <f t="shared" si="263"/>
        <v/>
      </c>
      <c r="G504" s="7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2"/>
      <c r="U504" s="12">
        <f t="shared" si="237"/>
        <v>0</v>
      </c>
      <c r="V504" s="28" t="str">
        <f t="shared" ca="1" si="238"/>
        <v/>
      </c>
      <c r="W504" s="28" t="str">
        <f t="shared" si="239"/>
        <v/>
      </c>
      <c r="X504" s="12" t="str">
        <f t="shared" si="240"/>
        <v/>
      </c>
      <c r="Y504" s="12" t="str">
        <f t="shared" si="241"/>
        <v/>
      </c>
      <c r="Z504" s="12" t="str">
        <f t="shared" si="242"/>
        <v/>
      </c>
      <c r="AA504" s="12" t="str">
        <f t="shared" si="243"/>
        <v/>
      </c>
      <c r="AB504" s="12" t="str">
        <f t="shared" si="244"/>
        <v/>
      </c>
      <c r="AC504" s="12" t="str">
        <f t="shared" si="245"/>
        <v/>
      </c>
      <c r="AD504" s="12" t="str">
        <f t="shared" si="246"/>
        <v/>
      </c>
      <c r="AE504" s="12" t="str">
        <f t="shared" si="247"/>
        <v/>
      </c>
      <c r="AF504" s="12" t="str">
        <f t="shared" si="248"/>
        <v/>
      </c>
      <c r="AG504" s="12"/>
      <c r="AH504" s="12" t="str">
        <f t="shared" si="249"/>
        <v/>
      </c>
      <c r="AI504" s="12" t="str">
        <f t="shared" si="250"/>
        <v/>
      </c>
      <c r="AJ504" s="12" t="str">
        <f t="shared" si="251"/>
        <v/>
      </c>
      <c r="AK504" s="12" t="str">
        <f t="shared" si="252"/>
        <v/>
      </c>
      <c r="AL504" s="12" t="str">
        <f t="shared" si="253"/>
        <v/>
      </c>
      <c r="AM504" s="12" t="str">
        <f t="shared" si="254"/>
        <v/>
      </c>
      <c r="AN504" s="12" t="str">
        <f t="shared" si="255"/>
        <v/>
      </c>
      <c r="AO504" s="12" t="str">
        <f t="shared" si="256"/>
        <v/>
      </c>
      <c r="AP504" s="12" t="str">
        <f t="shared" si="257"/>
        <v/>
      </c>
    </row>
    <row r="505" spans="1:42">
      <c r="A505" s="9" t="str">
        <f t="shared" si="258"/>
        <v/>
      </c>
      <c r="B505" s="22" t="str">
        <f t="shared" si="259"/>
        <v/>
      </c>
      <c r="C505" s="23" t="str">
        <f t="shared" si="260"/>
        <v/>
      </c>
      <c r="D505" s="24" t="str">
        <f t="shared" si="261"/>
        <v/>
      </c>
      <c r="E505" s="24" t="str">
        <f t="shared" si="262"/>
        <v/>
      </c>
      <c r="F505" s="25" t="str">
        <f t="shared" si="263"/>
        <v/>
      </c>
      <c r="G505" s="7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2"/>
      <c r="U505" s="12">
        <f t="shared" si="237"/>
        <v>0</v>
      </c>
      <c r="V505" s="28" t="str">
        <f t="shared" ca="1" si="238"/>
        <v/>
      </c>
      <c r="W505" s="28" t="str">
        <f t="shared" si="239"/>
        <v/>
      </c>
      <c r="X505" s="12" t="str">
        <f t="shared" si="240"/>
        <v/>
      </c>
      <c r="Y505" s="12" t="str">
        <f t="shared" si="241"/>
        <v/>
      </c>
      <c r="Z505" s="12" t="str">
        <f t="shared" si="242"/>
        <v/>
      </c>
      <c r="AA505" s="12" t="str">
        <f t="shared" si="243"/>
        <v/>
      </c>
      <c r="AB505" s="12" t="str">
        <f t="shared" si="244"/>
        <v/>
      </c>
      <c r="AC505" s="12" t="str">
        <f t="shared" si="245"/>
        <v/>
      </c>
      <c r="AD505" s="12" t="str">
        <f t="shared" si="246"/>
        <v/>
      </c>
      <c r="AE505" s="12" t="str">
        <f t="shared" si="247"/>
        <v/>
      </c>
      <c r="AF505" s="12" t="str">
        <f t="shared" si="248"/>
        <v/>
      </c>
      <c r="AG505" s="12"/>
      <c r="AH505" s="12" t="str">
        <f t="shared" si="249"/>
        <v/>
      </c>
      <c r="AI505" s="12" t="str">
        <f t="shared" si="250"/>
        <v/>
      </c>
      <c r="AJ505" s="12" t="str">
        <f t="shared" si="251"/>
        <v/>
      </c>
      <c r="AK505" s="12" t="str">
        <f t="shared" si="252"/>
        <v/>
      </c>
      <c r="AL505" s="12" t="str">
        <f t="shared" si="253"/>
        <v/>
      </c>
      <c r="AM505" s="12" t="str">
        <f t="shared" si="254"/>
        <v/>
      </c>
      <c r="AN505" s="12" t="str">
        <f t="shared" si="255"/>
        <v/>
      </c>
      <c r="AO505" s="12" t="str">
        <f t="shared" si="256"/>
        <v/>
      </c>
      <c r="AP505" s="12" t="str">
        <f t="shared" si="257"/>
        <v/>
      </c>
    </row>
    <row r="506" spans="1:42">
      <c r="A506" s="9" t="str">
        <f t="shared" si="258"/>
        <v/>
      </c>
      <c r="B506" s="22" t="str">
        <f t="shared" si="259"/>
        <v/>
      </c>
      <c r="C506" s="23" t="str">
        <f t="shared" si="260"/>
        <v/>
      </c>
      <c r="D506" s="24" t="str">
        <f t="shared" si="261"/>
        <v/>
      </c>
      <c r="E506" s="24" t="str">
        <f t="shared" si="262"/>
        <v/>
      </c>
      <c r="F506" s="25" t="str">
        <f t="shared" si="263"/>
        <v/>
      </c>
      <c r="G506" s="7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2"/>
      <c r="U506" s="12">
        <f t="shared" si="237"/>
        <v>0</v>
      </c>
      <c r="V506" s="28" t="str">
        <f t="shared" ca="1" si="238"/>
        <v/>
      </c>
      <c r="W506" s="28" t="str">
        <f t="shared" si="239"/>
        <v/>
      </c>
      <c r="X506" s="12" t="str">
        <f t="shared" si="240"/>
        <v/>
      </c>
      <c r="Y506" s="12" t="str">
        <f t="shared" si="241"/>
        <v/>
      </c>
      <c r="Z506" s="12" t="str">
        <f t="shared" si="242"/>
        <v/>
      </c>
      <c r="AA506" s="12" t="str">
        <f t="shared" si="243"/>
        <v/>
      </c>
      <c r="AB506" s="12" t="str">
        <f t="shared" si="244"/>
        <v/>
      </c>
      <c r="AC506" s="12" t="str">
        <f t="shared" si="245"/>
        <v/>
      </c>
      <c r="AD506" s="12" t="str">
        <f t="shared" si="246"/>
        <v/>
      </c>
      <c r="AE506" s="12" t="str">
        <f t="shared" si="247"/>
        <v/>
      </c>
      <c r="AF506" s="12" t="str">
        <f t="shared" si="248"/>
        <v/>
      </c>
      <c r="AG506" s="12"/>
      <c r="AH506" s="12" t="str">
        <f t="shared" si="249"/>
        <v/>
      </c>
      <c r="AI506" s="12" t="str">
        <f t="shared" si="250"/>
        <v/>
      </c>
      <c r="AJ506" s="12" t="str">
        <f t="shared" si="251"/>
        <v/>
      </c>
      <c r="AK506" s="12" t="str">
        <f t="shared" si="252"/>
        <v/>
      </c>
      <c r="AL506" s="12" t="str">
        <f t="shared" si="253"/>
        <v/>
      </c>
      <c r="AM506" s="12" t="str">
        <f t="shared" si="254"/>
        <v/>
      </c>
      <c r="AN506" s="12" t="str">
        <f t="shared" si="255"/>
        <v/>
      </c>
      <c r="AO506" s="12" t="str">
        <f t="shared" si="256"/>
        <v/>
      </c>
      <c r="AP506" s="12" t="str">
        <f t="shared" si="257"/>
        <v/>
      </c>
    </row>
    <row r="507" spans="1:42">
      <c r="A507" s="9" t="str">
        <f t="shared" si="258"/>
        <v/>
      </c>
      <c r="B507" s="22" t="str">
        <f t="shared" si="259"/>
        <v/>
      </c>
      <c r="C507" s="23" t="str">
        <f t="shared" si="260"/>
        <v/>
      </c>
      <c r="D507" s="24" t="str">
        <f t="shared" si="261"/>
        <v/>
      </c>
      <c r="E507" s="24" t="str">
        <f t="shared" si="262"/>
        <v/>
      </c>
      <c r="F507" s="25" t="str">
        <f t="shared" si="263"/>
        <v/>
      </c>
      <c r="G507" s="7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2"/>
      <c r="U507" s="12">
        <f t="shared" si="237"/>
        <v>0</v>
      </c>
      <c r="V507" s="28" t="str">
        <f t="shared" ca="1" si="238"/>
        <v/>
      </c>
      <c r="W507" s="28" t="str">
        <f t="shared" si="239"/>
        <v/>
      </c>
      <c r="X507" s="12" t="str">
        <f t="shared" si="240"/>
        <v/>
      </c>
      <c r="Y507" s="12" t="str">
        <f t="shared" si="241"/>
        <v/>
      </c>
      <c r="Z507" s="12" t="str">
        <f t="shared" si="242"/>
        <v/>
      </c>
      <c r="AA507" s="12" t="str">
        <f t="shared" si="243"/>
        <v/>
      </c>
      <c r="AB507" s="12" t="str">
        <f t="shared" si="244"/>
        <v/>
      </c>
      <c r="AC507" s="12" t="str">
        <f t="shared" si="245"/>
        <v/>
      </c>
      <c r="AD507" s="12" t="str">
        <f t="shared" si="246"/>
        <v/>
      </c>
      <c r="AE507" s="12" t="str">
        <f t="shared" si="247"/>
        <v/>
      </c>
      <c r="AF507" s="12" t="str">
        <f t="shared" si="248"/>
        <v/>
      </c>
      <c r="AG507" s="12"/>
      <c r="AH507" s="12" t="str">
        <f t="shared" si="249"/>
        <v/>
      </c>
      <c r="AI507" s="12" t="str">
        <f t="shared" si="250"/>
        <v/>
      </c>
      <c r="AJ507" s="12" t="str">
        <f t="shared" si="251"/>
        <v/>
      </c>
      <c r="AK507" s="12" t="str">
        <f t="shared" si="252"/>
        <v/>
      </c>
      <c r="AL507" s="12" t="str">
        <f t="shared" si="253"/>
        <v/>
      </c>
      <c r="AM507" s="12" t="str">
        <f t="shared" si="254"/>
        <v/>
      </c>
      <c r="AN507" s="12" t="str">
        <f t="shared" si="255"/>
        <v/>
      </c>
      <c r="AO507" s="12" t="str">
        <f t="shared" si="256"/>
        <v/>
      </c>
      <c r="AP507" s="12" t="str">
        <f t="shared" si="257"/>
        <v/>
      </c>
    </row>
    <row r="508" spans="1:42">
      <c r="A508" s="9" t="str">
        <f t="shared" si="258"/>
        <v/>
      </c>
      <c r="B508" s="22" t="str">
        <f t="shared" si="259"/>
        <v/>
      </c>
      <c r="C508" s="23" t="str">
        <f t="shared" si="260"/>
        <v/>
      </c>
      <c r="D508" s="24" t="str">
        <f t="shared" si="261"/>
        <v/>
      </c>
      <c r="E508" s="24" t="str">
        <f t="shared" si="262"/>
        <v/>
      </c>
      <c r="F508" s="25" t="str">
        <f t="shared" si="263"/>
        <v/>
      </c>
      <c r="G508" s="7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2"/>
      <c r="U508" s="12">
        <f t="shared" si="237"/>
        <v>0</v>
      </c>
      <c r="V508" s="28" t="str">
        <f t="shared" ca="1" si="238"/>
        <v/>
      </c>
      <c r="W508" s="28" t="str">
        <f t="shared" si="239"/>
        <v/>
      </c>
      <c r="X508" s="12" t="str">
        <f t="shared" si="240"/>
        <v/>
      </c>
      <c r="Y508" s="12" t="str">
        <f t="shared" si="241"/>
        <v/>
      </c>
      <c r="Z508" s="12" t="str">
        <f t="shared" si="242"/>
        <v/>
      </c>
      <c r="AA508" s="12" t="str">
        <f t="shared" si="243"/>
        <v/>
      </c>
      <c r="AB508" s="12" t="str">
        <f t="shared" si="244"/>
        <v/>
      </c>
      <c r="AC508" s="12" t="str">
        <f t="shared" si="245"/>
        <v/>
      </c>
      <c r="AD508" s="12" t="str">
        <f t="shared" si="246"/>
        <v/>
      </c>
      <c r="AE508" s="12" t="str">
        <f t="shared" si="247"/>
        <v/>
      </c>
      <c r="AF508" s="12" t="str">
        <f t="shared" si="248"/>
        <v/>
      </c>
      <c r="AG508" s="12"/>
      <c r="AH508" s="12" t="str">
        <f t="shared" si="249"/>
        <v/>
      </c>
      <c r="AI508" s="12" t="str">
        <f t="shared" si="250"/>
        <v/>
      </c>
      <c r="AJ508" s="12" t="str">
        <f t="shared" si="251"/>
        <v/>
      </c>
      <c r="AK508" s="12" t="str">
        <f t="shared" si="252"/>
        <v/>
      </c>
      <c r="AL508" s="12" t="str">
        <f t="shared" si="253"/>
        <v/>
      </c>
      <c r="AM508" s="12" t="str">
        <f t="shared" si="254"/>
        <v/>
      </c>
      <c r="AN508" s="12" t="str">
        <f t="shared" si="255"/>
        <v/>
      </c>
      <c r="AO508" s="12" t="str">
        <f t="shared" si="256"/>
        <v/>
      </c>
      <c r="AP508" s="12" t="str">
        <f t="shared" si="257"/>
        <v/>
      </c>
    </row>
    <row r="509" spans="1:42">
      <c r="A509" s="9" t="str">
        <f t="shared" si="258"/>
        <v/>
      </c>
      <c r="B509" s="22" t="str">
        <f t="shared" si="259"/>
        <v/>
      </c>
      <c r="C509" s="23" t="str">
        <f t="shared" si="260"/>
        <v/>
      </c>
      <c r="D509" s="24" t="str">
        <f t="shared" si="261"/>
        <v/>
      </c>
      <c r="E509" s="24" t="str">
        <f t="shared" si="262"/>
        <v/>
      </c>
      <c r="F509" s="25" t="str">
        <f t="shared" si="263"/>
        <v/>
      </c>
      <c r="G509" s="7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2"/>
      <c r="U509" s="12">
        <f t="shared" si="237"/>
        <v>0</v>
      </c>
      <c r="V509" s="28" t="str">
        <f t="shared" ca="1" si="238"/>
        <v/>
      </c>
      <c r="W509" s="28" t="str">
        <f t="shared" si="239"/>
        <v/>
      </c>
      <c r="X509" s="12" t="str">
        <f t="shared" si="240"/>
        <v/>
      </c>
      <c r="Y509" s="12" t="str">
        <f t="shared" si="241"/>
        <v/>
      </c>
      <c r="Z509" s="12" t="str">
        <f t="shared" si="242"/>
        <v/>
      </c>
      <c r="AA509" s="12" t="str">
        <f t="shared" si="243"/>
        <v/>
      </c>
      <c r="AB509" s="12" t="str">
        <f t="shared" si="244"/>
        <v/>
      </c>
      <c r="AC509" s="12" t="str">
        <f t="shared" si="245"/>
        <v/>
      </c>
      <c r="AD509" s="12" t="str">
        <f t="shared" si="246"/>
        <v/>
      </c>
      <c r="AE509" s="12" t="str">
        <f t="shared" si="247"/>
        <v/>
      </c>
      <c r="AF509" s="12" t="str">
        <f t="shared" si="248"/>
        <v/>
      </c>
      <c r="AG509" s="12"/>
      <c r="AH509" s="12" t="str">
        <f t="shared" si="249"/>
        <v/>
      </c>
      <c r="AI509" s="12" t="str">
        <f t="shared" si="250"/>
        <v/>
      </c>
      <c r="AJ509" s="12" t="str">
        <f t="shared" si="251"/>
        <v/>
      </c>
      <c r="AK509" s="12" t="str">
        <f t="shared" si="252"/>
        <v/>
      </c>
      <c r="AL509" s="12" t="str">
        <f t="shared" si="253"/>
        <v/>
      </c>
      <c r="AM509" s="12" t="str">
        <f t="shared" si="254"/>
        <v/>
      </c>
      <c r="AN509" s="12" t="str">
        <f t="shared" si="255"/>
        <v/>
      </c>
      <c r="AO509" s="12" t="str">
        <f t="shared" si="256"/>
        <v/>
      </c>
      <c r="AP509" s="12" t="str">
        <f t="shared" si="257"/>
        <v/>
      </c>
    </row>
    <row r="510" spans="1:42">
      <c r="A510" s="9" t="str">
        <f t="shared" si="258"/>
        <v/>
      </c>
      <c r="B510" s="22" t="str">
        <f t="shared" si="259"/>
        <v/>
      </c>
      <c r="C510" s="23" t="str">
        <f t="shared" si="260"/>
        <v/>
      </c>
      <c r="D510" s="24" t="str">
        <f t="shared" si="261"/>
        <v/>
      </c>
      <c r="E510" s="24" t="str">
        <f t="shared" si="262"/>
        <v/>
      </c>
      <c r="F510" s="25" t="str">
        <f t="shared" si="263"/>
        <v/>
      </c>
      <c r="G510" s="7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2"/>
      <c r="U510" s="12">
        <f t="shared" si="237"/>
        <v>0</v>
      </c>
      <c r="V510" s="28" t="str">
        <f t="shared" ca="1" si="238"/>
        <v/>
      </c>
      <c r="W510" s="28" t="str">
        <f t="shared" si="239"/>
        <v/>
      </c>
      <c r="X510" s="12" t="str">
        <f t="shared" si="240"/>
        <v/>
      </c>
      <c r="Y510" s="12" t="str">
        <f t="shared" si="241"/>
        <v/>
      </c>
      <c r="Z510" s="12" t="str">
        <f t="shared" si="242"/>
        <v/>
      </c>
      <c r="AA510" s="12" t="str">
        <f t="shared" si="243"/>
        <v/>
      </c>
      <c r="AB510" s="12" t="str">
        <f t="shared" si="244"/>
        <v/>
      </c>
      <c r="AC510" s="12" t="str">
        <f t="shared" si="245"/>
        <v/>
      </c>
      <c r="AD510" s="12" t="str">
        <f t="shared" si="246"/>
        <v/>
      </c>
      <c r="AE510" s="12" t="str">
        <f t="shared" si="247"/>
        <v/>
      </c>
      <c r="AF510" s="12" t="str">
        <f t="shared" si="248"/>
        <v/>
      </c>
      <c r="AG510" s="12"/>
      <c r="AH510" s="12" t="str">
        <f t="shared" si="249"/>
        <v/>
      </c>
      <c r="AI510" s="12" t="str">
        <f t="shared" si="250"/>
        <v/>
      </c>
      <c r="AJ510" s="12" t="str">
        <f t="shared" si="251"/>
        <v/>
      </c>
      <c r="AK510" s="12" t="str">
        <f t="shared" si="252"/>
        <v/>
      </c>
      <c r="AL510" s="12" t="str">
        <f t="shared" si="253"/>
        <v/>
      </c>
      <c r="AM510" s="12" t="str">
        <f t="shared" si="254"/>
        <v/>
      </c>
      <c r="AN510" s="12" t="str">
        <f t="shared" si="255"/>
        <v/>
      </c>
      <c r="AO510" s="12" t="str">
        <f t="shared" si="256"/>
        <v/>
      </c>
      <c r="AP510" s="12" t="str">
        <f t="shared" si="257"/>
        <v/>
      </c>
    </row>
    <row r="511" spans="1:42">
      <c r="A511" s="9" t="str">
        <f t="shared" si="258"/>
        <v/>
      </c>
      <c r="B511" s="22" t="str">
        <f t="shared" si="259"/>
        <v/>
      </c>
      <c r="C511" s="23" t="str">
        <f t="shared" si="260"/>
        <v/>
      </c>
      <c r="D511" s="24" t="str">
        <f t="shared" si="261"/>
        <v/>
      </c>
      <c r="E511" s="24" t="str">
        <f t="shared" si="262"/>
        <v/>
      </c>
      <c r="F511" s="25" t="str">
        <f t="shared" si="263"/>
        <v/>
      </c>
      <c r="G511" s="7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2"/>
      <c r="U511" s="12">
        <f t="shared" ref="U511:U574" si="264">MIN(COUNTA(K$25:S$25),COUNTA(K511:S511))</f>
        <v>0</v>
      </c>
      <c r="V511" s="28" t="str">
        <f t="shared" ref="V511:V574" ca="1" si="265">IF(U511&gt;1,INDIRECT(ADDRESS(U511+1,3,1,1,"Student")),"")</f>
        <v/>
      </c>
      <c r="W511" s="28" t="str">
        <f t="shared" ref="W511:W574" si="266">IF(U511&gt;0,STDEV(X511:AF511),"")</f>
        <v/>
      </c>
      <c r="X511" s="12" t="str">
        <f t="shared" ref="X511:X574" si="267">IF(OR(ISBLANK(K$25),ISBLANK(K511),ISBLANK($I511)),"",$I511-K511+K$25)</f>
        <v/>
      </c>
      <c r="Y511" s="12" t="str">
        <f t="shared" ref="Y511:Y574" si="268">IF(OR(ISBLANK(L$25),ISBLANK(L511),ISBLANK($I511)),"",$I511-L511+L$25)</f>
        <v/>
      </c>
      <c r="Z511" s="12" t="str">
        <f t="shared" ref="Z511:Z574" si="269">IF(OR(ISBLANK(M$25),ISBLANK(M511),ISBLANK($I511)),"",$I511-M511+M$25)</f>
        <v/>
      </c>
      <c r="AA511" s="12" t="str">
        <f t="shared" ref="AA511:AA574" si="270">IF(OR(ISBLANK(N$25),ISBLANK(N511),ISBLANK($I511)),"",$I511-N511+N$25)</f>
        <v/>
      </c>
      <c r="AB511" s="12" t="str">
        <f t="shared" ref="AB511:AB574" si="271">IF(OR(ISBLANK(O$25),ISBLANK(O511),ISBLANK($I511)),"",$I511-O511+O$25)</f>
        <v/>
      </c>
      <c r="AC511" s="12" t="str">
        <f t="shared" ref="AC511:AC574" si="272">IF(OR(ISBLANK(P$25),ISBLANK(P511),ISBLANK($I511)),"",$I511-P511+P$25)</f>
        <v/>
      </c>
      <c r="AD511" s="12" t="str">
        <f t="shared" ref="AD511:AD574" si="273">IF(OR(ISBLANK(Q$25),ISBLANK(Q511),ISBLANK($I511)),"",$I511-Q511+Q$25)</f>
        <v/>
      </c>
      <c r="AE511" s="12" t="str">
        <f t="shared" ref="AE511:AE574" si="274">IF(OR(ISBLANK(R$25),ISBLANK(R511),ISBLANK($I511)),"",$I511-R511+R$25)</f>
        <v/>
      </c>
      <c r="AF511" s="12" t="str">
        <f t="shared" ref="AF511:AF574" si="275">IF(OR(ISBLANK(S$25),ISBLANK(S511),ISBLANK($I511)),"",$I511-S511+S$25)</f>
        <v/>
      </c>
      <c r="AG511" s="12"/>
      <c r="AH511" s="12" t="str">
        <f t="shared" ref="AH511:AH574" si="276">IF(OR(ISBLANK(K$25),ISBLANK(K511),ISBLANK($J511)),"",$J511-K511+K$25)</f>
        <v/>
      </c>
      <c r="AI511" s="12" t="str">
        <f t="shared" ref="AI511:AI574" si="277">IF(OR(ISBLANK(L$25),ISBLANK(L511),ISBLANK($J511)),"",$J511-L511+L$25)</f>
        <v/>
      </c>
      <c r="AJ511" s="12" t="str">
        <f t="shared" ref="AJ511:AJ574" si="278">IF(OR(ISBLANK(M$25),ISBLANK(M511),ISBLANK($J511)),"",$J511-M511+M$25)</f>
        <v/>
      </c>
      <c r="AK511" s="12" t="str">
        <f t="shared" ref="AK511:AK574" si="279">IF(OR(ISBLANK(N$25),ISBLANK(N511),ISBLANK($J511)),"",$J511-N511+N$25)</f>
        <v/>
      </c>
      <c r="AL511" s="12" t="str">
        <f t="shared" ref="AL511:AL574" si="280">IF(OR(ISBLANK(O$25),ISBLANK(O511),ISBLANK($J511)),"",$J511-O511+O$25)</f>
        <v/>
      </c>
      <c r="AM511" s="12" t="str">
        <f t="shared" ref="AM511:AM574" si="281">IF(OR(ISBLANK(P$25),ISBLANK(P511),ISBLANK($J511)),"",$J511-P511+P$25)</f>
        <v/>
      </c>
      <c r="AN511" s="12" t="str">
        <f t="shared" ref="AN511:AN574" si="282">IF(OR(ISBLANK(Q$25),ISBLANK(Q511),ISBLANK($J511)),"",$J511-Q511+Q$25)</f>
        <v/>
      </c>
      <c r="AO511" s="12" t="str">
        <f t="shared" ref="AO511:AO574" si="283">IF(OR(ISBLANK(R$25),ISBLANK(R511),ISBLANK($J511)),"",$J511-R511+R$25)</f>
        <v/>
      </c>
      <c r="AP511" s="12" t="str">
        <f t="shared" ref="AP511:AP574" si="284">IF(OR(ISBLANK(S$25),ISBLANK(S511),ISBLANK($J511)),"",$J511-S511+S$25)</f>
        <v/>
      </c>
    </row>
    <row r="512" spans="1:42">
      <c r="A512" s="9" t="str">
        <f t="shared" si="258"/>
        <v/>
      </c>
      <c r="B512" s="22" t="str">
        <f t="shared" si="259"/>
        <v/>
      </c>
      <c r="C512" s="23" t="str">
        <f t="shared" si="260"/>
        <v/>
      </c>
      <c r="D512" s="24" t="str">
        <f t="shared" si="261"/>
        <v/>
      </c>
      <c r="E512" s="24" t="str">
        <f t="shared" si="262"/>
        <v/>
      </c>
      <c r="F512" s="25" t="str">
        <f t="shared" si="263"/>
        <v/>
      </c>
      <c r="G512" s="7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2"/>
      <c r="U512" s="12">
        <f t="shared" si="264"/>
        <v>0</v>
      </c>
      <c r="V512" s="28" t="str">
        <f t="shared" ca="1" si="265"/>
        <v/>
      </c>
      <c r="W512" s="28" t="str">
        <f t="shared" si="266"/>
        <v/>
      </c>
      <c r="X512" s="12" t="str">
        <f t="shared" si="267"/>
        <v/>
      </c>
      <c r="Y512" s="12" t="str">
        <f t="shared" si="268"/>
        <v/>
      </c>
      <c r="Z512" s="12" t="str">
        <f t="shared" si="269"/>
        <v/>
      </c>
      <c r="AA512" s="12" t="str">
        <f t="shared" si="270"/>
        <v/>
      </c>
      <c r="AB512" s="12" t="str">
        <f t="shared" si="271"/>
        <v/>
      </c>
      <c r="AC512" s="12" t="str">
        <f t="shared" si="272"/>
        <v/>
      </c>
      <c r="AD512" s="12" t="str">
        <f t="shared" si="273"/>
        <v/>
      </c>
      <c r="AE512" s="12" t="str">
        <f t="shared" si="274"/>
        <v/>
      </c>
      <c r="AF512" s="12" t="str">
        <f t="shared" si="275"/>
        <v/>
      </c>
      <c r="AG512" s="12"/>
      <c r="AH512" s="12" t="str">
        <f t="shared" si="276"/>
        <v/>
      </c>
      <c r="AI512" s="12" t="str">
        <f t="shared" si="277"/>
        <v/>
      </c>
      <c r="AJ512" s="12" t="str">
        <f t="shared" si="278"/>
        <v/>
      </c>
      <c r="AK512" s="12" t="str">
        <f t="shared" si="279"/>
        <v/>
      </c>
      <c r="AL512" s="12" t="str">
        <f t="shared" si="280"/>
        <v/>
      </c>
      <c r="AM512" s="12" t="str">
        <f t="shared" si="281"/>
        <v/>
      </c>
      <c r="AN512" s="12" t="str">
        <f t="shared" si="282"/>
        <v/>
      </c>
      <c r="AO512" s="12" t="str">
        <f t="shared" si="283"/>
        <v/>
      </c>
      <c r="AP512" s="12" t="str">
        <f t="shared" si="284"/>
        <v/>
      </c>
    </row>
    <row r="513" spans="1:42">
      <c r="A513" s="9" t="str">
        <f t="shared" ref="A513:A576" si="285">IF(ISBLANK(G513),"",G513)</f>
        <v/>
      </c>
      <c r="B513" s="22" t="str">
        <f t="shared" ref="B513:B576" si="286">IF(ISBLANK(G513),"",G513+2415018.5)</f>
        <v/>
      </c>
      <c r="C513" s="23" t="str">
        <f t="shared" ref="C513:C576" si="287">IF(U513&gt;0,AVERAGE(X513:AF513),"")</f>
        <v/>
      </c>
      <c r="D513" s="24" t="str">
        <f t="shared" ref="D513:D576" si="288">IF(U513&gt;0,STDEV(X513:AF513)/SQRT(U513)*V513,"")</f>
        <v/>
      </c>
      <c r="E513" s="24" t="str">
        <f t="shared" ref="E513:E576" si="289">IF(ISBLANK(W513),"",W513)</f>
        <v/>
      </c>
      <c r="F513" s="25" t="str">
        <f t="shared" ref="F513:F576" si="290">IF(U513&gt;0,AVERAGE(AH513:AP513),"")</f>
        <v/>
      </c>
      <c r="G513" s="7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2"/>
      <c r="U513" s="12">
        <f t="shared" si="264"/>
        <v>0</v>
      </c>
      <c r="V513" s="28" t="str">
        <f t="shared" ca="1" si="265"/>
        <v/>
      </c>
      <c r="W513" s="28" t="str">
        <f t="shared" si="266"/>
        <v/>
      </c>
      <c r="X513" s="12" t="str">
        <f t="shared" si="267"/>
        <v/>
      </c>
      <c r="Y513" s="12" t="str">
        <f t="shared" si="268"/>
        <v/>
      </c>
      <c r="Z513" s="12" t="str">
        <f t="shared" si="269"/>
        <v/>
      </c>
      <c r="AA513" s="12" t="str">
        <f t="shared" si="270"/>
        <v/>
      </c>
      <c r="AB513" s="12" t="str">
        <f t="shared" si="271"/>
        <v/>
      </c>
      <c r="AC513" s="12" t="str">
        <f t="shared" si="272"/>
        <v/>
      </c>
      <c r="AD513" s="12" t="str">
        <f t="shared" si="273"/>
        <v/>
      </c>
      <c r="AE513" s="12" t="str">
        <f t="shared" si="274"/>
        <v/>
      </c>
      <c r="AF513" s="12" t="str">
        <f t="shared" si="275"/>
        <v/>
      </c>
      <c r="AG513" s="12"/>
      <c r="AH513" s="12" t="str">
        <f t="shared" si="276"/>
        <v/>
      </c>
      <c r="AI513" s="12" t="str">
        <f t="shared" si="277"/>
        <v/>
      </c>
      <c r="AJ513" s="12" t="str">
        <f t="shared" si="278"/>
        <v/>
      </c>
      <c r="AK513" s="12" t="str">
        <f t="shared" si="279"/>
        <v/>
      </c>
      <c r="AL513" s="12" t="str">
        <f t="shared" si="280"/>
        <v/>
      </c>
      <c r="AM513" s="12" t="str">
        <f t="shared" si="281"/>
        <v/>
      </c>
      <c r="AN513" s="12" t="str">
        <f t="shared" si="282"/>
        <v/>
      </c>
      <c r="AO513" s="12" t="str">
        <f t="shared" si="283"/>
        <v/>
      </c>
      <c r="AP513" s="12" t="str">
        <f t="shared" si="284"/>
        <v/>
      </c>
    </row>
    <row r="514" spans="1:42">
      <c r="A514" s="9" t="str">
        <f t="shared" si="285"/>
        <v/>
      </c>
      <c r="B514" s="22" t="str">
        <f t="shared" si="286"/>
        <v/>
      </c>
      <c r="C514" s="23" t="str">
        <f t="shared" si="287"/>
        <v/>
      </c>
      <c r="D514" s="24" t="str">
        <f t="shared" si="288"/>
        <v/>
      </c>
      <c r="E514" s="24" t="str">
        <f t="shared" si="289"/>
        <v/>
      </c>
      <c r="F514" s="25" t="str">
        <f t="shared" si="290"/>
        <v/>
      </c>
      <c r="G514" s="7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2"/>
      <c r="U514" s="12">
        <f t="shared" si="264"/>
        <v>0</v>
      </c>
      <c r="V514" s="28" t="str">
        <f t="shared" ca="1" si="265"/>
        <v/>
      </c>
      <c r="W514" s="28" t="str">
        <f t="shared" si="266"/>
        <v/>
      </c>
      <c r="X514" s="12" t="str">
        <f t="shared" si="267"/>
        <v/>
      </c>
      <c r="Y514" s="12" t="str">
        <f t="shared" si="268"/>
        <v/>
      </c>
      <c r="Z514" s="12" t="str">
        <f t="shared" si="269"/>
        <v/>
      </c>
      <c r="AA514" s="12" t="str">
        <f t="shared" si="270"/>
        <v/>
      </c>
      <c r="AB514" s="12" t="str">
        <f t="shared" si="271"/>
        <v/>
      </c>
      <c r="AC514" s="12" t="str">
        <f t="shared" si="272"/>
        <v/>
      </c>
      <c r="AD514" s="12" t="str">
        <f t="shared" si="273"/>
        <v/>
      </c>
      <c r="AE514" s="12" t="str">
        <f t="shared" si="274"/>
        <v/>
      </c>
      <c r="AF514" s="12" t="str">
        <f t="shared" si="275"/>
        <v/>
      </c>
      <c r="AG514" s="12"/>
      <c r="AH514" s="12" t="str">
        <f t="shared" si="276"/>
        <v/>
      </c>
      <c r="AI514" s="12" t="str">
        <f t="shared" si="277"/>
        <v/>
      </c>
      <c r="AJ514" s="12" t="str">
        <f t="shared" si="278"/>
        <v/>
      </c>
      <c r="AK514" s="12" t="str">
        <f t="shared" si="279"/>
        <v/>
      </c>
      <c r="AL514" s="12" t="str">
        <f t="shared" si="280"/>
        <v/>
      </c>
      <c r="AM514" s="12" t="str">
        <f t="shared" si="281"/>
        <v/>
      </c>
      <c r="AN514" s="12" t="str">
        <f t="shared" si="282"/>
        <v/>
      </c>
      <c r="AO514" s="12" t="str">
        <f t="shared" si="283"/>
        <v/>
      </c>
      <c r="AP514" s="12" t="str">
        <f t="shared" si="284"/>
        <v/>
      </c>
    </row>
    <row r="515" spans="1:42">
      <c r="A515" s="9" t="str">
        <f t="shared" si="285"/>
        <v/>
      </c>
      <c r="B515" s="22" t="str">
        <f t="shared" si="286"/>
        <v/>
      </c>
      <c r="C515" s="23" t="str">
        <f t="shared" si="287"/>
        <v/>
      </c>
      <c r="D515" s="24" t="str">
        <f t="shared" si="288"/>
        <v/>
      </c>
      <c r="E515" s="24" t="str">
        <f t="shared" si="289"/>
        <v/>
      </c>
      <c r="F515" s="25" t="str">
        <f t="shared" si="290"/>
        <v/>
      </c>
      <c r="G515" s="7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2"/>
      <c r="U515" s="12">
        <f t="shared" si="264"/>
        <v>0</v>
      </c>
      <c r="V515" s="28" t="str">
        <f t="shared" ca="1" si="265"/>
        <v/>
      </c>
      <c r="W515" s="28" t="str">
        <f t="shared" si="266"/>
        <v/>
      </c>
      <c r="X515" s="12" t="str">
        <f t="shared" si="267"/>
        <v/>
      </c>
      <c r="Y515" s="12" t="str">
        <f t="shared" si="268"/>
        <v/>
      </c>
      <c r="Z515" s="12" t="str">
        <f t="shared" si="269"/>
        <v/>
      </c>
      <c r="AA515" s="12" t="str">
        <f t="shared" si="270"/>
        <v/>
      </c>
      <c r="AB515" s="12" t="str">
        <f t="shared" si="271"/>
        <v/>
      </c>
      <c r="AC515" s="12" t="str">
        <f t="shared" si="272"/>
        <v/>
      </c>
      <c r="AD515" s="12" t="str">
        <f t="shared" si="273"/>
        <v/>
      </c>
      <c r="AE515" s="12" t="str">
        <f t="shared" si="274"/>
        <v/>
      </c>
      <c r="AF515" s="12" t="str">
        <f t="shared" si="275"/>
        <v/>
      </c>
      <c r="AG515" s="12"/>
      <c r="AH515" s="12" t="str">
        <f t="shared" si="276"/>
        <v/>
      </c>
      <c r="AI515" s="12" t="str">
        <f t="shared" si="277"/>
        <v/>
      </c>
      <c r="AJ515" s="12" t="str">
        <f t="shared" si="278"/>
        <v/>
      </c>
      <c r="AK515" s="12" t="str">
        <f t="shared" si="279"/>
        <v/>
      </c>
      <c r="AL515" s="12" t="str">
        <f t="shared" si="280"/>
        <v/>
      </c>
      <c r="AM515" s="12" t="str">
        <f t="shared" si="281"/>
        <v/>
      </c>
      <c r="AN515" s="12" t="str">
        <f t="shared" si="282"/>
        <v/>
      </c>
      <c r="AO515" s="12" t="str">
        <f t="shared" si="283"/>
        <v/>
      </c>
      <c r="AP515" s="12" t="str">
        <f t="shared" si="284"/>
        <v/>
      </c>
    </row>
    <row r="516" spans="1:42">
      <c r="A516" s="9" t="str">
        <f t="shared" si="285"/>
        <v/>
      </c>
      <c r="B516" s="22" t="str">
        <f t="shared" si="286"/>
        <v/>
      </c>
      <c r="C516" s="23" t="str">
        <f t="shared" si="287"/>
        <v/>
      </c>
      <c r="D516" s="24" t="str">
        <f t="shared" si="288"/>
        <v/>
      </c>
      <c r="E516" s="24" t="str">
        <f t="shared" si="289"/>
        <v/>
      </c>
      <c r="F516" s="25" t="str">
        <f t="shared" si="290"/>
        <v/>
      </c>
      <c r="G516" s="7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2"/>
      <c r="U516" s="12">
        <f t="shared" si="264"/>
        <v>0</v>
      </c>
      <c r="V516" s="28" t="str">
        <f t="shared" ca="1" si="265"/>
        <v/>
      </c>
      <c r="W516" s="28" t="str">
        <f t="shared" si="266"/>
        <v/>
      </c>
      <c r="X516" s="12" t="str">
        <f t="shared" si="267"/>
        <v/>
      </c>
      <c r="Y516" s="12" t="str">
        <f t="shared" si="268"/>
        <v/>
      </c>
      <c r="Z516" s="12" t="str">
        <f t="shared" si="269"/>
        <v/>
      </c>
      <c r="AA516" s="12" t="str">
        <f t="shared" si="270"/>
        <v/>
      </c>
      <c r="AB516" s="12" t="str">
        <f t="shared" si="271"/>
        <v/>
      </c>
      <c r="AC516" s="12" t="str">
        <f t="shared" si="272"/>
        <v/>
      </c>
      <c r="AD516" s="12" t="str">
        <f t="shared" si="273"/>
        <v/>
      </c>
      <c r="AE516" s="12" t="str">
        <f t="shared" si="274"/>
        <v/>
      </c>
      <c r="AF516" s="12" t="str">
        <f t="shared" si="275"/>
        <v/>
      </c>
      <c r="AG516" s="12"/>
      <c r="AH516" s="12" t="str">
        <f t="shared" si="276"/>
        <v/>
      </c>
      <c r="AI516" s="12" t="str">
        <f t="shared" si="277"/>
        <v/>
      </c>
      <c r="AJ516" s="12" t="str">
        <f t="shared" si="278"/>
        <v/>
      </c>
      <c r="AK516" s="12" t="str">
        <f t="shared" si="279"/>
        <v/>
      </c>
      <c r="AL516" s="12" t="str">
        <f t="shared" si="280"/>
        <v/>
      </c>
      <c r="AM516" s="12" t="str">
        <f t="shared" si="281"/>
        <v/>
      </c>
      <c r="AN516" s="12" t="str">
        <f t="shared" si="282"/>
        <v/>
      </c>
      <c r="AO516" s="12" t="str">
        <f t="shared" si="283"/>
        <v/>
      </c>
      <c r="AP516" s="12" t="str">
        <f t="shared" si="284"/>
        <v/>
      </c>
    </row>
    <row r="517" spans="1:42">
      <c r="A517" s="9" t="str">
        <f t="shared" si="285"/>
        <v/>
      </c>
      <c r="B517" s="22" t="str">
        <f t="shared" si="286"/>
        <v/>
      </c>
      <c r="C517" s="23" t="str">
        <f t="shared" si="287"/>
        <v/>
      </c>
      <c r="D517" s="24" t="str">
        <f t="shared" si="288"/>
        <v/>
      </c>
      <c r="E517" s="24" t="str">
        <f t="shared" si="289"/>
        <v/>
      </c>
      <c r="F517" s="25" t="str">
        <f t="shared" si="290"/>
        <v/>
      </c>
      <c r="G517" s="7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2"/>
      <c r="U517" s="12">
        <f t="shared" si="264"/>
        <v>0</v>
      </c>
      <c r="V517" s="28" t="str">
        <f t="shared" ca="1" si="265"/>
        <v/>
      </c>
      <c r="W517" s="28" t="str">
        <f t="shared" si="266"/>
        <v/>
      </c>
      <c r="X517" s="12" t="str">
        <f t="shared" si="267"/>
        <v/>
      </c>
      <c r="Y517" s="12" t="str">
        <f t="shared" si="268"/>
        <v/>
      </c>
      <c r="Z517" s="12" t="str">
        <f t="shared" si="269"/>
        <v/>
      </c>
      <c r="AA517" s="12" t="str">
        <f t="shared" si="270"/>
        <v/>
      </c>
      <c r="AB517" s="12" t="str">
        <f t="shared" si="271"/>
        <v/>
      </c>
      <c r="AC517" s="12" t="str">
        <f t="shared" si="272"/>
        <v/>
      </c>
      <c r="AD517" s="12" t="str">
        <f t="shared" si="273"/>
        <v/>
      </c>
      <c r="AE517" s="12" t="str">
        <f t="shared" si="274"/>
        <v/>
      </c>
      <c r="AF517" s="12" t="str">
        <f t="shared" si="275"/>
        <v/>
      </c>
      <c r="AG517" s="12"/>
      <c r="AH517" s="12" t="str">
        <f t="shared" si="276"/>
        <v/>
      </c>
      <c r="AI517" s="12" t="str">
        <f t="shared" si="277"/>
        <v/>
      </c>
      <c r="AJ517" s="12" t="str">
        <f t="shared" si="278"/>
        <v/>
      </c>
      <c r="AK517" s="12" t="str">
        <f t="shared" si="279"/>
        <v/>
      </c>
      <c r="AL517" s="12" t="str">
        <f t="shared" si="280"/>
        <v/>
      </c>
      <c r="AM517" s="12" t="str">
        <f t="shared" si="281"/>
        <v/>
      </c>
      <c r="AN517" s="12" t="str">
        <f t="shared" si="282"/>
        <v/>
      </c>
      <c r="AO517" s="12" t="str">
        <f t="shared" si="283"/>
        <v/>
      </c>
      <c r="AP517" s="12" t="str">
        <f t="shared" si="284"/>
        <v/>
      </c>
    </row>
    <row r="518" spans="1:42">
      <c r="A518" s="9" t="str">
        <f t="shared" si="285"/>
        <v/>
      </c>
      <c r="B518" s="22" t="str">
        <f t="shared" si="286"/>
        <v/>
      </c>
      <c r="C518" s="23" t="str">
        <f t="shared" si="287"/>
        <v/>
      </c>
      <c r="D518" s="24" t="str">
        <f t="shared" si="288"/>
        <v/>
      </c>
      <c r="E518" s="24" t="str">
        <f t="shared" si="289"/>
        <v/>
      </c>
      <c r="F518" s="25" t="str">
        <f t="shared" si="290"/>
        <v/>
      </c>
      <c r="G518" s="7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2"/>
      <c r="U518" s="12">
        <f t="shared" si="264"/>
        <v>0</v>
      </c>
      <c r="V518" s="28" t="str">
        <f t="shared" ca="1" si="265"/>
        <v/>
      </c>
      <c r="W518" s="28" t="str">
        <f t="shared" si="266"/>
        <v/>
      </c>
      <c r="X518" s="12" t="str">
        <f t="shared" si="267"/>
        <v/>
      </c>
      <c r="Y518" s="12" t="str">
        <f t="shared" si="268"/>
        <v/>
      </c>
      <c r="Z518" s="12" t="str">
        <f t="shared" si="269"/>
        <v/>
      </c>
      <c r="AA518" s="12" t="str">
        <f t="shared" si="270"/>
        <v/>
      </c>
      <c r="AB518" s="12" t="str">
        <f t="shared" si="271"/>
        <v/>
      </c>
      <c r="AC518" s="12" t="str">
        <f t="shared" si="272"/>
        <v/>
      </c>
      <c r="AD518" s="12" t="str">
        <f t="shared" si="273"/>
        <v/>
      </c>
      <c r="AE518" s="12" t="str">
        <f t="shared" si="274"/>
        <v/>
      </c>
      <c r="AF518" s="12" t="str">
        <f t="shared" si="275"/>
        <v/>
      </c>
      <c r="AG518" s="12"/>
      <c r="AH518" s="12" t="str">
        <f t="shared" si="276"/>
        <v/>
      </c>
      <c r="AI518" s="12" t="str">
        <f t="shared" si="277"/>
        <v/>
      </c>
      <c r="AJ518" s="12" t="str">
        <f t="shared" si="278"/>
        <v/>
      </c>
      <c r="AK518" s="12" t="str">
        <f t="shared" si="279"/>
        <v/>
      </c>
      <c r="AL518" s="12" t="str">
        <f t="shared" si="280"/>
        <v/>
      </c>
      <c r="AM518" s="12" t="str">
        <f t="shared" si="281"/>
        <v/>
      </c>
      <c r="AN518" s="12" t="str">
        <f t="shared" si="282"/>
        <v/>
      </c>
      <c r="AO518" s="12" t="str">
        <f t="shared" si="283"/>
        <v/>
      </c>
      <c r="AP518" s="12" t="str">
        <f t="shared" si="284"/>
        <v/>
      </c>
    </row>
    <row r="519" spans="1:42">
      <c r="A519" s="9" t="str">
        <f t="shared" si="285"/>
        <v/>
      </c>
      <c r="B519" s="22" t="str">
        <f t="shared" si="286"/>
        <v/>
      </c>
      <c r="C519" s="23" t="str">
        <f t="shared" si="287"/>
        <v/>
      </c>
      <c r="D519" s="24" t="str">
        <f t="shared" si="288"/>
        <v/>
      </c>
      <c r="E519" s="24" t="str">
        <f t="shared" si="289"/>
        <v/>
      </c>
      <c r="F519" s="25" t="str">
        <f t="shared" si="290"/>
        <v/>
      </c>
      <c r="G519" s="7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2"/>
      <c r="U519" s="12">
        <f t="shared" si="264"/>
        <v>0</v>
      </c>
      <c r="V519" s="28" t="str">
        <f t="shared" ca="1" si="265"/>
        <v/>
      </c>
      <c r="W519" s="28" t="str">
        <f t="shared" si="266"/>
        <v/>
      </c>
      <c r="X519" s="12" t="str">
        <f t="shared" si="267"/>
        <v/>
      </c>
      <c r="Y519" s="12" t="str">
        <f t="shared" si="268"/>
        <v/>
      </c>
      <c r="Z519" s="12" t="str">
        <f t="shared" si="269"/>
        <v/>
      </c>
      <c r="AA519" s="12" t="str">
        <f t="shared" si="270"/>
        <v/>
      </c>
      <c r="AB519" s="12" t="str">
        <f t="shared" si="271"/>
        <v/>
      </c>
      <c r="AC519" s="12" t="str">
        <f t="shared" si="272"/>
        <v/>
      </c>
      <c r="AD519" s="12" t="str">
        <f t="shared" si="273"/>
        <v/>
      </c>
      <c r="AE519" s="12" t="str">
        <f t="shared" si="274"/>
        <v/>
      </c>
      <c r="AF519" s="12" t="str">
        <f t="shared" si="275"/>
        <v/>
      </c>
      <c r="AG519" s="12"/>
      <c r="AH519" s="12" t="str">
        <f t="shared" si="276"/>
        <v/>
      </c>
      <c r="AI519" s="12" t="str">
        <f t="shared" si="277"/>
        <v/>
      </c>
      <c r="AJ519" s="12" t="str">
        <f t="shared" si="278"/>
        <v/>
      </c>
      <c r="AK519" s="12" t="str">
        <f t="shared" si="279"/>
        <v/>
      </c>
      <c r="AL519" s="12" t="str">
        <f t="shared" si="280"/>
        <v/>
      </c>
      <c r="AM519" s="12" t="str">
        <f t="shared" si="281"/>
        <v/>
      </c>
      <c r="AN519" s="12" t="str">
        <f t="shared" si="282"/>
        <v/>
      </c>
      <c r="AO519" s="12" t="str">
        <f t="shared" si="283"/>
        <v/>
      </c>
      <c r="AP519" s="12" t="str">
        <f t="shared" si="284"/>
        <v/>
      </c>
    </row>
    <row r="520" spans="1:42">
      <c r="A520" s="9" t="str">
        <f t="shared" si="285"/>
        <v/>
      </c>
      <c r="B520" s="22" t="str">
        <f t="shared" si="286"/>
        <v/>
      </c>
      <c r="C520" s="23" t="str">
        <f t="shared" si="287"/>
        <v/>
      </c>
      <c r="D520" s="24" t="str">
        <f t="shared" si="288"/>
        <v/>
      </c>
      <c r="E520" s="24" t="str">
        <f t="shared" si="289"/>
        <v/>
      </c>
      <c r="F520" s="25" t="str">
        <f t="shared" si="290"/>
        <v/>
      </c>
      <c r="G520" s="7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2"/>
      <c r="U520" s="12">
        <f t="shared" si="264"/>
        <v>0</v>
      </c>
      <c r="V520" s="28" t="str">
        <f t="shared" ca="1" si="265"/>
        <v/>
      </c>
      <c r="W520" s="28" t="str">
        <f t="shared" si="266"/>
        <v/>
      </c>
      <c r="X520" s="12" t="str">
        <f t="shared" si="267"/>
        <v/>
      </c>
      <c r="Y520" s="12" t="str">
        <f t="shared" si="268"/>
        <v/>
      </c>
      <c r="Z520" s="12" t="str">
        <f t="shared" si="269"/>
        <v/>
      </c>
      <c r="AA520" s="12" t="str">
        <f t="shared" si="270"/>
        <v/>
      </c>
      <c r="AB520" s="12" t="str">
        <f t="shared" si="271"/>
        <v/>
      </c>
      <c r="AC520" s="12" t="str">
        <f t="shared" si="272"/>
        <v/>
      </c>
      <c r="AD520" s="12" t="str">
        <f t="shared" si="273"/>
        <v/>
      </c>
      <c r="AE520" s="12" t="str">
        <f t="shared" si="274"/>
        <v/>
      </c>
      <c r="AF520" s="12" t="str">
        <f t="shared" si="275"/>
        <v/>
      </c>
      <c r="AG520" s="12"/>
      <c r="AH520" s="12" t="str">
        <f t="shared" si="276"/>
        <v/>
      </c>
      <c r="AI520" s="12" t="str">
        <f t="shared" si="277"/>
        <v/>
      </c>
      <c r="AJ520" s="12" t="str">
        <f t="shared" si="278"/>
        <v/>
      </c>
      <c r="AK520" s="12" t="str">
        <f t="shared" si="279"/>
        <v/>
      </c>
      <c r="AL520" s="12" t="str">
        <f t="shared" si="280"/>
        <v/>
      </c>
      <c r="AM520" s="12" t="str">
        <f t="shared" si="281"/>
        <v/>
      </c>
      <c r="AN520" s="12" t="str">
        <f t="shared" si="282"/>
        <v/>
      </c>
      <c r="AO520" s="12" t="str">
        <f t="shared" si="283"/>
        <v/>
      </c>
      <c r="AP520" s="12" t="str">
        <f t="shared" si="284"/>
        <v/>
      </c>
    </row>
    <row r="521" spans="1:42">
      <c r="A521" s="9" t="str">
        <f t="shared" si="285"/>
        <v/>
      </c>
      <c r="B521" s="22" t="str">
        <f t="shared" si="286"/>
        <v/>
      </c>
      <c r="C521" s="23" t="str">
        <f t="shared" si="287"/>
        <v/>
      </c>
      <c r="D521" s="24" t="str">
        <f t="shared" si="288"/>
        <v/>
      </c>
      <c r="E521" s="24" t="str">
        <f t="shared" si="289"/>
        <v/>
      </c>
      <c r="F521" s="25" t="str">
        <f t="shared" si="290"/>
        <v/>
      </c>
      <c r="G521" s="7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2"/>
      <c r="U521" s="12">
        <f t="shared" si="264"/>
        <v>0</v>
      </c>
      <c r="V521" s="28" t="str">
        <f t="shared" ca="1" si="265"/>
        <v/>
      </c>
      <c r="W521" s="28" t="str">
        <f t="shared" si="266"/>
        <v/>
      </c>
      <c r="X521" s="12" t="str">
        <f t="shared" si="267"/>
        <v/>
      </c>
      <c r="Y521" s="12" t="str">
        <f t="shared" si="268"/>
        <v/>
      </c>
      <c r="Z521" s="12" t="str">
        <f t="shared" si="269"/>
        <v/>
      </c>
      <c r="AA521" s="12" t="str">
        <f t="shared" si="270"/>
        <v/>
      </c>
      <c r="AB521" s="12" t="str">
        <f t="shared" si="271"/>
        <v/>
      </c>
      <c r="AC521" s="12" t="str">
        <f t="shared" si="272"/>
        <v/>
      </c>
      <c r="AD521" s="12" t="str">
        <f t="shared" si="273"/>
        <v/>
      </c>
      <c r="AE521" s="12" t="str">
        <f t="shared" si="274"/>
        <v/>
      </c>
      <c r="AF521" s="12" t="str">
        <f t="shared" si="275"/>
        <v/>
      </c>
      <c r="AG521" s="12"/>
      <c r="AH521" s="12" t="str">
        <f t="shared" si="276"/>
        <v/>
      </c>
      <c r="AI521" s="12" t="str">
        <f t="shared" si="277"/>
        <v/>
      </c>
      <c r="AJ521" s="12" t="str">
        <f t="shared" si="278"/>
        <v/>
      </c>
      <c r="AK521" s="12" t="str">
        <f t="shared" si="279"/>
        <v/>
      </c>
      <c r="AL521" s="12" t="str">
        <f t="shared" si="280"/>
        <v/>
      </c>
      <c r="AM521" s="12" t="str">
        <f t="shared" si="281"/>
        <v/>
      </c>
      <c r="AN521" s="12" t="str">
        <f t="shared" si="282"/>
        <v/>
      </c>
      <c r="AO521" s="12" t="str">
        <f t="shared" si="283"/>
        <v/>
      </c>
      <c r="AP521" s="12" t="str">
        <f t="shared" si="284"/>
        <v/>
      </c>
    </row>
    <row r="522" spans="1:42">
      <c r="A522" s="9" t="str">
        <f t="shared" si="285"/>
        <v/>
      </c>
      <c r="B522" s="22" t="str">
        <f t="shared" si="286"/>
        <v/>
      </c>
      <c r="C522" s="23" t="str">
        <f t="shared" si="287"/>
        <v/>
      </c>
      <c r="D522" s="24" t="str">
        <f t="shared" si="288"/>
        <v/>
      </c>
      <c r="E522" s="24" t="str">
        <f t="shared" si="289"/>
        <v/>
      </c>
      <c r="F522" s="25" t="str">
        <f t="shared" si="290"/>
        <v/>
      </c>
      <c r="G522" s="7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2"/>
      <c r="U522" s="12">
        <f t="shared" si="264"/>
        <v>0</v>
      </c>
      <c r="V522" s="28" t="str">
        <f t="shared" ca="1" si="265"/>
        <v/>
      </c>
      <c r="W522" s="28" t="str">
        <f t="shared" si="266"/>
        <v/>
      </c>
      <c r="X522" s="12" t="str">
        <f t="shared" si="267"/>
        <v/>
      </c>
      <c r="Y522" s="12" t="str">
        <f t="shared" si="268"/>
        <v/>
      </c>
      <c r="Z522" s="12" t="str">
        <f t="shared" si="269"/>
        <v/>
      </c>
      <c r="AA522" s="12" t="str">
        <f t="shared" si="270"/>
        <v/>
      </c>
      <c r="AB522" s="12" t="str">
        <f t="shared" si="271"/>
        <v/>
      </c>
      <c r="AC522" s="12" t="str">
        <f t="shared" si="272"/>
        <v/>
      </c>
      <c r="AD522" s="12" t="str">
        <f t="shared" si="273"/>
        <v/>
      </c>
      <c r="AE522" s="12" t="str">
        <f t="shared" si="274"/>
        <v/>
      </c>
      <c r="AF522" s="12" t="str">
        <f t="shared" si="275"/>
        <v/>
      </c>
      <c r="AG522" s="12"/>
      <c r="AH522" s="12" t="str">
        <f t="shared" si="276"/>
        <v/>
      </c>
      <c r="AI522" s="12" t="str">
        <f t="shared" si="277"/>
        <v/>
      </c>
      <c r="AJ522" s="12" t="str">
        <f t="shared" si="278"/>
        <v/>
      </c>
      <c r="AK522" s="12" t="str">
        <f t="shared" si="279"/>
        <v/>
      </c>
      <c r="AL522" s="12" t="str">
        <f t="shared" si="280"/>
        <v/>
      </c>
      <c r="AM522" s="12" t="str">
        <f t="shared" si="281"/>
        <v/>
      </c>
      <c r="AN522" s="12" t="str">
        <f t="shared" si="282"/>
        <v/>
      </c>
      <c r="AO522" s="12" t="str">
        <f t="shared" si="283"/>
        <v/>
      </c>
      <c r="AP522" s="12" t="str">
        <f t="shared" si="284"/>
        <v/>
      </c>
    </row>
    <row r="523" spans="1:42">
      <c r="A523" s="9" t="str">
        <f t="shared" si="285"/>
        <v/>
      </c>
      <c r="B523" s="22" t="str">
        <f t="shared" si="286"/>
        <v/>
      </c>
      <c r="C523" s="23" t="str">
        <f t="shared" si="287"/>
        <v/>
      </c>
      <c r="D523" s="24" t="str">
        <f t="shared" si="288"/>
        <v/>
      </c>
      <c r="E523" s="24" t="str">
        <f t="shared" si="289"/>
        <v/>
      </c>
      <c r="F523" s="25" t="str">
        <f t="shared" si="290"/>
        <v/>
      </c>
      <c r="G523" s="7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2"/>
      <c r="U523" s="12">
        <f t="shared" si="264"/>
        <v>0</v>
      </c>
      <c r="V523" s="28" t="str">
        <f t="shared" ca="1" si="265"/>
        <v/>
      </c>
      <c r="W523" s="28" t="str">
        <f t="shared" si="266"/>
        <v/>
      </c>
      <c r="X523" s="12" t="str">
        <f t="shared" si="267"/>
        <v/>
      </c>
      <c r="Y523" s="12" t="str">
        <f t="shared" si="268"/>
        <v/>
      </c>
      <c r="Z523" s="12" t="str">
        <f t="shared" si="269"/>
        <v/>
      </c>
      <c r="AA523" s="12" t="str">
        <f t="shared" si="270"/>
        <v/>
      </c>
      <c r="AB523" s="12" t="str">
        <f t="shared" si="271"/>
        <v/>
      </c>
      <c r="AC523" s="12" t="str">
        <f t="shared" si="272"/>
        <v/>
      </c>
      <c r="AD523" s="12" t="str">
        <f t="shared" si="273"/>
        <v/>
      </c>
      <c r="AE523" s="12" t="str">
        <f t="shared" si="274"/>
        <v/>
      </c>
      <c r="AF523" s="12" t="str">
        <f t="shared" si="275"/>
        <v/>
      </c>
      <c r="AG523" s="12"/>
      <c r="AH523" s="12" t="str">
        <f t="shared" si="276"/>
        <v/>
      </c>
      <c r="AI523" s="12" t="str">
        <f t="shared" si="277"/>
        <v/>
      </c>
      <c r="AJ523" s="12" t="str">
        <f t="shared" si="278"/>
        <v/>
      </c>
      <c r="AK523" s="12" t="str">
        <f t="shared" si="279"/>
        <v/>
      </c>
      <c r="AL523" s="12" t="str">
        <f t="shared" si="280"/>
        <v/>
      </c>
      <c r="AM523" s="12" t="str">
        <f t="shared" si="281"/>
        <v/>
      </c>
      <c r="AN523" s="12" t="str">
        <f t="shared" si="282"/>
        <v/>
      </c>
      <c r="AO523" s="12" t="str">
        <f t="shared" si="283"/>
        <v/>
      </c>
      <c r="AP523" s="12" t="str">
        <f t="shared" si="284"/>
        <v/>
      </c>
    </row>
    <row r="524" spans="1:42">
      <c r="A524" s="9" t="str">
        <f t="shared" si="285"/>
        <v/>
      </c>
      <c r="B524" s="22" t="str">
        <f t="shared" si="286"/>
        <v/>
      </c>
      <c r="C524" s="23" t="str">
        <f t="shared" si="287"/>
        <v/>
      </c>
      <c r="D524" s="24" t="str">
        <f t="shared" si="288"/>
        <v/>
      </c>
      <c r="E524" s="24" t="str">
        <f t="shared" si="289"/>
        <v/>
      </c>
      <c r="F524" s="25" t="str">
        <f t="shared" si="290"/>
        <v/>
      </c>
      <c r="G524" s="7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2"/>
      <c r="U524" s="12">
        <f t="shared" si="264"/>
        <v>0</v>
      </c>
      <c r="V524" s="28" t="str">
        <f t="shared" ca="1" si="265"/>
        <v/>
      </c>
      <c r="W524" s="28" t="str">
        <f t="shared" si="266"/>
        <v/>
      </c>
      <c r="X524" s="12" t="str">
        <f t="shared" si="267"/>
        <v/>
      </c>
      <c r="Y524" s="12" t="str">
        <f t="shared" si="268"/>
        <v/>
      </c>
      <c r="Z524" s="12" t="str">
        <f t="shared" si="269"/>
        <v/>
      </c>
      <c r="AA524" s="12" t="str">
        <f t="shared" si="270"/>
        <v/>
      </c>
      <c r="AB524" s="12" t="str">
        <f t="shared" si="271"/>
        <v/>
      </c>
      <c r="AC524" s="12" t="str">
        <f t="shared" si="272"/>
        <v/>
      </c>
      <c r="AD524" s="12" t="str">
        <f t="shared" si="273"/>
        <v/>
      </c>
      <c r="AE524" s="12" t="str">
        <f t="shared" si="274"/>
        <v/>
      </c>
      <c r="AF524" s="12" t="str">
        <f t="shared" si="275"/>
        <v/>
      </c>
      <c r="AG524" s="12"/>
      <c r="AH524" s="12" t="str">
        <f t="shared" si="276"/>
        <v/>
      </c>
      <c r="AI524" s="12" t="str">
        <f t="shared" si="277"/>
        <v/>
      </c>
      <c r="AJ524" s="12" t="str">
        <f t="shared" si="278"/>
        <v/>
      </c>
      <c r="AK524" s="12" t="str">
        <f t="shared" si="279"/>
        <v/>
      </c>
      <c r="AL524" s="12" t="str">
        <f t="shared" si="280"/>
        <v/>
      </c>
      <c r="AM524" s="12" t="str">
        <f t="shared" si="281"/>
        <v/>
      </c>
      <c r="AN524" s="12" t="str">
        <f t="shared" si="282"/>
        <v/>
      </c>
      <c r="AO524" s="12" t="str">
        <f t="shared" si="283"/>
        <v/>
      </c>
      <c r="AP524" s="12" t="str">
        <f t="shared" si="284"/>
        <v/>
      </c>
    </row>
    <row r="525" spans="1:42">
      <c r="A525" s="9" t="str">
        <f t="shared" si="285"/>
        <v/>
      </c>
      <c r="B525" s="22" t="str">
        <f t="shared" si="286"/>
        <v/>
      </c>
      <c r="C525" s="23" t="str">
        <f t="shared" si="287"/>
        <v/>
      </c>
      <c r="D525" s="24" t="str">
        <f t="shared" si="288"/>
        <v/>
      </c>
      <c r="E525" s="24" t="str">
        <f t="shared" si="289"/>
        <v/>
      </c>
      <c r="F525" s="25" t="str">
        <f t="shared" si="290"/>
        <v/>
      </c>
      <c r="G525" s="7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2"/>
      <c r="U525" s="12">
        <f t="shared" si="264"/>
        <v>0</v>
      </c>
      <c r="V525" s="28" t="str">
        <f t="shared" ca="1" si="265"/>
        <v/>
      </c>
      <c r="W525" s="28" t="str">
        <f t="shared" si="266"/>
        <v/>
      </c>
      <c r="X525" s="12" t="str">
        <f t="shared" si="267"/>
        <v/>
      </c>
      <c r="Y525" s="12" t="str">
        <f t="shared" si="268"/>
        <v/>
      </c>
      <c r="Z525" s="12" t="str">
        <f t="shared" si="269"/>
        <v/>
      </c>
      <c r="AA525" s="12" t="str">
        <f t="shared" si="270"/>
        <v/>
      </c>
      <c r="AB525" s="12" t="str">
        <f t="shared" si="271"/>
        <v/>
      </c>
      <c r="AC525" s="12" t="str">
        <f t="shared" si="272"/>
        <v/>
      </c>
      <c r="AD525" s="12" t="str">
        <f t="shared" si="273"/>
        <v/>
      </c>
      <c r="AE525" s="12" t="str">
        <f t="shared" si="274"/>
        <v/>
      </c>
      <c r="AF525" s="12" t="str">
        <f t="shared" si="275"/>
        <v/>
      </c>
      <c r="AG525" s="12"/>
      <c r="AH525" s="12" t="str">
        <f t="shared" si="276"/>
        <v/>
      </c>
      <c r="AI525" s="12" t="str">
        <f t="shared" si="277"/>
        <v/>
      </c>
      <c r="AJ525" s="12" t="str">
        <f t="shared" si="278"/>
        <v/>
      </c>
      <c r="AK525" s="12" t="str">
        <f t="shared" si="279"/>
        <v/>
      </c>
      <c r="AL525" s="12" t="str">
        <f t="shared" si="280"/>
        <v/>
      </c>
      <c r="AM525" s="12" t="str">
        <f t="shared" si="281"/>
        <v/>
      </c>
      <c r="AN525" s="12" t="str">
        <f t="shared" si="282"/>
        <v/>
      </c>
      <c r="AO525" s="12" t="str">
        <f t="shared" si="283"/>
        <v/>
      </c>
      <c r="AP525" s="12" t="str">
        <f t="shared" si="284"/>
        <v/>
      </c>
    </row>
    <row r="526" spans="1:42">
      <c r="A526" s="9" t="str">
        <f t="shared" si="285"/>
        <v/>
      </c>
      <c r="B526" s="22" t="str">
        <f t="shared" si="286"/>
        <v/>
      </c>
      <c r="C526" s="23" t="str">
        <f t="shared" si="287"/>
        <v/>
      </c>
      <c r="D526" s="24" t="str">
        <f t="shared" si="288"/>
        <v/>
      </c>
      <c r="E526" s="24" t="str">
        <f t="shared" si="289"/>
        <v/>
      </c>
      <c r="F526" s="25" t="str">
        <f t="shared" si="290"/>
        <v/>
      </c>
      <c r="G526" s="7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2"/>
      <c r="U526" s="12">
        <f t="shared" si="264"/>
        <v>0</v>
      </c>
      <c r="V526" s="28" t="str">
        <f t="shared" ca="1" si="265"/>
        <v/>
      </c>
      <c r="W526" s="28" t="str">
        <f t="shared" si="266"/>
        <v/>
      </c>
      <c r="X526" s="12" t="str">
        <f t="shared" si="267"/>
        <v/>
      </c>
      <c r="Y526" s="12" t="str">
        <f t="shared" si="268"/>
        <v/>
      </c>
      <c r="Z526" s="12" t="str">
        <f t="shared" si="269"/>
        <v/>
      </c>
      <c r="AA526" s="12" t="str">
        <f t="shared" si="270"/>
        <v/>
      </c>
      <c r="AB526" s="12" t="str">
        <f t="shared" si="271"/>
        <v/>
      </c>
      <c r="AC526" s="12" t="str">
        <f t="shared" si="272"/>
        <v/>
      </c>
      <c r="AD526" s="12" t="str">
        <f t="shared" si="273"/>
        <v/>
      </c>
      <c r="AE526" s="12" t="str">
        <f t="shared" si="274"/>
        <v/>
      </c>
      <c r="AF526" s="12" t="str">
        <f t="shared" si="275"/>
        <v/>
      </c>
      <c r="AG526" s="12"/>
      <c r="AH526" s="12" t="str">
        <f t="shared" si="276"/>
        <v/>
      </c>
      <c r="AI526" s="12" t="str">
        <f t="shared" si="277"/>
        <v/>
      </c>
      <c r="AJ526" s="12" t="str">
        <f t="shared" si="278"/>
        <v/>
      </c>
      <c r="AK526" s="12" t="str">
        <f t="shared" si="279"/>
        <v/>
      </c>
      <c r="AL526" s="12" t="str">
        <f t="shared" si="280"/>
        <v/>
      </c>
      <c r="AM526" s="12" t="str">
        <f t="shared" si="281"/>
        <v/>
      </c>
      <c r="AN526" s="12" t="str">
        <f t="shared" si="282"/>
        <v/>
      </c>
      <c r="AO526" s="12" t="str">
        <f t="shared" si="283"/>
        <v/>
      </c>
      <c r="AP526" s="12" t="str">
        <f t="shared" si="284"/>
        <v/>
      </c>
    </row>
    <row r="527" spans="1:42">
      <c r="A527" s="9" t="str">
        <f t="shared" si="285"/>
        <v/>
      </c>
      <c r="B527" s="22" t="str">
        <f t="shared" si="286"/>
        <v/>
      </c>
      <c r="C527" s="23" t="str">
        <f t="shared" si="287"/>
        <v/>
      </c>
      <c r="D527" s="24" t="str">
        <f t="shared" si="288"/>
        <v/>
      </c>
      <c r="E527" s="24" t="str">
        <f t="shared" si="289"/>
        <v/>
      </c>
      <c r="F527" s="25" t="str">
        <f t="shared" si="290"/>
        <v/>
      </c>
      <c r="G527" s="7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2"/>
      <c r="U527" s="12">
        <f t="shared" si="264"/>
        <v>0</v>
      </c>
      <c r="V527" s="28" t="str">
        <f t="shared" ca="1" si="265"/>
        <v/>
      </c>
      <c r="W527" s="28" t="str">
        <f t="shared" si="266"/>
        <v/>
      </c>
      <c r="X527" s="12" t="str">
        <f t="shared" si="267"/>
        <v/>
      </c>
      <c r="Y527" s="12" t="str">
        <f t="shared" si="268"/>
        <v/>
      </c>
      <c r="Z527" s="12" t="str">
        <f t="shared" si="269"/>
        <v/>
      </c>
      <c r="AA527" s="12" t="str">
        <f t="shared" si="270"/>
        <v/>
      </c>
      <c r="AB527" s="12" t="str">
        <f t="shared" si="271"/>
        <v/>
      </c>
      <c r="AC527" s="12" t="str">
        <f t="shared" si="272"/>
        <v/>
      </c>
      <c r="AD527" s="12" t="str">
        <f t="shared" si="273"/>
        <v/>
      </c>
      <c r="AE527" s="12" t="str">
        <f t="shared" si="274"/>
        <v/>
      </c>
      <c r="AF527" s="12" t="str">
        <f t="shared" si="275"/>
        <v/>
      </c>
      <c r="AG527" s="12"/>
      <c r="AH527" s="12" t="str">
        <f t="shared" si="276"/>
        <v/>
      </c>
      <c r="AI527" s="12" t="str">
        <f t="shared" si="277"/>
        <v/>
      </c>
      <c r="AJ527" s="12" t="str">
        <f t="shared" si="278"/>
        <v/>
      </c>
      <c r="AK527" s="12" t="str">
        <f t="shared" si="279"/>
        <v/>
      </c>
      <c r="AL527" s="12" t="str">
        <f t="shared" si="280"/>
        <v/>
      </c>
      <c r="AM527" s="12" t="str">
        <f t="shared" si="281"/>
        <v/>
      </c>
      <c r="AN527" s="12" t="str">
        <f t="shared" si="282"/>
        <v/>
      </c>
      <c r="AO527" s="12" t="str">
        <f t="shared" si="283"/>
        <v/>
      </c>
      <c r="AP527" s="12" t="str">
        <f t="shared" si="284"/>
        <v/>
      </c>
    </row>
    <row r="528" spans="1:42">
      <c r="A528" s="9" t="str">
        <f t="shared" si="285"/>
        <v/>
      </c>
      <c r="B528" s="22" t="str">
        <f t="shared" si="286"/>
        <v/>
      </c>
      <c r="C528" s="23" t="str">
        <f t="shared" si="287"/>
        <v/>
      </c>
      <c r="D528" s="24" t="str">
        <f t="shared" si="288"/>
        <v/>
      </c>
      <c r="E528" s="24" t="str">
        <f t="shared" si="289"/>
        <v/>
      </c>
      <c r="F528" s="25" t="str">
        <f t="shared" si="290"/>
        <v/>
      </c>
      <c r="G528" s="7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2"/>
      <c r="U528" s="12">
        <f t="shared" si="264"/>
        <v>0</v>
      </c>
      <c r="V528" s="28" t="str">
        <f t="shared" ca="1" si="265"/>
        <v/>
      </c>
      <c r="W528" s="28" t="str">
        <f t="shared" si="266"/>
        <v/>
      </c>
      <c r="X528" s="12" t="str">
        <f t="shared" si="267"/>
        <v/>
      </c>
      <c r="Y528" s="12" t="str">
        <f t="shared" si="268"/>
        <v/>
      </c>
      <c r="Z528" s="12" t="str">
        <f t="shared" si="269"/>
        <v/>
      </c>
      <c r="AA528" s="12" t="str">
        <f t="shared" si="270"/>
        <v/>
      </c>
      <c r="AB528" s="12" t="str">
        <f t="shared" si="271"/>
        <v/>
      </c>
      <c r="AC528" s="12" t="str">
        <f t="shared" si="272"/>
        <v/>
      </c>
      <c r="AD528" s="12" t="str">
        <f t="shared" si="273"/>
        <v/>
      </c>
      <c r="AE528" s="12" t="str">
        <f t="shared" si="274"/>
        <v/>
      </c>
      <c r="AF528" s="12" t="str">
        <f t="shared" si="275"/>
        <v/>
      </c>
      <c r="AG528" s="12"/>
      <c r="AH528" s="12" t="str">
        <f t="shared" si="276"/>
        <v/>
      </c>
      <c r="AI528" s="12" t="str">
        <f t="shared" si="277"/>
        <v/>
      </c>
      <c r="AJ528" s="12" t="str">
        <f t="shared" si="278"/>
        <v/>
      </c>
      <c r="AK528" s="12" t="str">
        <f t="shared" si="279"/>
        <v/>
      </c>
      <c r="AL528" s="12" t="str">
        <f t="shared" si="280"/>
        <v/>
      </c>
      <c r="AM528" s="12" t="str">
        <f t="shared" si="281"/>
        <v/>
      </c>
      <c r="AN528" s="12" t="str">
        <f t="shared" si="282"/>
        <v/>
      </c>
      <c r="AO528" s="12" t="str">
        <f t="shared" si="283"/>
        <v/>
      </c>
      <c r="AP528" s="12" t="str">
        <f t="shared" si="284"/>
        <v/>
      </c>
    </row>
    <row r="529" spans="1:42">
      <c r="A529" s="9" t="str">
        <f t="shared" si="285"/>
        <v/>
      </c>
      <c r="B529" s="22" t="str">
        <f t="shared" si="286"/>
        <v/>
      </c>
      <c r="C529" s="23" t="str">
        <f t="shared" si="287"/>
        <v/>
      </c>
      <c r="D529" s="24" t="str">
        <f t="shared" si="288"/>
        <v/>
      </c>
      <c r="E529" s="24" t="str">
        <f t="shared" si="289"/>
        <v/>
      </c>
      <c r="F529" s="25" t="str">
        <f t="shared" si="290"/>
        <v/>
      </c>
      <c r="G529" s="7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2"/>
      <c r="U529" s="12">
        <f t="shared" si="264"/>
        <v>0</v>
      </c>
      <c r="V529" s="28" t="str">
        <f t="shared" ca="1" si="265"/>
        <v/>
      </c>
      <c r="W529" s="28" t="str">
        <f t="shared" si="266"/>
        <v/>
      </c>
      <c r="X529" s="12" t="str">
        <f t="shared" si="267"/>
        <v/>
      </c>
      <c r="Y529" s="12" t="str">
        <f t="shared" si="268"/>
        <v/>
      </c>
      <c r="Z529" s="12" t="str">
        <f t="shared" si="269"/>
        <v/>
      </c>
      <c r="AA529" s="12" t="str">
        <f t="shared" si="270"/>
        <v/>
      </c>
      <c r="AB529" s="12" t="str">
        <f t="shared" si="271"/>
        <v/>
      </c>
      <c r="AC529" s="12" t="str">
        <f t="shared" si="272"/>
        <v/>
      </c>
      <c r="AD529" s="12" t="str">
        <f t="shared" si="273"/>
        <v/>
      </c>
      <c r="AE529" s="12" t="str">
        <f t="shared" si="274"/>
        <v/>
      </c>
      <c r="AF529" s="12" t="str">
        <f t="shared" si="275"/>
        <v/>
      </c>
      <c r="AG529" s="12"/>
      <c r="AH529" s="12" t="str">
        <f t="shared" si="276"/>
        <v/>
      </c>
      <c r="AI529" s="12" t="str">
        <f t="shared" si="277"/>
        <v/>
      </c>
      <c r="AJ529" s="12" t="str">
        <f t="shared" si="278"/>
        <v/>
      </c>
      <c r="AK529" s="12" t="str">
        <f t="shared" si="279"/>
        <v/>
      </c>
      <c r="AL529" s="12" t="str">
        <f t="shared" si="280"/>
        <v/>
      </c>
      <c r="AM529" s="12" t="str">
        <f t="shared" si="281"/>
        <v/>
      </c>
      <c r="AN529" s="12" t="str">
        <f t="shared" si="282"/>
        <v/>
      </c>
      <c r="AO529" s="12" t="str">
        <f t="shared" si="283"/>
        <v/>
      </c>
      <c r="AP529" s="12" t="str">
        <f t="shared" si="284"/>
        <v/>
      </c>
    </row>
    <row r="530" spans="1:42">
      <c r="A530" s="9" t="str">
        <f t="shared" si="285"/>
        <v/>
      </c>
      <c r="B530" s="22" t="str">
        <f t="shared" si="286"/>
        <v/>
      </c>
      <c r="C530" s="23" t="str">
        <f t="shared" si="287"/>
        <v/>
      </c>
      <c r="D530" s="24" t="str">
        <f t="shared" si="288"/>
        <v/>
      </c>
      <c r="E530" s="24" t="str">
        <f t="shared" si="289"/>
        <v/>
      </c>
      <c r="F530" s="25" t="str">
        <f t="shared" si="290"/>
        <v/>
      </c>
      <c r="G530" s="7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2"/>
      <c r="U530" s="12">
        <f t="shared" si="264"/>
        <v>0</v>
      </c>
      <c r="V530" s="28" t="str">
        <f t="shared" ca="1" si="265"/>
        <v/>
      </c>
      <c r="W530" s="28" t="str">
        <f t="shared" si="266"/>
        <v/>
      </c>
      <c r="X530" s="12" t="str">
        <f t="shared" si="267"/>
        <v/>
      </c>
      <c r="Y530" s="12" t="str">
        <f t="shared" si="268"/>
        <v/>
      </c>
      <c r="Z530" s="12" t="str">
        <f t="shared" si="269"/>
        <v/>
      </c>
      <c r="AA530" s="12" t="str">
        <f t="shared" si="270"/>
        <v/>
      </c>
      <c r="AB530" s="12" t="str">
        <f t="shared" si="271"/>
        <v/>
      </c>
      <c r="AC530" s="12" t="str">
        <f t="shared" si="272"/>
        <v/>
      </c>
      <c r="AD530" s="12" t="str">
        <f t="shared" si="273"/>
        <v/>
      </c>
      <c r="AE530" s="12" t="str">
        <f t="shared" si="274"/>
        <v/>
      </c>
      <c r="AF530" s="12" t="str">
        <f t="shared" si="275"/>
        <v/>
      </c>
      <c r="AG530" s="12"/>
      <c r="AH530" s="12" t="str">
        <f t="shared" si="276"/>
        <v/>
      </c>
      <c r="AI530" s="12" t="str">
        <f t="shared" si="277"/>
        <v/>
      </c>
      <c r="AJ530" s="12" t="str">
        <f t="shared" si="278"/>
        <v/>
      </c>
      <c r="AK530" s="12" t="str">
        <f t="shared" si="279"/>
        <v/>
      </c>
      <c r="AL530" s="12" t="str">
        <f t="shared" si="280"/>
        <v/>
      </c>
      <c r="AM530" s="12" t="str">
        <f t="shared" si="281"/>
        <v/>
      </c>
      <c r="AN530" s="12" t="str">
        <f t="shared" si="282"/>
        <v/>
      </c>
      <c r="AO530" s="12" t="str">
        <f t="shared" si="283"/>
        <v/>
      </c>
      <c r="AP530" s="12" t="str">
        <f t="shared" si="284"/>
        <v/>
      </c>
    </row>
    <row r="531" spans="1:42">
      <c r="A531" s="9" t="str">
        <f t="shared" si="285"/>
        <v/>
      </c>
      <c r="B531" s="22" t="str">
        <f t="shared" si="286"/>
        <v/>
      </c>
      <c r="C531" s="23" t="str">
        <f t="shared" si="287"/>
        <v/>
      </c>
      <c r="D531" s="24" t="str">
        <f t="shared" si="288"/>
        <v/>
      </c>
      <c r="E531" s="24" t="str">
        <f t="shared" si="289"/>
        <v/>
      </c>
      <c r="F531" s="25" t="str">
        <f t="shared" si="290"/>
        <v/>
      </c>
      <c r="G531" s="7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2"/>
      <c r="U531" s="12">
        <f t="shared" si="264"/>
        <v>0</v>
      </c>
      <c r="V531" s="28" t="str">
        <f t="shared" ca="1" si="265"/>
        <v/>
      </c>
      <c r="W531" s="28" t="str">
        <f t="shared" si="266"/>
        <v/>
      </c>
      <c r="X531" s="12" t="str">
        <f t="shared" si="267"/>
        <v/>
      </c>
      <c r="Y531" s="12" t="str">
        <f t="shared" si="268"/>
        <v/>
      </c>
      <c r="Z531" s="12" t="str">
        <f t="shared" si="269"/>
        <v/>
      </c>
      <c r="AA531" s="12" t="str">
        <f t="shared" si="270"/>
        <v/>
      </c>
      <c r="AB531" s="12" t="str">
        <f t="shared" si="271"/>
        <v/>
      </c>
      <c r="AC531" s="12" t="str">
        <f t="shared" si="272"/>
        <v/>
      </c>
      <c r="AD531" s="12" t="str">
        <f t="shared" si="273"/>
        <v/>
      </c>
      <c r="AE531" s="12" t="str">
        <f t="shared" si="274"/>
        <v/>
      </c>
      <c r="AF531" s="12" t="str">
        <f t="shared" si="275"/>
        <v/>
      </c>
      <c r="AG531" s="12"/>
      <c r="AH531" s="12" t="str">
        <f t="shared" si="276"/>
        <v/>
      </c>
      <c r="AI531" s="12" t="str">
        <f t="shared" si="277"/>
        <v/>
      </c>
      <c r="AJ531" s="12" t="str">
        <f t="shared" si="278"/>
        <v/>
      </c>
      <c r="AK531" s="12" t="str">
        <f t="shared" si="279"/>
        <v/>
      </c>
      <c r="AL531" s="12" t="str">
        <f t="shared" si="280"/>
        <v/>
      </c>
      <c r="AM531" s="12" t="str">
        <f t="shared" si="281"/>
        <v/>
      </c>
      <c r="AN531" s="12" t="str">
        <f t="shared" si="282"/>
        <v/>
      </c>
      <c r="AO531" s="12" t="str">
        <f t="shared" si="283"/>
        <v/>
      </c>
      <c r="AP531" s="12" t="str">
        <f t="shared" si="284"/>
        <v/>
      </c>
    </row>
    <row r="532" spans="1:42">
      <c r="A532" s="9" t="str">
        <f t="shared" si="285"/>
        <v/>
      </c>
      <c r="B532" s="22" t="str">
        <f t="shared" si="286"/>
        <v/>
      </c>
      <c r="C532" s="23" t="str">
        <f t="shared" si="287"/>
        <v/>
      </c>
      <c r="D532" s="24" t="str">
        <f t="shared" si="288"/>
        <v/>
      </c>
      <c r="E532" s="24" t="str">
        <f t="shared" si="289"/>
        <v/>
      </c>
      <c r="F532" s="25" t="str">
        <f t="shared" si="290"/>
        <v/>
      </c>
      <c r="G532" s="7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2"/>
      <c r="U532" s="12">
        <f t="shared" si="264"/>
        <v>0</v>
      </c>
      <c r="V532" s="28" t="str">
        <f t="shared" ca="1" si="265"/>
        <v/>
      </c>
      <c r="W532" s="28" t="str">
        <f t="shared" si="266"/>
        <v/>
      </c>
      <c r="X532" s="12" t="str">
        <f t="shared" si="267"/>
        <v/>
      </c>
      <c r="Y532" s="12" t="str">
        <f t="shared" si="268"/>
        <v/>
      </c>
      <c r="Z532" s="12" t="str">
        <f t="shared" si="269"/>
        <v/>
      </c>
      <c r="AA532" s="12" t="str">
        <f t="shared" si="270"/>
        <v/>
      </c>
      <c r="AB532" s="12" t="str">
        <f t="shared" si="271"/>
        <v/>
      </c>
      <c r="AC532" s="12" t="str">
        <f t="shared" si="272"/>
        <v/>
      </c>
      <c r="AD532" s="12" t="str">
        <f t="shared" si="273"/>
        <v/>
      </c>
      <c r="AE532" s="12" t="str">
        <f t="shared" si="274"/>
        <v/>
      </c>
      <c r="AF532" s="12" t="str">
        <f t="shared" si="275"/>
        <v/>
      </c>
      <c r="AG532" s="12"/>
      <c r="AH532" s="12" t="str">
        <f t="shared" si="276"/>
        <v/>
      </c>
      <c r="AI532" s="12" t="str">
        <f t="shared" si="277"/>
        <v/>
      </c>
      <c r="AJ532" s="12" t="str">
        <f t="shared" si="278"/>
        <v/>
      </c>
      <c r="AK532" s="12" t="str">
        <f t="shared" si="279"/>
        <v/>
      </c>
      <c r="AL532" s="12" t="str">
        <f t="shared" si="280"/>
        <v/>
      </c>
      <c r="AM532" s="12" t="str">
        <f t="shared" si="281"/>
        <v/>
      </c>
      <c r="AN532" s="12" t="str">
        <f t="shared" si="282"/>
        <v/>
      </c>
      <c r="AO532" s="12" t="str">
        <f t="shared" si="283"/>
        <v/>
      </c>
      <c r="AP532" s="12" t="str">
        <f t="shared" si="284"/>
        <v/>
      </c>
    </row>
    <row r="533" spans="1:42">
      <c r="A533" s="9" t="str">
        <f t="shared" si="285"/>
        <v/>
      </c>
      <c r="B533" s="22" t="str">
        <f t="shared" si="286"/>
        <v/>
      </c>
      <c r="C533" s="23" t="str">
        <f t="shared" si="287"/>
        <v/>
      </c>
      <c r="D533" s="24" t="str">
        <f t="shared" si="288"/>
        <v/>
      </c>
      <c r="E533" s="24" t="str">
        <f t="shared" si="289"/>
        <v/>
      </c>
      <c r="F533" s="25" t="str">
        <f t="shared" si="290"/>
        <v/>
      </c>
      <c r="G533" s="7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2"/>
      <c r="U533" s="12">
        <f t="shared" si="264"/>
        <v>0</v>
      </c>
      <c r="V533" s="28" t="str">
        <f t="shared" ca="1" si="265"/>
        <v/>
      </c>
      <c r="W533" s="28" t="str">
        <f t="shared" si="266"/>
        <v/>
      </c>
      <c r="X533" s="12" t="str">
        <f t="shared" si="267"/>
        <v/>
      </c>
      <c r="Y533" s="12" t="str">
        <f t="shared" si="268"/>
        <v/>
      </c>
      <c r="Z533" s="12" t="str">
        <f t="shared" si="269"/>
        <v/>
      </c>
      <c r="AA533" s="12" t="str">
        <f t="shared" si="270"/>
        <v/>
      </c>
      <c r="AB533" s="12" t="str">
        <f t="shared" si="271"/>
        <v/>
      </c>
      <c r="AC533" s="12" t="str">
        <f t="shared" si="272"/>
        <v/>
      </c>
      <c r="AD533" s="12" t="str">
        <f t="shared" si="273"/>
        <v/>
      </c>
      <c r="AE533" s="12" t="str">
        <f t="shared" si="274"/>
        <v/>
      </c>
      <c r="AF533" s="12" t="str">
        <f t="shared" si="275"/>
        <v/>
      </c>
      <c r="AG533" s="12"/>
      <c r="AH533" s="12" t="str">
        <f t="shared" si="276"/>
        <v/>
      </c>
      <c r="AI533" s="12" t="str">
        <f t="shared" si="277"/>
        <v/>
      </c>
      <c r="AJ533" s="12" t="str">
        <f t="shared" si="278"/>
        <v/>
      </c>
      <c r="AK533" s="12" t="str">
        <f t="shared" si="279"/>
        <v/>
      </c>
      <c r="AL533" s="12" t="str">
        <f t="shared" si="280"/>
        <v/>
      </c>
      <c r="AM533" s="12" t="str">
        <f t="shared" si="281"/>
        <v/>
      </c>
      <c r="AN533" s="12" t="str">
        <f t="shared" si="282"/>
        <v/>
      </c>
      <c r="AO533" s="12" t="str">
        <f t="shared" si="283"/>
        <v/>
      </c>
      <c r="AP533" s="12" t="str">
        <f t="shared" si="284"/>
        <v/>
      </c>
    </row>
    <row r="534" spans="1:42">
      <c r="A534" s="9" t="str">
        <f t="shared" si="285"/>
        <v/>
      </c>
      <c r="B534" s="22" t="str">
        <f t="shared" si="286"/>
        <v/>
      </c>
      <c r="C534" s="23" t="str">
        <f t="shared" si="287"/>
        <v/>
      </c>
      <c r="D534" s="24" t="str">
        <f t="shared" si="288"/>
        <v/>
      </c>
      <c r="E534" s="24" t="str">
        <f t="shared" si="289"/>
        <v/>
      </c>
      <c r="F534" s="25" t="str">
        <f t="shared" si="290"/>
        <v/>
      </c>
      <c r="G534" s="7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2"/>
      <c r="U534" s="12">
        <f t="shared" si="264"/>
        <v>0</v>
      </c>
      <c r="V534" s="28" t="str">
        <f t="shared" ca="1" si="265"/>
        <v/>
      </c>
      <c r="W534" s="28" t="str">
        <f t="shared" si="266"/>
        <v/>
      </c>
      <c r="X534" s="12" t="str">
        <f t="shared" si="267"/>
        <v/>
      </c>
      <c r="Y534" s="12" t="str">
        <f t="shared" si="268"/>
        <v/>
      </c>
      <c r="Z534" s="12" t="str">
        <f t="shared" si="269"/>
        <v/>
      </c>
      <c r="AA534" s="12" t="str">
        <f t="shared" si="270"/>
        <v/>
      </c>
      <c r="AB534" s="12" t="str">
        <f t="shared" si="271"/>
        <v/>
      </c>
      <c r="AC534" s="12" t="str">
        <f t="shared" si="272"/>
        <v/>
      </c>
      <c r="AD534" s="12" t="str">
        <f t="shared" si="273"/>
        <v/>
      </c>
      <c r="AE534" s="12" t="str">
        <f t="shared" si="274"/>
        <v/>
      </c>
      <c r="AF534" s="12" t="str">
        <f t="shared" si="275"/>
        <v/>
      </c>
      <c r="AG534" s="12"/>
      <c r="AH534" s="12" t="str">
        <f t="shared" si="276"/>
        <v/>
      </c>
      <c r="AI534" s="12" t="str">
        <f t="shared" si="277"/>
        <v/>
      </c>
      <c r="AJ534" s="12" t="str">
        <f t="shared" si="278"/>
        <v/>
      </c>
      <c r="AK534" s="12" t="str">
        <f t="shared" si="279"/>
        <v/>
      </c>
      <c r="AL534" s="12" t="str">
        <f t="shared" si="280"/>
        <v/>
      </c>
      <c r="AM534" s="12" t="str">
        <f t="shared" si="281"/>
        <v/>
      </c>
      <c r="AN534" s="12" t="str">
        <f t="shared" si="282"/>
        <v/>
      </c>
      <c r="AO534" s="12" t="str">
        <f t="shared" si="283"/>
        <v/>
      </c>
      <c r="AP534" s="12" t="str">
        <f t="shared" si="284"/>
        <v/>
      </c>
    </row>
    <row r="535" spans="1:42">
      <c r="A535" s="9" t="str">
        <f t="shared" si="285"/>
        <v/>
      </c>
      <c r="B535" s="22" t="str">
        <f t="shared" si="286"/>
        <v/>
      </c>
      <c r="C535" s="23" t="str">
        <f t="shared" si="287"/>
        <v/>
      </c>
      <c r="D535" s="24" t="str">
        <f t="shared" si="288"/>
        <v/>
      </c>
      <c r="E535" s="24" t="str">
        <f t="shared" si="289"/>
        <v/>
      </c>
      <c r="F535" s="25" t="str">
        <f t="shared" si="290"/>
        <v/>
      </c>
      <c r="G535" s="7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2"/>
      <c r="U535" s="12">
        <f t="shared" si="264"/>
        <v>0</v>
      </c>
      <c r="V535" s="28" t="str">
        <f t="shared" ca="1" si="265"/>
        <v/>
      </c>
      <c r="W535" s="28" t="str">
        <f t="shared" si="266"/>
        <v/>
      </c>
      <c r="X535" s="12" t="str">
        <f t="shared" si="267"/>
        <v/>
      </c>
      <c r="Y535" s="12" t="str">
        <f t="shared" si="268"/>
        <v/>
      </c>
      <c r="Z535" s="12" t="str">
        <f t="shared" si="269"/>
        <v/>
      </c>
      <c r="AA535" s="12" t="str">
        <f t="shared" si="270"/>
        <v/>
      </c>
      <c r="AB535" s="12" t="str">
        <f t="shared" si="271"/>
        <v/>
      </c>
      <c r="AC535" s="12" t="str">
        <f t="shared" si="272"/>
        <v/>
      </c>
      <c r="AD535" s="12" t="str">
        <f t="shared" si="273"/>
        <v/>
      </c>
      <c r="AE535" s="12" t="str">
        <f t="shared" si="274"/>
        <v/>
      </c>
      <c r="AF535" s="12" t="str">
        <f t="shared" si="275"/>
        <v/>
      </c>
      <c r="AG535" s="12"/>
      <c r="AH535" s="12" t="str">
        <f t="shared" si="276"/>
        <v/>
      </c>
      <c r="AI535" s="12" t="str">
        <f t="shared" si="277"/>
        <v/>
      </c>
      <c r="AJ535" s="12" t="str">
        <f t="shared" si="278"/>
        <v/>
      </c>
      <c r="AK535" s="12" t="str">
        <f t="shared" si="279"/>
        <v/>
      </c>
      <c r="AL535" s="12" t="str">
        <f t="shared" si="280"/>
        <v/>
      </c>
      <c r="AM535" s="12" t="str">
        <f t="shared" si="281"/>
        <v/>
      </c>
      <c r="AN535" s="12" t="str">
        <f t="shared" si="282"/>
        <v/>
      </c>
      <c r="AO535" s="12" t="str">
        <f t="shared" si="283"/>
        <v/>
      </c>
      <c r="AP535" s="12" t="str">
        <f t="shared" si="284"/>
        <v/>
      </c>
    </row>
    <row r="536" spans="1:42">
      <c r="A536" s="9" t="str">
        <f t="shared" si="285"/>
        <v/>
      </c>
      <c r="B536" s="22" t="str">
        <f t="shared" si="286"/>
        <v/>
      </c>
      <c r="C536" s="23" t="str">
        <f t="shared" si="287"/>
        <v/>
      </c>
      <c r="D536" s="24" t="str">
        <f t="shared" si="288"/>
        <v/>
      </c>
      <c r="E536" s="24" t="str">
        <f t="shared" si="289"/>
        <v/>
      </c>
      <c r="F536" s="25" t="str">
        <f t="shared" si="290"/>
        <v/>
      </c>
      <c r="G536" s="7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2"/>
      <c r="U536" s="12">
        <f t="shared" si="264"/>
        <v>0</v>
      </c>
      <c r="V536" s="28" t="str">
        <f t="shared" ca="1" si="265"/>
        <v/>
      </c>
      <c r="W536" s="28" t="str">
        <f t="shared" si="266"/>
        <v/>
      </c>
      <c r="X536" s="12" t="str">
        <f t="shared" si="267"/>
        <v/>
      </c>
      <c r="Y536" s="12" t="str">
        <f t="shared" si="268"/>
        <v/>
      </c>
      <c r="Z536" s="12" t="str">
        <f t="shared" si="269"/>
        <v/>
      </c>
      <c r="AA536" s="12" t="str">
        <f t="shared" si="270"/>
        <v/>
      </c>
      <c r="AB536" s="12" t="str">
        <f t="shared" si="271"/>
        <v/>
      </c>
      <c r="AC536" s="12" t="str">
        <f t="shared" si="272"/>
        <v/>
      </c>
      <c r="AD536" s="12" t="str">
        <f t="shared" si="273"/>
        <v/>
      </c>
      <c r="AE536" s="12" t="str">
        <f t="shared" si="274"/>
        <v/>
      </c>
      <c r="AF536" s="12" t="str">
        <f t="shared" si="275"/>
        <v/>
      </c>
      <c r="AG536" s="12"/>
      <c r="AH536" s="12" t="str">
        <f t="shared" si="276"/>
        <v/>
      </c>
      <c r="AI536" s="12" t="str">
        <f t="shared" si="277"/>
        <v/>
      </c>
      <c r="AJ536" s="12" t="str">
        <f t="shared" si="278"/>
        <v/>
      </c>
      <c r="AK536" s="12" t="str">
        <f t="shared" si="279"/>
        <v/>
      </c>
      <c r="AL536" s="12" t="str">
        <f t="shared" si="280"/>
        <v/>
      </c>
      <c r="AM536" s="12" t="str">
        <f t="shared" si="281"/>
        <v/>
      </c>
      <c r="AN536" s="12" t="str">
        <f t="shared" si="282"/>
        <v/>
      </c>
      <c r="AO536" s="12" t="str">
        <f t="shared" si="283"/>
        <v/>
      </c>
      <c r="AP536" s="12" t="str">
        <f t="shared" si="284"/>
        <v/>
      </c>
    </row>
    <row r="537" spans="1:42">
      <c r="A537" s="9" t="str">
        <f t="shared" si="285"/>
        <v/>
      </c>
      <c r="B537" s="22" t="str">
        <f t="shared" si="286"/>
        <v/>
      </c>
      <c r="C537" s="23" t="str">
        <f t="shared" si="287"/>
        <v/>
      </c>
      <c r="D537" s="24" t="str">
        <f t="shared" si="288"/>
        <v/>
      </c>
      <c r="E537" s="24" t="str">
        <f t="shared" si="289"/>
        <v/>
      </c>
      <c r="F537" s="25" t="str">
        <f t="shared" si="290"/>
        <v/>
      </c>
      <c r="G537" s="7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2"/>
      <c r="U537" s="12">
        <f t="shared" si="264"/>
        <v>0</v>
      </c>
      <c r="V537" s="28" t="str">
        <f t="shared" ca="1" si="265"/>
        <v/>
      </c>
      <c r="W537" s="28" t="str">
        <f t="shared" si="266"/>
        <v/>
      </c>
      <c r="X537" s="12" t="str">
        <f t="shared" si="267"/>
        <v/>
      </c>
      <c r="Y537" s="12" t="str">
        <f t="shared" si="268"/>
        <v/>
      </c>
      <c r="Z537" s="12" t="str">
        <f t="shared" si="269"/>
        <v/>
      </c>
      <c r="AA537" s="12" t="str">
        <f t="shared" si="270"/>
        <v/>
      </c>
      <c r="AB537" s="12" t="str">
        <f t="shared" si="271"/>
        <v/>
      </c>
      <c r="AC537" s="12" t="str">
        <f t="shared" si="272"/>
        <v/>
      </c>
      <c r="AD537" s="12" t="str">
        <f t="shared" si="273"/>
        <v/>
      </c>
      <c r="AE537" s="12" t="str">
        <f t="shared" si="274"/>
        <v/>
      </c>
      <c r="AF537" s="12" t="str">
        <f t="shared" si="275"/>
        <v/>
      </c>
      <c r="AG537" s="12"/>
      <c r="AH537" s="12" t="str">
        <f t="shared" si="276"/>
        <v/>
      </c>
      <c r="AI537" s="12" t="str">
        <f t="shared" si="277"/>
        <v/>
      </c>
      <c r="AJ537" s="12" t="str">
        <f t="shared" si="278"/>
        <v/>
      </c>
      <c r="AK537" s="12" t="str">
        <f t="shared" si="279"/>
        <v/>
      </c>
      <c r="AL537" s="12" t="str">
        <f t="shared" si="280"/>
        <v/>
      </c>
      <c r="AM537" s="12" t="str">
        <f t="shared" si="281"/>
        <v/>
      </c>
      <c r="AN537" s="12" t="str">
        <f t="shared" si="282"/>
        <v/>
      </c>
      <c r="AO537" s="12" t="str">
        <f t="shared" si="283"/>
        <v/>
      </c>
      <c r="AP537" s="12" t="str">
        <f t="shared" si="284"/>
        <v/>
      </c>
    </row>
    <row r="538" spans="1:42">
      <c r="A538" s="9" t="str">
        <f t="shared" si="285"/>
        <v/>
      </c>
      <c r="B538" s="22" t="str">
        <f t="shared" si="286"/>
        <v/>
      </c>
      <c r="C538" s="23" t="str">
        <f t="shared" si="287"/>
        <v/>
      </c>
      <c r="D538" s="24" t="str">
        <f t="shared" si="288"/>
        <v/>
      </c>
      <c r="E538" s="24" t="str">
        <f t="shared" si="289"/>
        <v/>
      </c>
      <c r="F538" s="25" t="str">
        <f t="shared" si="290"/>
        <v/>
      </c>
      <c r="G538" s="7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2"/>
      <c r="U538" s="12">
        <f t="shared" si="264"/>
        <v>0</v>
      </c>
      <c r="V538" s="28" t="str">
        <f t="shared" ca="1" si="265"/>
        <v/>
      </c>
      <c r="W538" s="28" t="str">
        <f t="shared" si="266"/>
        <v/>
      </c>
      <c r="X538" s="12" t="str">
        <f t="shared" si="267"/>
        <v/>
      </c>
      <c r="Y538" s="12" t="str">
        <f t="shared" si="268"/>
        <v/>
      </c>
      <c r="Z538" s="12" t="str">
        <f t="shared" si="269"/>
        <v/>
      </c>
      <c r="AA538" s="12" t="str">
        <f t="shared" si="270"/>
        <v/>
      </c>
      <c r="AB538" s="12" t="str">
        <f t="shared" si="271"/>
        <v/>
      </c>
      <c r="AC538" s="12" t="str">
        <f t="shared" si="272"/>
        <v/>
      </c>
      <c r="AD538" s="12" t="str">
        <f t="shared" si="273"/>
        <v/>
      </c>
      <c r="AE538" s="12" t="str">
        <f t="shared" si="274"/>
        <v/>
      </c>
      <c r="AF538" s="12" t="str">
        <f t="shared" si="275"/>
        <v/>
      </c>
      <c r="AG538" s="12"/>
      <c r="AH538" s="12" t="str">
        <f t="shared" si="276"/>
        <v/>
      </c>
      <c r="AI538" s="12" t="str">
        <f t="shared" si="277"/>
        <v/>
      </c>
      <c r="AJ538" s="12" t="str">
        <f t="shared" si="278"/>
        <v/>
      </c>
      <c r="AK538" s="12" t="str">
        <f t="shared" si="279"/>
        <v/>
      </c>
      <c r="AL538" s="12" t="str">
        <f t="shared" si="280"/>
        <v/>
      </c>
      <c r="AM538" s="12" t="str">
        <f t="shared" si="281"/>
        <v/>
      </c>
      <c r="AN538" s="12" t="str">
        <f t="shared" si="282"/>
        <v/>
      </c>
      <c r="AO538" s="12" t="str">
        <f t="shared" si="283"/>
        <v/>
      </c>
      <c r="AP538" s="12" t="str">
        <f t="shared" si="284"/>
        <v/>
      </c>
    </row>
    <row r="539" spans="1:42">
      <c r="A539" s="9" t="str">
        <f t="shared" si="285"/>
        <v/>
      </c>
      <c r="B539" s="22" t="str">
        <f t="shared" si="286"/>
        <v/>
      </c>
      <c r="C539" s="23" t="str">
        <f t="shared" si="287"/>
        <v/>
      </c>
      <c r="D539" s="24" t="str">
        <f t="shared" si="288"/>
        <v/>
      </c>
      <c r="E539" s="24" t="str">
        <f t="shared" si="289"/>
        <v/>
      </c>
      <c r="F539" s="25" t="str">
        <f t="shared" si="290"/>
        <v/>
      </c>
      <c r="G539" s="7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2"/>
      <c r="U539" s="12">
        <f t="shared" si="264"/>
        <v>0</v>
      </c>
      <c r="V539" s="28" t="str">
        <f t="shared" ca="1" si="265"/>
        <v/>
      </c>
      <c r="W539" s="28" t="str">
        <f t="shared" si="266"/>
        <v/>
      </c>
      <c r="X539" s="12" t="str">
        <f t="shared" si="267"/>
        <v/>
      </c>
      <c r="Y539" s="12" t="str">
        <f t="shared" si="268"/>
        <v/>
      </c>
      <c r="Z539" s="12" t="str">
        <f t="shared" si="269"/>
        <v/>
      </c>
      <c r="AA539" s="12" t="str">
        <f t="shared" si="270"/>
        <v/>
      </c>
      <c r="AB539" s="12" t="str">
        <f t="shared" si="271"/>
        <v/>
      </c>
      <c r="AC539" s="12" t="str">
        <f t="shared" si="272"/>
        <v/>
      </c>
      <c r="AD539" s="12" t="str">
        <f t="shared" si="273"/>
        <v/>
      </c>
      <c r="AE539" s="12" t="str">
        <f t="shared" si="274"/>
        <v/>
      </c>
      <c r="AF539" s="12" t="str">
        <f t="shared" si="275"/>
        <v/>
      </c>
      <c r="AG539" s="12"/>
      <c r="AH539" s="12" t="str">
        <f t="shared" si="276"/>
        <v/>
      </c>
      <c r="AI539" s="12" t="str">
        <f t="shared" si="277"/>
        <v/>
      </c>
      <c r="AJ539" s="12" t="str">
        <f t="shared" si="278"/>
        <v/>
      </c>
      <c r="AK539" s="12" t="str">
        <f t="shared" si="279"/>
        <v/>
      </c>
      <c r="AL539" s="12" t="str">
        <f t="shared" si="280"/>
        <v/>
      </c>
      <c r="AM539" s="12" t="str">
        <f t="shared" si="281"/>
        <v/>
      </c>
      <c r="AN539" s="12" t="str">
        <f t="shared" si="282"/>
        <v/>
      </c>
      <c r="AO539" s="12" t="str">
        <f t="shared" si="283"/>
        <v/>
      </c>
      <c r="AP539" s="12" t="str">
        <f t="shared" si="284"/>
        <v/>
      </c>
    </row>
    <row r="540" spans="1:42">
      <c r="A540" s="9" t="str">
        <f t="shared" si="285"/>
        <v/>
      </c>
      <c r="B540" s="22" t="str">
        <f t="shared" si="286"/>
        <v/>
      </c>
      <c r="C540" s="23" t="str">
        <f t="shared" si="287"/>
        <v/>
      </c>
      <c r="D540" s="24" t="str">
        <f t="shared" si="288"/>
        <v/>
      </c>
      <c r="E540" s="24" t="str">
        <f t="shared" si="289"/>
        <v/>
      </c>
      <c r="F540" s="25" t="str">
        <f t="shared" si="290"/>
        <v/>
      </c>
      <c r="G540" s="7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2"/>
      <c r="U540" s="12">
        <f t="shared" si="264"/>
        <v>0</v>
      </c>
      <c r="V540" s="28" t="str">
        <f t="shared" ca="1" si="265"/>
        <v/>
      </c>
      <c r="W540" s="28" t="str">
        <f t="shared" si="266"/>
        <v/>
      </c>
      <c r="X540" s="12" t="str">
        <f t="shared" si="267"/>
        <v/>
      </c>
      <c r="Y540" s="12" t="str">
        <f t="shared" si="268"/>
        <v/>
      </c>
      <c r="Z540" s="12" t="str">
        <f t="shared" si="269"/>
        <v/>
      </c>
      <c r="AA540" s="12" t="str">
        <f t="shared" si="270"/>
        <v/>
      </c>
      <c r="AB540" s="12" t="str">
        <f t="shared" si="271"/>
        <v/>
      </c>
      <c r="AC540" s="12" t="str">
        <f t="shared" si="272"/>
        <v/>
      </c>
      <c r="AD540" s="12" t="str">
        <f t="shared" si="273"/>
        <v/>
      </c>
      <c r="AE540" s="12" t="str">
        <f t="shared" si="274"/>
        <v/>
      </c>
      <c r="AF540" s="12" t="str">
        <f t="shared" si="275"/>
        <v/>
      </c>
      <c r="AG540" s="12"/>
      <c r="AH540" s="12" t="str">
        <f t="shared" si="276"/>
        <v/>
      </c>
      <c r="AI540" s="12" t="str">
        <f t="shared" si="277"/>
        <v/>
      </c>
      <c r="AJ540" s="12" t="str">
        <f t="shared" si="278"/>
        <v/>
      </c>
      <c r="AK540" s="12" t="str">
        <f t="shared" si="279"/>
        <v/>
      </c>
      <c r="AL540" s="12" t="str">
        <f t="shared" si="280"/>
        <v/>
      </c>
      <c r="AM540" s="12" t="str">
        <f t="shared" si="281"/>
        <v/>
      </c>
      <c r="AN540" s="12" t="str">
        <f t="shared" si="282"/>
        <v/>
      </c>
      <c r="AO540" s="12" t="str">
        <f t="shared" si="283"/>
        <v/>
      </c>
      <c r="AP540" s="12" t="str">
        <f t="shared" si="284"/>
        <v/>
      </c>
    </row>
    <row r="541" spans="1:42">
      <c r="A541" s="9" t="str">
        <f t="shared" si="285"/>
        <v/>
      </c>
      <c r="B541" s="22" t="str">
        <f t="shared" si="286"/>
        <v/>
      </c>
      <c r="C541" s="23" t="str">
        <f t="shared" si="287"/>
        <v/>
      </c>
      <c r="D541" s="24" t="str">
        <f t="shared" si="288"/>
        <v/>
      </c>
      <c r="E541" s="24" t="str">
        <f t="shared" si="289"/>
        <v/>
      </c>
      <c r="F541" s="25" t="str">
        <f t="shared" si="290"/>
        <v/>
      </c>
      <c r="G541" s="7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2"/>
      <c r="U541" s="12">
        <f t="shared" si="264"/>
        <v>0</v>
      </c>
      <c r="V541" s="28" t="str">
        <f t="shared" ca="1" si="265"/>
        <v/>
      </c>
      <c r="W541" s="28" t="str">
        <f t="shared" si="266"/>
        <v/>
      </c>
      <c r="X541" s="12" t="str">
        <f t="shared" si="267"/>
        <v/>
      </c>
      <c r="Y541" s="12" t="str">
        <f t="shared" si="268"/>
        <v/>
      </c>
      <c r="Z541" s="12" t="str">
        <f t="shared" si="269"/>
        <v/>
      </c>
      <c r="AA541" s="12" t="str">
        <f t="shared" si="270"/>
        <v/>
      </c>
      <c r="AB541" s="12" t="str">
        <f t="shared" si="271"/>
        <v/>
      </c>
      <c r="AC541" s="12" t="str">
        <f t="shared" si="272"/>
        <v/>
      </c>
      <c r="AD541" s="12" t="str">
        <f t="shared" si="273"/>
        <v/>
      </c>
      <c r="AE541" s="12" t="str">
        <f t="shared" si="274"/>
        <v/>
      </c>
      <c r="AF541" s="12" t="str">
        <f t="shared" si="275"/>
        <v/>
      </c>
      <c r="AG541" s="12"/>
      <c r="AH541" s="12" t="str">
        <f t="shared" si="276"/>
        <v/>
      </c>
      <c r="AI541" s="12" t="str">
        <f t="shared" si="277"/>
        <v/>
      </c>
      <c r="AJ541" s="12" t="str">
        <f t="shared" si="278"/>
        <v/>
      </c>
      <c r="AK541" s="12" t="str">
        <f t="shared" si="279"/>
        <v/>
      </c>
      <c r="AL541" s="12" t="str">
        <f t="shared" si="280"/>
        <v/>
      </c>
      <c r="AM541" s="12" t="str">
        <f t="shared" si="281"/>
        <v/>
      </c>
      <c r="AN541" s="12" t="str">
        <f t="shared" si="282"/>
        <v/>
      </c>
      <c r="AO541" s="12" t="str">
        <f t="shared" si="283"/>
        <v/>
      </c>
      <c r="AP541" s="12" t="str">
        <f t="shared" si="284"/>
        <v/>
      </c>
    </row>
    <row r="542" spans="1:42">
      <c r="A542" s="9" t="str">
        <f t="shared" si="285"/>
        <v/>
      </c>
      <c r="B542" s="22" t="str">
        <f t="shared" si="286"/>
        <v/>
      </c>
      <c r="C542" s="23" t="str">
        <f t="shared" si="287"/>
        <v/>
      </c>
      <c r="D542" s="24" t="str">
        <f t="shared" si="288"/>
        <v/>
      </c>
      <c r="E542" s="24" t="str">
        <f t="shared" si="289"/>
        <v/>
      </c>
      <c r="F542" s="25" t="str">
        <f t="shared" si="290"/>
        <v/>
      </c>
      <c r="G542" s="7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2"/>
      <c r="U542" s="12">
        <f t="shared" si="264"/>
        <v>0</v>
      </c>
      <c r="V542" s="28" t="str">
        <f t="shared" ca="1" si="265"/>
        <v/>
      </c>
      <c r="W542" s="28" t="str">
        <f t="shared" si="266"/>
        <v/>
      </c>
      <c r="X542" s="12" t="str">
        <f t="shared" si="267"/>
        <v/>
      </c>
      <c r="Y542" s="12" t="str">
        <f t="shared" si="268"/>
        <v/>
      </c>
      <c r="Z542" s="12" t="str">
        <f t="shared" si="269"/>
        <v/>
      </c>
      <c r="AA542" s="12" t="str">
        <f t="shared" si="270"/>
        <v/>
      </c>
      <c r="AB542" s="12" t="str">
        <f t="shared" si="271"/>
        <v/>
      </c>
      <c r="AC542" s="12" t="str">
        <f t="shared" si="272"/>
        <v/>
      </c>
      <c r="AD542" s="12" t="str">
        <f t="shared" si="273"/>
        <v/>
      </c>
      <c r="AE542" s="12" t="str">
        <f t="shared" si="274"/>
        <v/>
      </c>
      <c r="AF542" s="12" t="str">
        <f t="shared" si="275"/>
        <v/>
      </c>
      <c r="AG542" s="12"/>
      <c r="AH542" s="12" t="str">
        <f t="shared" si="276"/>
        <v/>
      </c>
      <c r="AI542" s="12" t="str">
        <f t="shared" si="277"/>
        <v/>
      </c>
      <c r="AJ542" s="12" t="str">
        <f t="shared" si="278"/>
        <v/>
      </c>
      <c r="AK542" s="12" t="str">
        <f t="shared" si="279"/>
        <v/>
      </c>
      <c r="AL542" s="12" t="str">
        <f t="shared" si="280"/>
        <v/>
      </c>
      <c r="AM542" s="12" t="str">
        <f t="shared" si="281"/>
        <v/>
      </c>
      <c r="AN542" s="12" t="str">
        <f t="shared" si="282"/>
        <v/>
      </c>
      <c r="AO542" s="12" t="str">
        <f t="shared" si="283"/>
        <v/>
      </c>
      <c r="AP542" s="12" t="str">
        <f t="shared" si="284"/>
        <v/>
      </c>
    </row>
    <row r="543" spans="1:42">
      <c r="A543" s="9" t="str">
        <f t="shared" si="285"/>
        <v/>
      </c>
      <c r="B543" s="22" t="str">
        <f t="shared" si="286"/>
        <v/>
      </c>
      <c r="C543" s="23" t="str">
        <f t="shared" si="287"/>
        <v/>
      </c>
      <c r="D543" s="24" t="str">
        <f t="shared" si="288"/>
        <v/>
      </c>
      <c r="E543" s="24" t="str">
        <f t="shared" si="289"/>
        <v/>
      </c>
      <c r="F543" s="25" t="str">
        <f t="shared" si="290"/>
        <v/>
      </c>
      <c r="G543" s="7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2"/>
      <c r="U543" s="12">
        <f t="shared" si="264"/>
        <v>0</v>
      </c>
      <c r="V543" s="28" t="str">
        <f t="shared" ca="1" si="265"/>
        <v/>
      </c>
      <c r="W543" s="28" t="str">
        <f t="shared" si="266"/>
        <v/>
      </c>
      <c r="X543" s="12" t="str">
        <f t="shared" si="267"/>
        <v/>
      </c>
      <c r="Y543" s="12" t="str">
        <f t="shared" si="268"/>
        <v/>
      </c>
      <c r="Z543" s="12" t="str">
        <f t="shared" si="269"/>
        <v/>
      </c>
      <c r="AA543" s="12" t="str">
        <f t="shared" si="270"/>
        <v/>
      </c>
      <c r="AB543" s="12" t="str">
        <f t="shared" si="271"/>
        <v/>
      </c>
      <c r="AC543" s="12" t="str">
        <f t="shared" si="272"/>
        <v/>
      </c>
      <c r="AD543" s="12" t="str">
        <f t="shared" si="273"/>
        <v/>
      </c>
      <c r="AE543" s="12" t="str">
        <f t="shared" si="274"/>
        <v/>
      </c>
      <c r="AF543" s="12" t="str">
        <f t="shared" si="275"/>
        <v/>
      </c>
      <c r="AG543" s="12"/>
      <c r="AH543" s="12" t="str">
        <f t="shared" si="276"/>
        <v/>
      </c>
      <c r="AI543" s="12" t="str">
        <f t="shared" si="277"/>
        <v/>
      </c>
      <c r="AJ543" s="12" t="str">
        <f t="shared" si="278"/>
        <v/>
      </c>
      <c r="AK543" s="12" t="str">
        <f t="shared" si="279"/>
        <v/>
      </c>
      <c r="AL543" s="12" t="str">
        <f t="shared" si="280"/>
        <v/>
      </c>
      <c r="AM543" s="12" t="str">
        <f t="shared" si="281"/>
        <v/>
      </c>
      <c r="AN543" s="12" t="str">
        <f t="shared" si="282"/>
        <v/>
      </c>
      <c r="AO543" s="12" t="str">
        <f t="shared" si="283"/>
        <v/>
      </c>
      <c r="AP543" s="12" t="str">
        <f t="shared" si="284"/>
        <v/>
      </c>
    </row>
    <row r="544" spans="1:42">
      <c r="A544" s="9" t="str">
        <f t="shared" si="285"/>
        <v/>
      </c>
      <c r="B544" s="22" t="str">
        <f t="shared" si="286"/>
        <v/>
      </c>
      <c r="C544" s="23" t="str">
        <f t="shared" si="287"/>
        <v/>
      </c>
      <c r="D544" s="24" t="str">
        <f t="shared" si="288"/>
        <v/>
      </c>
      <c r="E544" s="24" t="str">
        <f t="shared" si="289"/>
        <v/>
      </c>
      <c r="F544" s="25" t="str">
        <f t="shared" si="290"/>
        <v/>
      </c>
      <c r="G544" s="7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2"/>
      <c r="U544" s="12">
        <f t="shared" si="264"/>
        <v>0</v>
      </c>
      <c r="V544" s="28" t="str">
        <f t="shared" ca="1" si="265"/>
        <v/>
      </c>
      <c r="W544" s="28" t="str">
        <f t="shared" si="266"/>
        <v/>
      </c>
      <c r="X544" s="12" t="str">
        <f t="shared" si="267"/>
        <v/>
      </c>
      <c r="Y544" s="12" t="str">
        <f t="shared" si="268"/>
        <v/>
      </c>
      <c r="Z544" s="12" t="str">
        <f t="shared" si="269"/>
        <v/>
      </c>
      <c r="AA544" s="12" t="str">
        <f t="shared" si="270"/>
        <v/>
      </c>
      <c r="AB544" s="12" t="str">
        <f t="shared" si="271"/>
        <v/>
      </c>
      <c r="AC544" s="12" t="str">
        <f t="shared" si="272"/>
        <v/>
      </c>
      <c r="AD544" s="12" t="str">
        <f t="shared" si="273"/>
        <v/>
      </c>
      <c r="AE544" s="12" t="str">
        <f t="shared" si="274"/>
        <v/>
      </c>
      <c r="AF544" s="12" t="str">
        <f t="shared" si="275"/>
        <v/>
      </c>
      <c r="AG544" s="12"/>
      <c r="AH544" s="12" t="str">
        <f t="shared" si="276"/>
        <v/>
      </c>
      <c r="AI544" s="12" t="str">
        <f t="shared" si="277"/>
        <v/>
      </c>
      <c r="AJ544" s="12" t="str">
        <f t="shared" si="278"/>
        <v/>
      </c>
      <c r="AK544" s="12" t="str">
        <f t="shared" si="279"/>
        <v/>
      </c>
      <c r="AL544" s="12" t="str">
        <f t="shared" si="280"/>
        <v/>
      </c>
      <c r="AM544" s="12" t="str">
        <f t="shared" si="281"/>
        <v/>
      </c>
      <c r="AN544" s="12" t="str">
        <f t="shared" si="282"/>
        <v/>
      </c>
      <c r="AO544" s="12" t="str">
        <f t="shared" si="283"/>
        <v/>
      </c>
      <c r="AP544" s="12" t="str">
        <f t="shared" si="284"/>
        <v/>
      </c>
    </row>
    <row r="545" spans="1:42">
      <c r="A545" s="9" t="str">
        <f t="shared" si="285"/>
        <v/>
      </c>
      <c r="B545" s="22" t="str">
        <f t="shared" si="286"/>
        <v/>
      </c>
      <c r="C545" s="23" t="str">
        <f t="shared" si="287"/>
        <v/>
      </c>
      <c r="D545" s="24" t="str">
        <f t="shared" si="288"/>
        <v/>
      </c>
      <c r="E545" s="24" t="str">
        <f t="shared" si="289"/>
        <v/>
      </c>
      <c r="F545" s="25" t="str">
        <f t="shared" si="290"/>
        <v/>
      </c>
      <c r="G545" s="7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2"/>
      <c r="U545" s="12">
        <f t="shared" si="264"/>
        <v>0</v>
      </c>
      <c r="V545" s="28" t="str">
        <f t="shared" ca="1" si="265"/>
        <v/>
      </c>
      <c r="W545" s="28" t="str">
        <f t="shared" si="266"/>
        <v/>
      </c>
      <c r="X545" s="12" t="str">
        <f t="shared" si="267"/>
        <v/>
      </c>
      <c r="Y545" s="12" t="str">
        <f t="shared" si="268"/>
        <v/>
      </c>
      <c r="Z545" s="12" t="str">
        <f t="shared" si="269"/>
        <v/>
      </c>
      <c r="AA545" s="12" t="str">
        <f t="shared" si="270"/>
        <v/>
      </c>
      <c r="AB545" s="12" t="str">
        <f t="shared" si="271"/>
        <v/>
      </c>
      <c r="AC545" s="12" t="str">
        <f t="shared" si="272"/>
        <v/>
      </c>
      <c r="AD545" s="12" t="str">
        <f t="shared" si="273"/>
        <v/>
      </c>
      <c r="AE545" s="12" t="str">
        <f t="shared" si="274"/>
        <v/>
      </c>
      <c r="AF545" s="12" t="str">
        <f t="shared" si="275"/>
        <v/>
      </c>
      <c r="AG545" s="12"/>
      <c r="AH545" s="12" t="str">
        <f t="shared" si="276"/>
        <v/>
      </c>
      <c r="AI545" s="12" t="str">
        <f t="shared" si="277"/>
        <v/>
      </c>
      <c r="AJ545" s="12" t="str">
        <f t="shared" si="278"/>
        <v/>
      </c>
      <c r="AK545" s="12" t="str">
        <f t="shared" si="279"/>
        <v/>
      </c>
      <c r="AL545" s="12" t="str">
        <f t="shared" si="280"/>
        <v/>
      </c>
      <c r="AM545" s="12" t="str">
        <f t="shared" si="281"/>
        <v/>
      </c>
      <c r="AN545" s="12" t="str">
        <f t="shared" si="282"/>
        <v/>
      </c>
      <c r="AO545" s="12" t="str">
        <f t="shared" si="283"/>
        <v/>
      </c>
      <c r="AP545" s="12" t="str">
        <f t="shared" si="284"/>
        <v/>
      </c>
    </row>
    <row r="546" spans="1:42">
      <c r="A546" s="9" t="str">
        <f t="shared" si="285"/>
        <v/>
      </c>
      <c r="B546" s="22" t="str">
        <f t="shared" si="286"/>
        <v/>
      </c>
      <c r="C546" s="23" t="str">
        <f t="shared" si="287"/>
        <v/>
      </c>
      <c r="D546" s="24" t="str">
        <f t="shared" si="288"/>
        <v/>
      </c>
      <c r="E546" s="24" t="str">
        <f t="shared" si="289"/>
        <v/>
      </c>
      <c r="F546" s="25" t="str">
        <f t="shared" si="290"/>
        <v/>
      </c>
      <c r="G546" s="7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2"/>
      <c r="U546" s="12">
        <f t="shared" si="264"/>
        <v>0</v>
      </c>
      <c r="V546" s="28" t="str">
        <f t="shared" ca="1" si="265"/>
        <v/>
      </c>
      <c r="W546" s="28" t="str">
        <f t="shared" si="266"/>
        <v/>
      </c>
      <c r="X546" s="12" t="str">
        <f t="shared" si="267"/>
        <v/>
      </c>
      <c r="Y546" s="12" t="str">
        <f t="shared" si="268"/>
        <v/>
      </c>
      <c r="Z546" s="12" t="str">
        <f t="shared" si="269"/>
        <v/>
      </c>
      <c r="AA546" s="12" t="str">
        <f t="shared" si="270"/>
        <v/>
      </c>
      <c r="AB546" s="12" t="str">
        <f t="shared" si="271"/>
        <v/>
      </c>
      <c r="AC546" s="12" t="str">
        <f t="shared" si="272"/>
        <v/>
      </c>
      <c r="AD546" s="12" t="str">
        <f t="shared" si="273"/>
        <v/>
      </c>
      <c r="AE546" s="12" t="str">
        <f t="shared" si="274"/>
        <v/>
      </c>
      <c r="AF546" s="12" t="str">
        <f t="shared" si="275"/>
        <v/>
      </c>
      <c r="AG546" s="12"/>
      <c r="AH546" s="12" t="str">
        <f t="shared" si="276"/>
        <v/>
      </c>
      <c r="AI546" s="12" t="str">
        <f t="shared" si="277"/>
        <v/>
      </c>
      <c r="AJ546" s="12" t="str">
        <f t="shared" si="278"/>
        <v/>
      </c>
      <c r="AK546" s="12" t="str">
        <f t="shared" si="279"/>
        <v/>
      </c>
      <c r="AL546" s="12" t="str">
        <f t="shared" si="280"/>
        <v/>
      </c>
      <c r="AM546" s="12" t="str">
        <f t="shared" si="281"/>
        <v/>
      </c>
      <c r="AN546" s="12" t="str">
        <f t="shared" si="282"/>
        <v/>
      </c>
      <c r="AO546" s="12" t="str">
        <f t="shared" si="283"/>
        <v/>
      </c>
      <c r="AP546" s="12" t="str">
        <f t="shared" si="284"/>
        <v/>
      </c>
    </row>
    <row r="547" spans="1:42">
      <c r="A547" s="9" t="str">
        <f t="shared" si="285"/>
        <v/>
      </c>
      <c r="B547" s="22" t="str">
        <f t="shared" si="286"/>
        <v/>
      </c>
      <c r="C547" s="23" t="str">
        <f t="shared" si="287"/>
        <v/>
      </c>
      <c r="D547" s="24" t="str">
        <f t="shared" si="288"/>
        <v/>
      </c>
      <c r="E547" s="24" t="str">
        <f t="shared" si="289"/>
        <v/>
      </c>
      <c r="F547" s="25" t="str">
        <f t="shared" si="290"/>
        <v/>
      </c>
      <c r="G547" s="7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2"/>
      <c r="U547" s="12">
        <f t="shared" si="264"/>
        <v>0</v>
      </c>
      <c r="V547" s="28" t="str">
        <f t="shared" ca="1" si="265"/>
        <v/>
      </c>
      <c r="W547" s="28" t="str">
        <f t="shared" si="266"/>
        <v/>
      </c>
      <c r="X547" s="12" t="str">
        <f t="shared" si="267"/>
        <v/>
      </c>
      <c r="Y547" s="12" t="str">
        <f t="shared" si="268"/>
        <v/>
      </c>
      <c r="Z547" s="12" t="str">
        <f t="shared" si="269"/>
        <v/>
      </c>
      <c r="AA547" s="12" t="str">
        <f t="shared" si="270"/>
        <v/>
      </c>
      <c r="AB547" s="12" t="str">
        <f t="shared" si="271"/>
        <v/>
      </c>
      <c r="AC547" s="12" t="str">
        <f t="shared" si="272"/>
        <v/>
      </c>
      <c r="AD547" s="12" t="str">
        <f t="shared" si="273"/>
        <v/>
      </c>
      <c r="AE547" s="12" t="str">
        <f t="shared" si="274"/>
        <v/>
      </c>
      <c r="AF547" s="12" t="str">
        <f t="shared" si="275"/>
        <v/>
      </c>
      <c r="AG547" s="12"/>
      <c r="AH547" s="12" t="str">
        <f t="shared" si="276"/>
        <v/>
      </c>
      <c r="AI547" s="12" t="str">
        <f t="shared" si="277"/>
        <v/>
      </c>
      <c r="AJ547" s="12" t="str">
        <f t="shared" si="278"/>
        <v/>
      </c>
      <c r="AK547" s="12" t="str">
        <f t="shared" si="279"/>
        <v/>
      </c>
      <c r="AL547" s="12" t="str">
        <f t="shared" si="280"/>
        <v/>
      </c>
      <c r="AM547" s="12" t="str">
        <f t="shared" si="281"/>
        <v/>
      </c>
      <c r="AN547" s="12" t="str">
        <f t="shared" si="282"/>
        <v/>
      </c>
      <c r="AO547" s="12" t="str">
        <f t="shared" si="283"/>
        <v/>
      </c>
      <c r="AP547" s="12" t="str">
        <f t="shared" si="284"/>
        <v/>
      </c>
    </row>
    <row r="548" spans="1:42">
      <c r="A548" s="9" t="str">
        <f t="shared" si="285"/>
        <v/>
      </c>
      <c r="B548" s="22" t="str">
        <f t="shared" si="286"/>
        <v/>
      </c>
      <c r="C548" s="23" t="str">
        <f t="shared" si="287"/>
        <v/>
      </c>
      <c r="D548" s="24" t="str">
        <f t="shared" si="288"/>
        <v/>
      </c>
      <c r="E548" s="24" t="str">
        <f t="shared" si="289"/>
        <v/>
      </c>
      <c r="F548" s="25" t="str">
        <f t="shared" si="290"/>
        <v/>
      </c>
      <c r="G548" s="7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2"/>
      <c r="U548" s="12">
        <f t="shared" si="264"/>
        <v>0</v>
      </c>
      <c r="V548" s="28" t="str">
        <f t="shared" ca="1" si="265"/>
        <v/>
      </c>
      <c r="W548" s="28" t="str">
        <f t="shared" si="266"/>
        <v/>
      </c>
      <c r="X548" s="12" t="str">
        <f t="shared" si="267"/>
        <v/>
      </c>
      <c r="Y548" s="12" t="str">
        <f t="shared" si="268"/>
        <v/>
      </c>
      <c r="Z548" s="12" t="str">
        <f t="shared" si="269"/>
        <v/>
      </c>
      <c r="AA548" s="12" t="str">
        <f t="shared" si="270"/>
        <v/>
      </c>
      <c r="AB548" s="12" t="str">
        <f t="shared" si="271"/>
        <v/>
      </c>
      <c r="AC548" s="12" t="str">
        <f t="shared" si="272"/>
        <v/>
      </c>
      <c r="AD548" s="12" t="str">
        <f t="shared" si="273"/>
        <v/>
      </c>
      <c r="AE548" s="12" t="str">
        <f t="shared" si="274"/>
        <v/>
      </c>
      <c r="AF548" s="12" t="str">
        <f t="shared" si="275"/>
        <v/>
      </c>
      <c r="AG548" s="12"/>
      <c r="AH548" s="12" t="str">
        <f t="shared" si="276"/>
        <v/>
      </c>
      <c r="AI548" s="12" t="str">
        <f t="shared" si="277"/>
        <v/>
      </c>
      <c r="AJ548" s="12" t="str">
        <f t="shared" si="278"/>
        <v/>
      </c>
      <c r="AK548" s="12" t="str">
        <f t="shared" si="279"/>
        <v/>
      </c>
      <c r="AL548" s="12" t="str">
        <f t="shared" si="280"/>
        <v/>
      </c>
      <c r="AM548" s="12" t="str">
        <f t="shared" si="281"/>
        <v/>
      </c>
      <c r="AN548" s="12" t="str">
        <f t="shared" si="282"/>
        <v/>
      </c>
      <c r="AO548" s="12" t="str">
        <f t="shared" si="283"/>
        <v/>
      </c>
      <c r="AP548" s="12" t="str">
        <f t="shared" si="284"/>
        <v/>
      </c>
    </row>
    <row r="549" spans="1:42">
      <c r="A549" s="9" t="str">
        <f t="shared" si="285"/>
        <v/>
      </c>
      <c r="B549" s="22" t="str">
        <f t="shared" si="286"/>
        <v/>
      </c>
      <c r="C549" s="23" t="str">
        <f t="shared" si="287"/>
        <v/>
      </c>
      <c r="D549" s="24" t="str">
        <f t="shared" si="288"/>
        <v/>
      </c>
      <c r="E549" s="24" t="str">
        <f t="shared" si="289"/>
        <v/>
      </c>
      <c r="F549" s="25" t="str">
        <f t="shared" si="290"/>
        <v/>
      </c>
      <c r="G549" s="7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2"/>
      <c r="U549" s="12">
        <f t="shared" si="264"/>
        <v>0</v>
      </c>
      <c r="V549" s="28" t="str">
        <f t="shared" ca="1" si="265"/>
        <v/>
      </c>
      <c r="W549" s="28" t="str">
        <f t="shared" si="266"/>
        <v/>
      </c>
      <c r="X549" s="12" t="str">
        <f t="shared" si="267"/>
        <v/>
      </c>
      <c r="Y549" s="12" t="str">
        <f t="shared" si="268"/>
        <v/>
      </c>
      <c r="Z549" s="12" t="str">
        <f t="shared" si="269"/>
        <v/>
      </c>
      <c r="AA549" s="12" t="str">
        <f t="shared" si="270"/>
        <v/>
      </c>
      <c r="AB549" s="12" t="str">
        <f t="shared" si="271"/>
        <v/>
      </c>
      <c r="AC549" s="12" t="str">
        <f t="shared" si="272"/>
        <v/>
      </c>
      <c r="AD549" s="12" t="str">
        <f t="shared" si="273"/>
        <v/>
      </c>
      <c r="AE549" s="12" t="str">
        <f t="shared" si="274"/>
        <v/>
      </c>
      <c r="AF549" s="12" t="str">
        <f t="shared" si="275"/>
        <v/>
      </c>
      <c r="AG549" s="12"/>
      <c r="AH549" s="12" t="str">
        <f t="shared" si="276"/>
        <v/>
      </c>
      <c r="AI549" s="12" t="str">
        <f t="shared" si="277"/>
        <v/>
      </c>
      <c r="AJ549" s="12" t="str">
        <f t="shared" si="278"/>
        <v/>
      </c>
      <c r="AK549" s="12" t="str">
        <f t="shared" si="279"/>
        <v/>
      </c>
      <c r="AL549" s="12" t="str">
        <f t="shared" si="280"/>
        <v/>
      </c>
      <c r="AM549" s="12" t="str">
        <f t="shared" si="281"/>
        <v/>
      </c>
      <c r="AN549" s="12" t="str">
        <f t="shared" si="282"/>
        <v/>
      </c>
      <c r="AO549" s="12" t="str">
        <f t="shared" si="283"/>
        <v/>
      </c>
      <c r="AP549" s="12" t="str">
        <f t="shared" si="284"/>
        <v/>
      </c>
    </row>
    <row r="550" spans="1:42">
      <c r="A550" s="9" t="str">
        <f t="shared" si="285"/>
        <v/>
      </c>
      <c r="B550" s="22" t="str">
        <f t="shared" si="286"/>
        <v/>
      </c>
      <c r="C550" s="23" t="str">
        <f t="shared" si="287"/>
        <v/>
      </c>
      <c r="D550" s="24" t="str">
        <f t="shared" si="288"/>
        <v/>
      </c>
      <c r="E550" s="24" t="str">
        <f t="shared" si="289"/>
        <v/>
      </c>
      <c r="F550" s="25" t="str">
        <f t="shared" si="290"/>
        <v/>
      </c>
      <c r="G550" s="7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2"/>
      <c r="U550" s="12">
        <f t="shared" si="264"/>
        <v>0</v>
      </c>
      <c r="V550" s="28" t="str">
        <f t="shared" ca="1" si="265"/>
        <v/>
      </c>
      <c r="W550" s="28" t="str">
        <f t="shared" si="266"/>
        <v/>
      </c>
      <c r="X550" s="12" t="str">
        <f t="shared" si="267"/>
        <v/>
      </c>
      <c r="Y550" s="12" t="str">
        <f t="shared" si="268"/>
        <v/>
      </c>
      <c r="Z550" s="12" t="str">
        <f t="shared" si="269"/>
        <v/>
      </c>
      <c r="AA550" s="12" t="str">
        <f t="shared" si="270"/>
        <v/>
      </c>
      <c r="AB550" s="12" t="str">
        <f t="shared" si="271"/>
        <v/>
      </c>
      <c r="AC550" s="12" t="str">
        <f t="shared" si="272"/>
        <v/>
      </c>
      <c r="AD550" s="12" t="str">
        <f t="shared" si="273"/>
        <v/>
      </c>
      <c r="AE550" s="12" t="str">
        <f t="shared" si="274"/>
        <v/>
      </c>
      <c r="AF550" s="12" t="str">
        <f t="shared" si="275"/>
        <v/>
      </c>
      <c r="AG550" s="12"/>
      <c r="AH550" s="12" t="str">
        <f t="shared" si="276"/>
        <v/>
      </c>
      <c r="AI550" s="12" t="str">
        <f t="shared" si="277"/>
        <v/>
      </c>
      <c r="AJ550" s="12" t="str">
        <f t="shared" si="278"/>
        <v/>
      </c>
      <c r="AK550" s="12" t="str">
        <f t="shared" si="279"/>
        <v/>
      </c>
      <c r="AL550" s="12" t="str">
        <f t="shared" si="280"/>
        <v/>
      </c>
      <c r="AM550" s="12" t="str">
        <f t="shared" si="281"/>
        <v/>
      </c>
      <c r="AN550" s="12" t="str">
        <f t="shared" si="282"/>
        <v/>
      </c>
      <c r="AO550" s="12" t="str">
        <f t="shared" si="283"/>
        <v/>
      </c>
      <c r="AP550" s="12" t="str">
        <f t="shared" si="284"/>
        <v/>
      </c>
    </row>
    <row r="551" spans="1:42">
      <c r="A551" s="9" t="str">
        <f t="shared" si="285"/>
        <v/>
      </c>
      <c r="B551" s="22" t="str">
        <f t="shared" si="286"/>
        <v/>
      </c>
      <c r="C551" s="23" t="str">
        <f t="shared" si="287"/>
        <v/>
      </c>
      <c r="D551" s="24" t="str">
        <f t="shared" si="288"/>
        <v/>
      </c>
      <c r="E551" s="24" t="str">
        <f t="shared" si="289"/>
        <v/>
      </c>
      <c r="F551" s="25" t="str">
        <f t="shared" si="290"/>
        <v/>
      </c>
      <c r="G551" s="7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2"/>
      <c r="U551" s="12">
        <f t="shared" si="264"/>
        <v>0</v>
      </c>
      <c r="V551" s="28" t="str">
        <f t="shared" ca="1" si="265"/>
        <v/>
      </c>
      <c r="W551" s="28" t="str">
        <f t="shared" si="266"/>
        <v/>
      </c>
      <c r="X551" s="12" t="str">
        <f t="shared" si="267"/>
        <v/>
      </c>
      <c r="Y551" s="12" t="str">
        <f t="shared" si="268"/>
        <v/>
      </c>
      <c r="Z551" s="12" t="str">
        <f t="shared" si="269"/>
        <v/>
      </c>
      <c r="AA551" s="12" t="str">
        <f t="shared" si="270"/>
        <v/>
      </c>
      <c r="AB551" s="12" t="str">
        <f t="shared" si="271"/>
        <v/>
      </c>
      <c r="AC551" s="12" t="str">
        <f t="shared" si="272"/>
        <v/>
      </c>
      <c r="AD551" s="12" t="str">
        <f t="shared" si="273"/>
        <v/>
      </c>
      <c r="AE551" s="12" t="str">
        <f t="shared" si="274"/>
        <v/>
      </c>
      <c r="AF551" s="12" t="str">
        <f t="shared" si="275"/>
        <v/>
      </c>
      <c r="AG551" s="12"/>
      <c r="AH551" s="12" t="str">
        <f t="shared" si="276"/>
        <v/>
      </c>
      <c r="AI551" s="12" t="str">
        <f t="shared" si="277"/>
        <v/>
      </c>
      <c r="AJ551" s="12" t="str">
        <f t="shared" si="278"/>
        <v/>
      </c>
      <c r="AK551" s="12" t="str">
        <f t="shared" si="279"/>
        <v/>
      </c>
      <c r="AL551" s="12" t="str">
        <f t="shared" si="280"/>
        <v/>
      </c>
      <c r="AM551" s="12" t="str">
        <f t="shared" si="281"/>
        <v/>
      </c>
      <c r="AN551" s="12" t="str">
        <f t="shared" si="282"/>
        <v/>
      </c>
      <c r="AO551" s="12" t="str">
        <f t="shared" si="283"/>
        <v/>
      </c>
      <c r="AP551" s="12" t="str">
        <f t="shared" si="284"/>
        <v/>
      </c>
    </row>
    <row r="552" spans="1:42">
      <c r="A552" s="9" t="str">
        <f t="shared" si="285"/>
        <v/>
      </c>
      <c r="B552" s="22" t="str">
        <f t="shared" si="286"/>
        <v/>
      </c>
      <c r="C552" s="23" t="str">
        <f t="shared" si="287"/>
        <v/>
      </c>
      <c r="D552" s="24" t="str">
        <f t="shared" si="288"/>
        <v/>
      </c>
      <c r="E552" s="24" t="str">
        <f t="shared" si="289"/>
        <v/>
      </c>
      <c r="F552" s="25" t="str">
        <f t="shared" si="290"/>
        <v/>
      </c>
      <c r="G552" s="7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2"/>
      <c r="U552" s="12">
        <f t="shared" si="264"/>
        <v>0</v>
      </c>
      <c r="V552" s="28" t="str">
        <f t="shared" ca="1" si="265"/>
        <v/>
      </c>
      <c r="W552" s="28" t="str">
        <f t="shared" si="266"/>
        <v/>
      </c>
      <c r="X552" s="12" t="str">
        <f t="shared" si="267"/>
        <v/>
      </c>
      <c r="Y552" s="12" t="str">
        <f t="shared" si="268"/>
        <v/>
      </c>
      <c r="Z552" s="12" t="str">
        <f t="shared" si="269"/>
        <v/>
      </c>
      <c r="AA552" s="12" t="str">
        <f t="shared" si="270"/>
        <v/>
      </c>
      <c r="AB552" s="12" t="str">
        <f t="shared" si="271"/>
        <v/>
      </c>
      <c r="AC552" s="12" t="str">
        <f t="shared" si="272"/>
        <v/>
      </c>
      <c r="AD552" s="12" t="str">
        <f t="shared" si="273"/>
        <v/>
      </c>
      <c r="AE552" s="12" t="str">
        <f t="shared" si="274"/>
        <v/>
      </c>
      <c r="AF552" s="12" t="str">
        <f t="shared" si="275"/>
        <v/>
      </c>
      <c r="AG552" s="12"/>
      <c r="AH552" s="12" t="str">
        <f t="shared" si="276"/>
        <v/>
      </c>
      <c r="AI552" s="12" t="str">
        <f t="shared" si="277"/>
        <v/>
      </c>
      <c r="AJ552" s="12" t="str">
        <f t="shared" si="278"/>
        <v/>
      </c>
      <c r="AK552" s="12" t="str">
        <f t="shared" si="279"/>
        <v/>
      </c>
      <c r="AL552" s="12" t="str">
        <f t="shared" si="280"/>
        <v/>
      </c>
      <c r="AM552" s="12" t="str">
        <f t="shared" si="281"/>
        <v/>
      </c>
      <c r="AN552" s="12" t="str">
        <f t="shared" si="282"/>
        <v/>
      </c>
      <c r="AO552" s="12" t="str">
        <f t="shared" si="283"/>
        <v/>
      </c>
      <c r="AP552" s="12" t="str">
        <f t="shared" si="284"/>
        <v/>
      </c>
    </row>
    <row r="553" spans="1:42">
      <c r="A553" s="9" t="str">
        <f t="shared" si="285"/>
        <v/>
      </c>
      <c r="B553" s="22" t="str">
        <f t="shared" si="286"/>
        <v/>
      </c>
      <c r="C553" s="23" t="str">
        <f t="shared" si="287"/>
        <v/>
      </c>
      <c r="D553" s="24" t="str">
        <f t="shared" si="288"/>
        <v/>
      </c>
      <c r="E553" s="24" t="str">
        <f t="shared" si="289"/>
        <v/>
      </c>
      <c r="F553" s="25" t="str">
        <f t="shared" si="290"/>
        <v/>
      </c>
      <c r="G553" s="7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2"/>
      <c r="U553" s="12">
        <f t="shared" si="264"/>
        <v>0</v>
      </c>
      <c r="V553" s="28" t="str">
        <f t="shared" ca="1" si="265"/>
        <v/>
      </c>
      <c r="W553" s="28" t="str">
        <f t="shared" si="266"/>
        <v/>
      </c>
      <c r="X553" s="12" t="str">
        <f t="shared" si="267"/>
        <v/>
      </c>
      <c r="Y553" s="12" t="str">
        <f t="shared" si="268"/>
        <v/>
      </c>
      <c r="Z553" s="12" t="str">
        <f t="shared" si="269"/>
        <v/>
      </c>
      <c r="AA553" s="12" t="str">
        <f t="shared" si="270"/>
        <v/>
      </c>
      <c r="AB553" s="12" t="str">
        <f t="shared" si="271"/>
        <v/>
      </c>
      <c r="AC553" s="12" t="str">
        <f t="shared" si="272"/>
        <v/>
      </c>
      <c r="AD553" s="12" t="str">
        <f t="shared" si="273"/>
        <v/>
      </c>
      <c r="AE553" s="12" t="str">
        <f t="shared" si="274"/>
        <v/>
      </c>
      <c r="AF553" s="12" t="str">
        <f t="shared" si="275"/>
        <v/>
      </c>
      <c r="AG553" s="12"/>
      <c r="AH553" s="12" t="str">
        <f t="shared" si="276"/>
        <v/>
      </c>
      <c r="AI553" s="12" t="str">
        <f t="shared" si="277"/>
        <v/>
      </c>
      <c r="AJ553" s="12" t="str">
        <f t="shared" si="278"/>
        <v/>
      </c>
      <c r="AK553" s="12" t="str">
        <f t="shared" si="279"/>
        <v/>
      </c>
      <c r="AL553" s="12" t="str">
        <f t="shared" si="280"/>
        <v/>
      </c>
      <c r="AM553" s="12" t="str">
        <f t="shared" si="281"/>
        <v/>
      </c>
      <c r="AN553" s="12" t="str">
        <f t="shared" si="282"/>
        <v/>
      </c>
      <c r="AO553" s="12" t="str">
        <f t="shared" si="283"/>
        <v/>
      </c>
      <c r="AP553" s="12" t="str">
        <f t="shared" si="284"/>
        <v/>
      </c>
    </row>
    <row r="554" spans="1:42">
      <c r="A554" s="9" t="str">
        <f t="shared" si="285"/>
        <v/>
      </c>
      <c r="B554" s="22" t="str">
        <f t="shared" si="286"/>
        <v/>
      </c>
      <c r="C554" s="23" t="str">
        <f t="shared" si="287"/>
        <v/>
      </c>
      <c r="D554" s="24" t="str">
        <f t="shared" si="288"/>
        <v/>
      </c>
      <c r="E554" s="24" t="str">
        <f t="shared" si="289"/>
        <v/>
      </c>
      <c r="F554" s="25" t="str">
        <f t="shared" si="290"/>
        <v/>
      </c>
      <c r="G554" s="7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2"/>
      <c r="U554" s="12">
        <f t="shared" si="264"/>
        <v>0</v>
      </c>
      <c r="V554" s="28" t="str">
        <f t="shared" ca="1" si="265"/>
        <v/>
      </c>
      <c r="W554" s="28" t="str">
        <f t="shared" si="266"/>
        <v/>
      </c>
      <c r="X554" s="12" t="str">
        <f t="shared" si="267"/>
        <v/>
      </c>
      <c r="Y554" s="12" t="str">
        <f t="shared" si="268"/>
        <v/>
      </c>
      <c r="Z554" s="12" t="str">
        <f t="shared" si="269"/>
        <v/>
      </c>
      <c r="AA554" s="12" t="str">
        <f t="shared" si="270"/>
        <v/>
      </c>
      <c r="AB554" s="12" t="str">
        <f t="shared" si="271"/>
        <v/>
      </c>
      <c r="AC554" s="12" t="str">
        <f t="shared" si="272"/>
        <v/>
      </c>
      <c r="AD554" s="12" t="str">
        <f t="shared" si="273"/>
        <v/>
      </c>
      <c r="AE554" s="12" t="str">
        <f t="shared" si="274"/>
        <v/>
      </c>
      <c r="AF554" s="12" t="str">
        <f t="shared" si="275"/>
        <v/>
      </c>
      <c r="AG554" s="12"/>
      <c r="AH554" s="12" t="str">
        <f t="shared" si="276"/>
        <v/>
      </c>
      <c r="AI554" s="12" t="str">
        <f t="shared" si="277"/>
        <v/>
      </c>
      <c r="AJ554" s="12" t="str">
        <f t="shared" si="278"/>
        <v/>
      </c>
      <c r="AK554" s="12" t="str">
        <f t="shared" si="279"/>
        <v/>
      </c>
      <c r="AL554" s="12" t="str">
        <f t="shared" si="280"/>
        <v/>
      </c>
      <c r="AM554" s="12" t="str">
        <f t="shared" si="281"/>
        <v/>
      </c>
      <c r="AN554" s="12" t="str">
        <f t="shared" si="282"/>
        <v/>
      </c>
      <c r="AO554" s="12" t="str">
        <f t="shared" si="283"/>
        <v/>
      </c>
      <c r="AP554" s="12" t="str">
        <f t="shared" si="284"/>
        <v/>
      </c>
    </row>
    <row r="555" spans="1:42">
      <c r="A555" s="9" t="str">
        <f t="shared" si="285"/>
        <v/>
      </c>
      <c r="B555" s="22" t="str">
        <f t="shared" si="286"/>
        <v/>
      </c>
      <c r="C555" s="23" t="str">
        <f t="shared" si="287"/>
        <v/>
      </c>
      <c r="D555" s="24" t="str">
        <f t="shared" si="288"/>
        <v/>
      </c>
      <c r="E555" s="24" t="str">
        <f t="shared" si="289"/>
        <v/>
      </c>
      <c r="F555" s="25" t="str">
        <f t="shared" si="290"/>
        <v/>
      </c>
      <c r="G555" s="7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2"/>
      <c r="U555" s="12">
        <f t="shared" si="264"/>
        <v>0</v>
      </c>
      <c r="V555" s="28" t="str">
        <f t="shared" ca="1" si="265"/>
        <v/>
      </c>
      <c r="W555" s="28" t="str">
        <f t="shared" si="266"/>
        <v/>
      </c>
      <c r="X555" s="12" t="str">
        <f t="shared" si="267"/>
        <v/>
      </c>
      <c r="Y555" s="12" t="str">
        <f t="shared" si="268"/>
        <v/>
      </c>
      <c r="Z555" s="12" t="str">
        <f t="shared" si="269"/>
        <v/>
      </c>
      <c r="AA555" s="12" t="str">
        <f t="shared" si="270"/>
        <v/>
      </c>
      <c r="AB555" s="12" t="str">
        <f t="shared" si="271"/>
        <v/>
      </c>
      <c r="AC555" s="12" t="str">
        <f t="shared" si="272"/>
        <v/>
      </c>
      <c r="AD555" s="12" t="str">
        <f t="shared" si="273"/>
        <v/>
      </c>
      <c r="AE555" s="12" t="str">
        <f t="shared" si="274"/>
        <v/>
      </c>
      <c r="AF555" s="12" t="str">
        <f t="shared" si="275"/>
        <v/>
      </c>
      <c r="AG555" s="12"/>
      <c r="AH555" s="12" t="str">
        <f t="shared" si="276"/>
        <v/>
      </c>
      <c r="AI555" s="12" t="str">
        <f t="shared" si="277"/>
        <v/>
      </c>
      <c r="AJ555" s="12" t="str">
        <f t="shared" si="278"/>
        <v/>
      </c>
      <c r="AK555" s="12" t="str">
        <f t="shared" si="279"/>
        <v/>
      </c>
      <c r="AL555" s="12" t="str">
        <f t="shared" si="280"/>
        <v/>
      </c>
      <c r="AM555" s="12" t="str">
        <f t="shared" si="281"/>
        <v/>
      </c>
      <c r="AN555" s="12" t="str">
        <f t="shared" si="282"/>
        <v/>
      </c>
      <c r="AO555" s="12" t="str">
        <f t="shared" si="283"/>
        <v/>
      </c>
      <c r="AP555" s="12" t="str">
        <f t="shared" si="284"/>
        <v/>
      </c>
    </row>
    <row r="556" spans="1:42">
      <c r="A556" s="9" t="str">
        <f t="shared" si="285"/>
        <v/>
      </c>
      <c r="B556" s="22" t="str">
        <f t="shared" si="286"/>
        <v/>
      </c>
      <c r="C556" s="23" t="str">
        <f t="shared" si="287"/>
        <v/>
      </c>
      <c r="D556" s="24" t="str">
        <f t="shared" si="288"/>
        <v/>
      </c>
      <c r="E556" s="24" t="str">
        <f t="shared" si="289"/>
        <v/>
      </c>
      <c r="F556" s="25" t="str">
        <f t="shared" si="290"/>
        <v/>
      </c>
      <c r="G556" s="7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2"/>
      <c r="U556" s="12">
        <f t="shared" si="264"/>
        <v>0</v>
      </c>
      <c r="V556" s="28" t="str">
        <f t="shared" ca="1" si="265"/>
        <v/>
      </c>
      <c r="W556" s="28" t="str">
        <f t="shared" si="266"/>
        <v/>
      </c>
      <c r="X556" s="12" t="str">
        <f t="shared" si="267"/>
        <v/>
      </c>
      <c r="Y556" s="12" t="str">
        <f t="shared" si="268"/>
        <v/>
      </c>
      <c r="Z556" s="12" t="str">
        <f t="shared" si="269"/>
        <v/>
      </c>
      <c r="AA556" s="12" t="str">
        <f t="shared" si="270"/>
        <v/>
      </c>
      <c r="AB556" s="12" t="str">
        <f t="shared" si="271"/>
        <v/>
      </c>
      <c r="AC556" s="12" t="str">
        <f t="shared" si="272"/>
        <v/>
      </c>
      <c r="AD556" s="12" t="str">
        <f t="shared" si="273"/>
        <v/>
      </c>
      <c r="AE556" s="12" t="str">
        <f t="shared" si="274"/>
        <v/>
      </c>
      <c r="AF556" s="12" t="str">
        <f t="shared" si="275"/>
        <v/>
      </c>
      <c r="AG556" s="12"/>
      <c r="AH556" s="12" t="str">
        <f t="shared" si="276"/>
        <v/>
      </c>
      <c r="AI556" s="12" t="str">
        <f t="shared" si="277"/>
        <v/>
      </c>
      <c r="AJ556" s="12" t="str">
        <f t="shared" si="278"/>
        <v/>
      </c>
      <c r="AK556" s="12" t="str">
        <f t="shared" si="279"/>
        <v/>
      </c>
      <c r="AL556" s="12" t="str">
        <f t="shared" si="280"/>
        <v/>
      </c>
      <c r="AM556" s="12" t="str">
        <f t="shared" si="281"/>
        <v/>
      </c>
      <c r="AN556" s="12" t="str">
        <f t="shared" si="282"/>
        <v/>
      </c>
      <c r="AO556" s="12" t="str">
        <f t="shared" si="283"/>
        <v/>
      </c>
      <c r="AP556" s="12" t="str">
        <f t="shared" si="284"/>
        <v/>
      </c>
    </row>
    <row r="557" spans="1:42">
      <c r="A557" s="9" t="str">
        <f t="shared" si="285"/>
        <v/>
      </c>
      <c r="B557" s="22" t="str">
        <f t="shared" si="286"/>
        <v/>
      </c>
      <c r="C557" s="23" t="str">
        <f t="shared" si="287"/>
        <v/>
      </c>
      <c r="D557" s="24" t="str">
        <f t="shared" si="288"/>
        <v/>
      </c>
      <c r="E557" s="24" t="str">
        <f t="shared" si="289"/>
        <v/>
      </c>
      <c r="F557" s="25" t="str">
        <f t="shared" si="290"/>
        <v/>
      </c>
      <c r="G557" s="7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2"/>
      <c r="U557" s="12">
        <f t="shared" si="264"/>
        <v>0</v>
      </c>
      <c r="V557" s="28" t="str">
        <f t="shared" ca="1" si="265"/>
        <v/>
      </c>
      <c r="W557" s="28" t="str">
        <f t="shared" si="266"/>
        <v/>
      </c>
      <c r="X557" s="12" t="str">
        <f t="shared" si="267"/>
        <v/>
      </c>
      <c r="Y557" s="12" t="str">
        <f t="shared" si="268"/>
        <v/>
      </c>
      <c r="Z557" s="12" t="str">
        <f t="shared" si="269"/>
        <v/>
      </c>
      <c r="AA557" s="12" t="str">
        <f t="shared" si="270"/>
        <v/>
      </c>
      <c r="AB557" s="12" t="str">
        <f t="shared" si="271"/>
        <v/>
      </c>
      <c r="AC557" s="12" t="str">
        <f t="shared" si="272"/>
        <v/>
      </c>
      <c r="AD557" s="12" t="str">
        <f t="shared" si="273"/>
        <v/>
      </c>
      <c r="AE557" s="12" t="str">
        <f t="shared" si="274"/>
        <v/>
      </c>
      <c r="AF557" s="12" t="str">
        <f t="shared" si="275"/>
        <v/>
      </c>
      <c r="AG557" s="12"/>
      <c r="AH557" s="12" t="str">
        <f t="shared" si="276"/>
        <v/>
      </c>
      <c r="AI557" s="12" t="str">
        <f t="shared" si="277"/>
        <v/>
      </c>
      <c r="AJ557" s="12" t="str">
        <f t="shared" si="278"/>
        <v/>
      </c>
      <c r="AK557" s="12" t="str">
        <f t="shared" si="279"/>
        <v/>
      </c>
      <c r="AL557" s="12" t="str">
        <f t="shared" si="280"/>
        <v/>
      </c>
      <c r="AM557" s="12" t="str">
        <f t="shared" si="281"/>
        <v/>
      </c>
      <c r="AN557" s="12" t="str">
        <f t="shared" si="282"/>
        <v/>
      </c>
      <c r="AO557" s="12" t="str">
        <f t="shared" si="283"/>
        <v/>
      </c>
      <c r="AP557" s="12" t="str">
        <f t="shared" si="284"/>
        <v/>
      </c>
    </row>
    <row r="558" spans="1:42">
      <c r="A558" s="9" t="str">
        <f t="shared" si="285"/>
        <v/>
      </c>
      <c r="B558" s="22" t="str">
        <f t="shared" si="286"/>
        <v/>
      </c>
      <c r="C558" s="23" t="str">
        <f t="shared" si="287"/>
        <v/>
      </c>
      <c r="D558" s="24" t="str">
        <f t="shared" si="288"/>
        <v/>
      </c>
      <c r="E558" s="24" t="str">
        <f t="shared" si="289"/>
        <v/>
      </c>
      <c r="F558" s="25" t="str">
        <f t="shared" si="290"/>
        <v/>
      </c>
      <c r="G558" s="7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2"/>
      <c r="U558" s="12">
        <f t="shared" si="264"/>
        <v>0</v>
      </c>
      <c r="V558" s="28" t="str">
        <f t="shared" ca="1" si="265"/>
        <v/>
      </c>
      <c r="W558" s="28" t="str">
        <f t="shared" si="266"/>
        <v/>
      </c>
      <c r="X558" s="12" t="str">
        <f t="shared" si="267"/>
        <v/>
      </c>
      <c r="Y558" s="12" t="str">
        <f t="shared" si="268"/>
        <v/>
      </c>
      <c r="Z558" s="12" t="str">
        <f t="shared" si="269"/>
        <v/>
      </c>
      <c r="AA558" s="12" t="str">
        <f t="shared" si="270"/>
        <v/>
      </c>
      <c r="AB558" s="12" t="str">
        <f t="shared" si="271"/>
        <v/>
      </c>
      <c r="AC558" s="12" t="str">
        <f t="shared" si="272"/>
        <v/>
      </c>
      <c r="AD558" s="12" t="str">
        <f t="shared" si="273"/>
        <v/>
      </c>
      <c r="AE558" s="12" t="str">
        <f t="shared" si="274"/>
        <v/>
      </c>
      <c r="AF558" s="12" t="str">
        <f t="shared" si="275"/>
        <v/>
      </c>
      <c r="AG558" s="12"/>
      <c r="AH558" s="12" t="str">
        <f t="shared" si="276"/>
        <v/>
      </c>
      <c r="AI558" s="12" t="str">
        <f t="shared" si="277"/>
        <v/>
      </c>
      <c r="AJ558" s="12" t="str">
        <f t="shared" si="278"/>
        <v/>
      </c>
      <c r="AK558" s="12" t="str">
        <f t="shared" si="279"/>
        <v/>
      </c>
      <c r="AL558" s="12" t="str">
        <f t="shared" si="280"/>
        <v/>
      </c>
      <c r="AM558" s="12" t="str">
        <f t="shared" si="281"/>
        <v/>
      </c>
      <c r="AN558" s="12" t="str">
        <f t="shared" si="282"/>
        <v/>
      </c>
      <c r="AO558" s="12" t="str">
        <f t="shared" si="283"/>
        <v/>
      </c>
      <c r="AP558" s="12" t="str">
        <f t="shared" si="284"/>
        <v/>
      </c>
    </row>
    <row r="559" spans="1:42">
      <c r="A559" s="9" t="str">
        <f t="shared" si="285"/>
        <v/>
      </c>
      <c r="B559" s="22" t="str">
        <f t="shared" si="286"/>
        <v/>
      </c>
      <c r="C559" s="23" t="str">
        <f t="shared" si="287"/>
        <v/>
      </c>
      <c r="D559" s="24" t="str">
        <f t="shared" si="288"/>
        <v/>
      </c>
      <c r="E559" s="24" t="str">
        <f t="shared" si="289"/>
        <v/>
      </c>
      <c r="F559" s="25" t="str">
        <f t="shared" si="290"/>
        <v/>
      </c>
      <c r="G559" s="7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2"/>
      <c r="U559" s="12">
        <f t="shared" si="264"/>
        <v>0</v>
      </c>
      <c r="V559" s="28" t="str">
        <f t="shared" ca="1" si="265"/>
        <v/>
      </c>
      <c r="W559" s="28" t="str">
        <f t="shared" si="266"/>
        <v/>
      </c>
      <c r="X559" s="12" t="str">
        <f t="shared" si="267"/>
        <v/>
      </c>
      <c r="Y559" s="12" t="str">
        <f t="shared" si="268"/>
        <v/>
      </c>
      <c r="Z559" s="12" t="str">
        <f t="shared" si="269"/>
        <v/>
      </c>
      <c r="AA559" s="12" t="str">
        <f t="shared" si="270"/>
        <v/>
      </c>
      <c r="AB559" s="12" t="str">
        <f t="shared" si="271"/>
        <v/>
      </c>
      <c r="AC559" s="12" t="str">
        <f t="shared" si="272"/>
        <v/>
      </c>
      <c r="AD559" s="12" t="str">
        <f t="shared" si="273"/>
        <v/>
      </c>
      <c r="AE559" s="12" t="str">
        <f t="shared" si="274"/>
        <v/>
      </c>
      <c r="AF559" s="12" t="str">
        <f t="shared" si="275"/>
        <v/>
      </c>
      <c r="AG559" s="12"/>
      <c r="AH559" s="12" t="str">
        <f t="shared" si="276"/>
        <v/>
      </c>
      <c r="AI559" s="12" t="str">
        <f t="shared" si="277"/>
        <v/>
      </c>
      <c r="AJ559" s="12" t="str">
        <f t="shared" si="278"/>
        <v/>
      </c>
      <c r="AK559" s="12" t="str">
        <f t="shared" si="279"/>
        <v/>
      </c>
      <c r="AL559" s="12" t="str">
        <f t="shared" si="280"/>
        <v/>
      </c>
      <c r="AM559" s="12" t="str">
        <f t="shared" si="281"/>
        <v/>
      </c>
      <c r="AN559" s="12" t="str">
        <f t="shared" si="282"/>
        <v/>
      </c>
      <c r="AO559" s="12" t="str">
        <f t="shared" si="283"/>
        <v/>
      </c>
      <c r="AP559" s="12" t="str">
        <f t="shared" si="284"/>
        <v/>
      </c>
    </row>
    <row r="560" spans="1:42">
      <c r="A560" s="9" t="str">
        <f t="shared" si="285"/>
        <v/>
      </c>
      <c r="B560" s="22" t="str">
        <f t="shared" si="286"/>
        <v/>
      </c>
      <c r="C560" s="23" t="str">
        <f t="shared" si="287"/>
        <v/>
      </c>
      <c r="D560" s="24" t="str">
        <f t="shared" si="288"/>
        <v/>
      </c>
      <c r="E560" s="24" t="str">
        <f t="shared" si="289"/>
        <v/>
      </c>
      <c r="F560" s="25" t="str">
        <f t="shared" si="290"/>
        <v/>
      </c>
      <c r="G560" s="7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2"/>
      <c r="U560" s="12">
        <f t="shared" si="264"/>
        <v>0</v>
      </c>
      <c r="V560" s="28" t="str">
        <f t="shared" ca="1" si="265"/>
        <v/>
      </c>
      <c r="W560" s="28" t="str">
        <f t="shared" si="266"/>
        <v/>
      </c>
      <c r="X560" s="12" t="str">
        <f t="shared" si="267"/>
        <v/>
      </c>
      <c r="Y560" s="12" t="str">
        <f t="shared" si="268"/>
        <v/>
      </c>
      <c r="Z560" s="12" t="str">
        <f t="shared" si="269"/>
        <v/>
      </c>
      <c r="AA560" s="12" t="str">
        <f t="shared" si="270"/>
        <v/>
      </c>
      <c r="AB560" s="12" t="str">
        <f t="shared" si="271"/>
        <v/>
      </c>
      <c r="AC560" s="12" t="str">
        <f t="shared" si="272"/>
        <v/>
      </c>
      <c r="AD560" s="12" t="str">
        <f t="shared" si="273"/>
        <v/>
      </c>
      <c r="AE560" s="12" t="str">
        <f t="shared" si="274"/>
        <v/>
      </c>
      <c r="AF560" s="12" t="str">
        <f t="shared" si="275"/>
        <v/>
      </c>
      <c r="AG560" s="12"/>
      <c r="AH560" s="12" t="str">
        <f t="shared" si="276"/>
        <v/>
      </c>
      <c r="AI560" s="12" t="str">
        <f t="shared" si="277"/>
        <v/>
      </c>
      <c r="AJ560" s="12" t="str">
        <f t="shared" si="278"/>
        <v/>
      </c>
      <c r="AK560" s="12" t="str">
        <f t="shared" si="279"/>
        <v/>
      </c>
      <c r="AL560" s="12" t="str">
        <f t="shared" si="280"/>
        <v/>
      </c>
      <c r="AM560" s="12" t="str">
        <f t="shared" si="281"/>
        <v/>
      </c>
      <c r="AN560" s="12" t="str">
        <f t="shared" si="282"/>
        <v/>
      </c>
      <c r="AO560" s="12" t="str">
        <f t="shared" si="283"/>
        <v/>
      </c>
      <c r="AP560" s="12" t="str">
        <f t="shared" si="284"/>
        <v/>
      </c>
    </row>
    <row r="561" spans="1:42">
      <c r="A561" s="9" t="str">
        <f t="shared" si="285"/>
        <v/>
      </c>
      <c r="B561" s="22" t="str">
        <f t="shared" si="286"/>
        <v/>
      </c>
      <c r="C561" s="23" t="str">
        <f t="shared" si="287"/>
        <v/>
      </c>
      <c r="D561" s="24" t="str">
        <f t="shared" si="288"/>
        <v/>
      </c>
      <c r="E561" s="24" t="str">
        <f t="shared" si="289"/>
        <v/>
      </c>
      <c r="F561" s="25" t="str">
        <f t="shared" si="290"/>
        <v/>
      </c>
      <c r="G561" s="7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2"/>
      <c r="U561" s="12">
        <f t="shared" si="264"/>
        <v>0</v>
      </c>
      <c r="V561" s="28" t="str">
        <f t="shared" ca="1" si="265"/>
        <v/>
      </c>
      <c r="W561" s="28" t="str">
        <f t="shared" si="266"/>
        <v/>
      </c>
      <c r="X561" s="12" t="str">
        <f t="shared" si="267"/>
        <v/>
      </c>
      <c r="Y561" s="12" t="str">
        <f t="shared" si="268"/>
        <v/>
      </c>
      <c r="Z561" s="12" t="str">
        <f t="shared" si="269"/>
        <v/>
      </c>
      <c r="AA561" s="12" t="str">
        <f t="shared" si="270"/>
        <v/>
      </c>
      <c r="AB561" s="12" t="str">
        <f t="shared" si="271"/>
        <v/>
      </c>
      <c r="AC561" s="12" t="str">
        <f t="shared" si="272"/>
        <v/>
      </c>
      <c r="AD561" s="12" t="str">
        <f t="shared" si="273"/>
        <v/>
      </c>
      <c r="AE561" s="12" t="str">
        <f t="shared" si="274"/>
        <v/>
      </c>
      <c r="AF561" s="12" t="str">
        <f t="shared" si="275"/>
        <v/>
      </c>
      <c r="AG561" s="12"/>
      <c r="AH561" s="12" t="str">
        <f t="shared" si="276"/>
        <v/>
      </c>
      <c r="AI561" s="12" t="str">
        <f t="shared" si="277"/>
        <v/>
      </c>
      <c r="AJ561" s="12" t="str">
        <f t="shared" si="278"/>
        <v/>
      </c>
      <c r="AK561" s="12" t="str">
        <f t="shared" si="279"/>
        <v/>
      </c>
      <c r="AL561" s="12" t="str">
        <f t="shared" si="280"/>
        <v/>
      </c>
      <c r="AM561" s="12" t="str">
        <f t="shared" si="281"/>
        <v/>
      </c>
      <c r="AN561" s="12" t="str">
        <f t="shared" si="282"/>
        <v/>
      </c>
      <c r="AO561" s="12" t="str">
        <f t="shared" si="283"/>
        <v/>
      </c>
      <c r="AP561" s="12" t="str">
        <f t="shared" si="284"/>
        <v/>
      </c>
    </row>
    <row r="562" spans="1:42">
      <c r="A562" s="9" t="str">
        <f t="shared" si="285"/>
        <v/>
      </c>
      <c r="B562" s="22" t="str">
        <f t="shared" si="286"/>
        <v/>
      </c>
      <c r="C562" s="23" t="str">
        <f t="shared" si="287"/>
        <v/>
      </c>
      <c r="D562" s="24" t="str">
        <f t="shared" si="288"/>
        <v/>
      </c>
      <c r="E562" s="24" t="str">
        <f t="shared" si="289"/>
        <v/>
      </c>
      <c r="F562" s="25" t="str">
        <f t="shared" si="290"/>
        <v/>
      </c>
      <c r="G562" s="7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2"/>
      <c r="U562" s="12">
        <f t="shared" si="264"/>
        <v>0</v>
      </c>
      <c r="V562" s="28" t="str">
        <f t="shared" ca="1" si="265"/>
        <v/>
      </c>
      <c r="W562" s="28" t="str">
        <f t="shared" si="266"/>
        <v/>
      </c>
      <c r="X562" s="12" t="str">
        <f t="shared" si="267"/>
        <v/>
      </c>
      <c r="Y562" s="12" t="str">
        <f t="shared" si="268"/>
        <v/>
      </c>
      <c r="Z562" s="12" t="str">
        <f t="shared" si="269"/>
        <v/>
      </c>
      <c r="AA562" s="12" t="str">
        <f t="shared" si="270"/>
        <v/>
      </c>
      <c r="AB562" s="12" t="str">
        <f t="shared" si="271"/>
        <v/>
      </c>
      <c r="AC562" s="12" t="str">
        <f t="shared" si="272"/>
        <v/>
      </c>
      <c r="AD562" s="12" t="str">
        <f t="shared" si="273"/>
        <v/>
      </c>
      <c r="AE562" s="12" t="str">
        <f t="shared" si="274"/>
        <v/>
      </c>
      <c r="AF562" s="12" t="str">
        <f t="shared" si="275"/>
        <v/>
      </c>
      <c r="AG562" s="12"/>
      <c r="AH562" s="12" t="str">
        <f t="shared" si="276"/>
        <v/>
      </c>
      <c r="AI562" s="12" t="str">
        <f t="shared" si="277"/>
        <v/>
      </c>
      <c r="AJ562" s="12" t="str">
        <f t="shared" si="278"/>
        <v/>
      </c>
      <c r="AK562" s="12" t="str">
        <f t="shared" si="279"/>
        <v/>
      </c>
      <c r="AL562" s="12" t="str">
        <f t="shared" si="280"/>
        <v/>
      </c>
      <c r="AM562" s="12" t="str">
        <f t="shared" si="281"/>
        <v/>
      </c>
      <c r="AN562" s="12" t="str">
        <f t="shared" si="282"/>
        <v/>
      </c>
      <c r="AO562" s="12" t="str">
        <f t="shared" si="283"/>
        <v/>
      </c>
      <c r="AP562" s="12" t="str">
        <f t="shared" si="284"/>
        <v/>
      </c>
    </row>
    <row r="563" spans="1:42">
      <c r="A563" s="9" t="str">
        <f t="shared" si="285"/>
        <v/>
      </c>
      <c r="B563" s="22" t="str">
        <f t="shared" si="286"/>
        <v/>
      </c>
      <c r="C563" s="23" t="str">
        <f t="shared" si="287"/>
        <v/>
      </c>
      <c r="D563" s="24" t="str">
        <f t="shared" si="288"/>
        <v/>
      </c>
      <c r="E563" s="24" t="str">
        <f t="shared" si="289"/>
        <v/>
      </c>
      <c r="F563" s="25" t="str">
        <f t="shared" si="290"/>
        <v/>
      </c>
      <c r="G563" s="7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2"/>
      <c r="U563" s="12">
        <f t="shared" si="264"/>
        <v>0</v>
      </c>
      <c r="V563" s="28" t="str">
        <f t="shared" ca="1" si="265"/>
        <v/>
      </c>
      <c r="W563" s="28" t="str">
        <f t="shared" si="266"/>
        <v/>
      </c>
      <c r="X563" s="12" t="str">
        <f t="shared" si="267"/>
        <v/>
      </c>
      <c r="Y563" s="12" t="str">
        <f t="shared" si="268"/>
        <v/>
      </c>
      <c r="Z563" s="12" t="str">
        <f t="shared" si="269"/>
        <v/>
      </c>
      <c r="AA563" s="12" t="str">
        <f t="shared" si="270"/>
        <v/>
      </c>
      <c r="AB563" s="12" t="str">
        <f t="shared" si="271"/>
        <v/>
      </c>
      <c r="AC563" s="12" t="str">
        <f t="shared" si="272"/>
        <v/>
      </c>
      <c r="AD563" s="12" t="str">
        <f t="shared" si="273"/>
        <v/>
      </c>
      <c r="AE563" s="12" t="str">
        <f t="shared" si="274"/>
        <v/>
      </c>
      <c r="AF563" s="12" t="str">
        <f t="shared" si="275"/>
        <v/>
      </c>
      <c r="AG563" s="12"/>
      <c r="AH563" s="12" t="str">
        <f t="shared" si="276"/>
        <v/>
      </c>
      <c r="AI563" s="12" t="str">
        <f t="shared" si="277"/>
        <v/>
      </c>
      <c r="AJ563" s="12" t="str">
        <f t="shared" si="278"/>
        <v/>
      </c>
      <c r="AK563" s="12" t="str">
        <f t="shared" si="279"/>
        <v/>
      </c>
      <c r="AL563" s="12" t="str">
        <f t="shared" si="280"/>
        <v/>
      </c>
      <c r="AM563" s="12" t="str">
        <f t="shared" si="281"/>
        <v/>
      </c>
      <c r="AN563" s="12" t="str">
        <f t="shared" si="282"/>
        <v/>
      </c>
      <c r="AO563" s="12" t="str">
        <f t="shared" si="283"/>
        <v/>
      </c>
      <c r="AP563" s="12" t="str">
        <f t="shared" si="284"/>
        <v/>
      </c>
    </row>
    <row r="564" spans="1:42">
      <c r="A564" s="9" t="str">
        <f t="shared" si="285"/>
        <v/>
      </c>
      <c r="B564" s="22" t="str">
        <f t="shared" si="286"/>
        <v/>
      </c>
      <c r="C564" s="23" t="str">
        <f t="shared" si="287"/>
        <v/>
      </c>
      <c r="D564" s="24" t="str">
        <f t="shared" si="288"/>
        <v/>
      </c>
      <c r="E564" s="24" t="str">
        <f t="shared" si="289"/>
        <v/>
      </c>
      <c r="F564" s="25" t="str">
        <f t="shared" si="290"/>
        <v/>
      </c>
      <c r="G564" s="7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2"/>
      <c r="U564" s="12">
        <f t="shared" si="264"/>
        <v>0</v>
      </c>
      <c r="V564" s="28" t="str">
        <f t="shared" ca="1" si="265"/>
        <v/>
      </c>
      <c r="W564" s="28" t="str">
        <f t="shared" si="266"/>
        <v/>
      </c>
      <c r="X564" s="12" t="str">
        <f t="shared" si="267"/>
        <v/>
      </c>
      <c r="Y564" s="12" t="str">
        <f t="shared" si="268"/>
        <v/>
      </c>
      <c r="Z564" s="12" t="str">
        <f t="shared" si="269"/>
        <v/>
      </c>
      <c r="AA564" s="12" t="str">
        <f t="shared" si="270"/>
        <v/>
      </c>
      <c r="AB564" s="12" t="str">
        <f t="shared" si="271"/>
        <v/>
      </c>
      <c r="AC564" s="12" t="str">
        <f t="shared" si="272"/>
        <v/>
      </c>
      <c r="AD564" s="12" t="str">
        <f t="shared" si="273"/>
        <v/>
      </c>
      <c r="AE564" s="12" t="str">
        <f t="shared" si="274"/>
        <v/>
      </c>
      <c r="AF564" s="12" t="str">
        <f t="shared" si="275"/>
        <v/>
      </c>
      <c r="AG564" s="12"/>
      <c r="AH564" s="12" t="str">
        <f t="shared" si="276"/>
        <v/>
      </c>
      <c r="AI564" s="12" t="str">
        <f t="shared" si="277"/>
        <v/>
      </c>
      <c r="AJ564" s="12" t="str">
        <f t="shared" si="278"/>
        <v/>
      </c>
      <c r="AK564" s="12" t="str">
        <f t="shared" si="279"/>
        <v/>
      </c>
      <c r="AL564" s="12" t="str">
        <f t="shared" si="280"/>
        <v/>
      </c>
      <c r="AM564" s="12" t="str">
        <f t="shared" si="281"/>
        <v/>
      </c>
      <c r="AN564" s="12" t="str">
        <f t="shared" si="282"/>
        <v/>
      </c>
      <c r="AO564" s="12" t="str">
        <f t="shared" si="283"/>
        <v/>
      </c>
      <c r="AP564" s="12" t="str">
        <f t="shared" si="284"/>
        <v/>
      </c>
    </row>
    <row r="565" spans="1:42">
      <c r="A565" s="9" t="str">
        <f t="shared" si="285"/>
        <v/>
      </c>
      <c r="B565" s="22" t="str">
        <f t="shared" si="286"/>
        <v/>
      </c>
      <c r="C565" s="23" t="str">
        <f t="shared" si="287"/>
        <v/>
      </c>
      <c r="D565" s="24" t="str">
        <f t="shared" si="288"/>
        <v/>
      </c>
      <c r="E565" s="24" t="str">
        <f t="shared" si="289"/>
        <v/>
      </c>
      <c r="F565" s="25" t="str">
        <f t="shared" si="290"/>
        <v/>
      </c>
      <c r="G565" s="7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2"/>
      <c r="U565" s="12">
        <f t="shared" si="264"/>
        <v>0</v>
      </c>
      <c r="V565" s="28" t="str">
        <f t="shared" ca="1" si="265"/>
        <v/>
      </c>
      <c r="W565" s="28" t="str">
        <f t="shared" si="266"/>
        <v/>
      </c>
      <c r="X565" s="12" t="str">
        <f t="shared" si="267"/>
        <v/>
      </c>
      <c r="Y565" s="12" t="str">
        <f t="shared" si="268"/>
        <v/>
      </c>
      <c r="Z565" s="12" t="str">
        <f t="shared" si="269"/>
        <v/>
      </c>
      <c r="AA565" s="12" t="str">
        <f t="shared" si="270"/>
        <v/>
      </c>
      <c r="AB565" s="12" t="str">
        <f t="shared" si="271"/>
        <v/>
      </c>
      <c r="AC565" s="12" t="str">
        <f t="shared" si="272"/>
        <v/>
      </c>
      <c r="AD565" s="12" t="str">
        <f t="shared" si="273"/>
        <v/>
      </c>
      <c r="AE565" s="12" t="str">
        <f t="shared" si="274"/>
        <v/>
      </c>
      <c r="AF565" s="12" t="str">
        <f t="shared" si="275"/>
        <v/>
      </c>
      <c r="AG565" s="12"/>
      <c r="AH565" s="12" t="str">
        <f t="shared" si="276"/>
        <v/>
      </c>
      <c r="AI565" s="12" t="str">
        <f t="shared" si="277"/>
        <v/>
      </c>
      <c r="AJ565" s="12" t="str">
        <f t="shared" si="278"/>
        <v/>
      </c>
      <c r="AK565" s="12" t="str">
        <f t="shared" si="279"/>
        <v/>
      </c>
      <c r="AL565" s="12" t="str">
        <f t="shared" si="280"/>
        <v/>
      </c>
      <c r="AM565" s="12" t="str">
        <f t="shared" si="281"/>
        <v/>
      </c>
      <c r="AN565" s="12" t="str">
        <f t="shared" si="282"/>
        <v/>
      </c>
      <c r="AO565" s="12" t="str">
        <f t="shared" si="283"/>
        <v/>
      </c>
      <c r="AP565" s="12" t="str">
        <f t="shared" si="284"/>
        <v/>
      </c>
    </row>
    <row r="566" spans="1:42">
      <c r="A566" s="9" t="str">
        <f t="shared" si="285"/>
        <v/>
      </c>
      <c r="B566" s="22" t="str">
        <f t="shared" si="286"/>
        <v/>
      </c>
      <c r="C566" s="23" t="str">
        <f t="shared" si="287"/>
        <v/>
      </c>
      <c r="D566" s="24" t="str">
        <f t="shared" si="288"/>
        <v/>
      </c>
      <c r="E566" s="24" t="str">
        <f t="shared" si="289"/>
        <v/>
      </c>
      <c r="F566" s="25" t="str">
        <f t="shared" si="290"/>
        <v/>
      </c>
      <c r="G566" s="7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2"/>
      <c r="U566" s="12">
        <f t="shared" si="264"/>
        <v>0</v>
      </c>
      <c r="V566" s="28" t="str">
        <f t="shared" ca="1" si="265"/>
        <v/>
      </c>
      <c r="W566" s="28" t="str">
        <f t="shared" si="266"/>
        <v/>
      </c>
      <c r="X566" s="12" t="str">
        <f t="shared" si="267"/>
        <v/>
      </c>
      <c r="Y566" s="12" t="str">
        <f t="shared" si="268"/>
        <v/>
      </c>
      <c r="Z566" s="12" t="str">
        <f t="shared" si="269"/>
        <v/>
      </c>
      <c r="AA566" s="12" t="str">
        <f t="shared" si="270"/>
        <v/>
      </c>
      <c r="AB566" s="12" t="str">
        <f t="shared" si="271"/>
        <v/>
      </c>
      <c r="AC566" s="12" t="str">
        <f t="shared" si="272"/>
        <v/>
      </c>
      <c r="AD566" s="12" t="str">
        <f t="shared" si="273"/>
        <v/>
      </c>
      <c r="AE566" s="12" t="str">
        <f t="shared" si="274"/>
        <v/>
      </c>
      <c r="AF566" s="12" t="str">
        <f t="shared" si="275"/>
        <v/>
      </c>
      <c r="AG566" s="12"/>
      <c r="AH566" s="12" t="str">
        <f t="shared" si="276"/>
        <v/>
      </c>
      <c r="AI566" s="12" t="str">
        <f t="shared" si="277"/>
        <v/>
      </c>
      <c r="AJ566" s="12" t="str">
        <f t="shared" si="278"/>
        <v/>
      </c>
      <c r="AK566" s="12" t="str">
        <f t="shared" si="279"/>
        <v/>
      </c>
      <c r="AL566" s="12" t="str">
        <f t="shared" si="280"/>
        <v/>
      </c>
      <c r="AM566" s="12" t="str">
        <f t="shared" si="281"/>
        <v/>
      </c>
      <c r="AN566" s="12" t="str">
        <f t="shared" si="282"/>
        <v/>
      </c>
      <c r="AO566" s="12" t="str">
        <f t="shared" si="283"/>
        <v/>
      </c>
      <c r="AP566" s="12" t="str">
        <f t="shared" si="284"/>
        <v/>
      </c>
    </row>
    <row r="567" spans="1:42">
      <c r="A567" s="9" t="str">
        <f t="shared" si="285"/>
        <v/>
      </c>
      <c r="B567" s="22" t="str">
        <f t="shared" si="286"/>
        <v/>
      </c>
      <c r="C567" s="23" t="str">
        <f t="shared" si="287"/>
        <v/>
      </c>
      <c r="D567" s="24" t="str">
        <f t="shared" si="288"/>
        <v/>
      </c>
      <c r="E567" s="24" t="str">
        <f t="shared" si="289"/>
        <v/>
      </c>
      <c r="F567" s="25" t="str">
        <f t="shared" si="290"/>
        <v/>
      </c>
      <c r="G567" s="7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2"/>
      <c r="U567" s="12">
        <f t="shared" si="264"/>
        <v>0</v>
      </c>
      <c r="V567" s="28" t="str">
        <f t="shared" ca="1" si="265"/>
        <v/>
      </c>
      <c r="W567" s="28" t="str">
        <f t="shared" si="266"/>
        <v/>
      </c>
      <c r="X567" s="12" t="str">
        <f t="shared" si="267"/>
        <v/>
      </c>
      <c r="Y567" s="12" t="str">
        <f t="shared" si="268"/>
        <v/>
      </c>
      <c r="Z567" s="12" t="str">
        <f t="shared" si="269"/>
        <v/>
      </c>
      <c r="AA567" s="12" t="str">
        <f t="shared" si="270"/>
        <v/>
      </c>
      <c r="AB567" s="12" t="str">
        <f t="shared" si="271"/>
        <v/>
      </c>
      <c r="AC567" s="12" t="str">
        <f t="shared" si="272"/>
        <v/>
      </c>
      <c r="AD567" s="12" t="str">
        <f t="shared" si="273"/>
        <v/>
      </c>
      <c r="AE567" s="12" t="str">
        <f t="shared" si="274"/>
        <v/>
      </c>
      <c r="AF567" s="12" t="str">
        <f t="shared" si="275"/>
        <v/>
      </c>
      <c r="AG567" s="12"/>
      <c r="AH567" s="12" t="str">
        <f t="shared" si="276"/>
        <v/>
      </c>
      <c r="AI567" s="12" t="str">
        <f t="shared" si="277"/>
        <v/>
      </c>
      <c r="AJ567" s="12" t="str">
        <f t="shared" si="278"/>
        <v/>
      </c>
      <c r="AK567" s="12" t="str">
        <f t="shared" si="279"/>
        <v/>
      </c>
      <c r="AL567" s="12" t="str">
        <f t="shared" si="280"/>
        <v/>
      </c>
      <c r="AM567" s="12" t="str">
        <f t="shared" si="281"/>
        <v/>
      </c>
      <c r="AN567" s="12" t="str">
        <f t="shared" si="282"/>
        <v/>
      </c>
      <c r="AO567" s="12" t="str">
        <f t="shared" si="283"/>
        <v/>
      </c>
      <c r="AP567" s="12" t="str">
        <f t="shared" si="284"/>
        <v/>
      </c>
    </row>
    <row r="568" spans="1:42">
      <c r="A568" s="9" t="str">
        <f t="shared" si="285"/>
        <v/>
      </c>
      <c r="B568" s="22" t="str">
        <f t="shared" si="286"/>
        <v/>
      </c>
      <c r="C568" s="23" t="str">
        <f t="shared" si="287"/>
        <v/>
      </c>
      <c r="D568" s="24" t="str">
        <f t="shared" si="288"/>
        <v/>
      </c>
      <c r="E568" s="24" t="str">
        <f t="shared" si="289"/>
        <v/>
      </c>
      <c r="F568" s="25" t="str">
        <f t="shared" si="290"/>
        <v/>
      </c>
      <c r="G568" s="7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2"/>
      <c r="U568" s="12">
        <f t="shared" si="264"/>
        <v>0</v>
      </c>
      <c r="V568" s="28" t="str">
        <f t="shared" ca="1" si="265"/>
        <v/>
      </c>
      <c r="W568" s="28" t="str">
        <f t="shared" si="266"/>
        <v/>
      </c>
      <c r="X568" s="12" t="str">
        <f t="shared" si="267"/>
        <v/>
      </c>
      <c r="Y568" s="12" t="str">
        <f t="shared" si="268"/>
        <v/>
      </c>
      <c r="Z568" s="12" t="str">
        <f t="shared" si="269"/>
        <v/>
      </c>
      <c r="AA568" s="12" t="str">
        <f t="shared" si="270"/>
        <v/>
      </c>
      <c r="AB568" s="12" t="str">
        <f t="shared" si="271"/>
        <v/>
      </c>
      <c r="AC568" s="12" t="str">
        <f t="shared" si="272"/>
        <v/>
      </c>
      <c r="AD568" s="12" t="str">
        <f t="shared" si="273"/>
        <v/>
      </c>
      <c r="AE568" s="12" t="str">
        <f t="shared" si="274"/>
        <v/>
      </c>
      <c r="AF568" s="12" t="str">
        <f t="shared" si="275"/>
        <v/>
      </c>
      <c r="AG568" s="12"/>
      <c r="AH568" s="12" t="str">
        <f t="shared" si="276"/>
        <v/>
      </c>
      <c r="AI568" s="12" t="str">
        <f t="shared" si="277"/>
        <v/>
      </c>
      <c r="AJ568" s="12" t="str">
        <f t="shared" si="278"/>
        <v/>
      </c>
      <c r="AK568" s="12" t="str">
        <f t="shared" si="279"/>
        <v/>
      </c>
      <c r="AL568" s="12" t="str">
        <f t="shared" si="280"/>
        <v/>
      </c>
      <c r="AM568" s="12" t="str">
        <f t="shared" si="281"/>
        <v/>
      </c>
      <c r="AN568" s="12" t="str">
        <f t="shared" si="282"/>
        <v/>
      </c>
      <c r="AO568" s="12" t="str">
        <f t="shared" si="283"/>
        <v/>
      </c>
      <c r="AP568" s="12" t="str">
        <f t="shared" si="284"/>
        <v/>
      </c>
    </row>
    <row r="569" spans="1:42">
      <c r="A569" s="9" t="str">
        <f t="shared" si="285"/>
        <v/>
      </c>
      <c r="B569" s="22" t="str">
        <f t="shared" si="286"/>
        <v/>
      </c>
      <c r="C569" s="23" t="str">
        <f t="shared" si="287"/>
        <v/>
      </c>
      <c r="D569" s="24" t="str">
        <f t="shared" si="288"/>
        <v/>
      </c>
      <c r="E569" s="24" t="str">
        <f t="shared" si="289"/>
        <v/>
      </c>
      <c r="F569" s="25" t="str">
        <f t="shared" si="290"/>
        <v/>
      </c>
      <c r="G569" s="7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2"/>
      <c r="U569" s="12">
        <f t="shared" si="264"/>
        <v>0</v>
      </c>
      <c r="V569" s="28" t="str">
        <f t="shared" ca="1" si="265"/>
        <v/>
      </c>
      <c r="W569" s="28" t="str">
        <f t="shared" si="266"/>
        <v/>
      </c>
      <c r="X569" s="12" t="str">
        <f t="shared" si="267"/>
        <v/>
      </c>
      <c r="Y569" s="12" t="str">
        <f t="shared" si="268"/>
        <v/>
      </c>
      <c r="Z569" s="12" t="str">
        <f t="shared" si="269"/>
        <v/>
      </c>
      <c r="AA569" s="12" t="str">
        <f t="shared" si="270"/>
        <v/>
      </c>
      <c r="AB569" s="12" t="str">
        <f t="shared" si="271"/>
        <v/>
      </c>
      <c r="AC569" s="12" t="str">
        <f t="shared" si="272"/>
        <v/>
      </c>
      <c r="AD569" s="12" t="str">
        <f t="shared" si="273"/>
        <v/>
      </c>
      <c r="AE569" s="12" t="str">
        <f t="shared" si="274"/>
        <v/>
      </c>
      <c r="AF569" s="12" t="str">
        <f t="shared" si="275"/>
        <v/>
      </c>
      <c r="AG569" s="12"/>
      <c r="AH569" s="12" t="str">
        <f t="shared" si="276"/>
        <v/>
      </c>
      <c r="AI569" s="12" t="str">
        <f t="shared" si="277"/>
        <v/>
      </c>
      <c r="AJ569" s="12" t="str">
        <f t="shared" si="278"/>
        <v/>
      </c>
      <c r="AK569" s="12" t="str">
        <f t="shared" si="279"/>
        <v/>
      </c>
      <c r="AL569" s="12" t="str">
        <f t="shared" si="280"/>
        <v/>
      </c>
      <c r="AM569" s="12" t="str">
        <f t="shared" si="281"/>
        <v/>
      </c>
      <c r="AN569" s="12" t="str">
        <f t="shared" si="282"/>
        <v/>
      </c>
      <c r="AO569" s="12" t="str">
        <f t="shared" si="283"/>
        <v/>
      </c>
      <c r="AP569" s="12" t="str">
        <f t="shared" si="284"/>
        <v/>
      </c>
    </row>
    <row r="570" spans="1:42">
      <c r="A570" s="9" t="str">
        <f t="shared" si="285"/>
        <v/>
      </c>
      <c r="B570" s="22" t="str">
        <f t="shared" si="286"/>
        <v/>
      </c>
      <c r="C570" s="23" t="str">
        <f t="shared" si="287"/>
        <v/>
      </c>
      <c r="D570" s="24" t="str">
        <f t="shared" si="288"/>
        <v/>
      </c>
      <c r="E570" s="24" t="str">
        <f t="shared" si="289"/>
        <v/>
      </c>
      <c r="F570" s="25" t="str">
        <f t="shared" si="290"/>
        <v/>
      </c>
      <c r="G570" s="7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2"/>
      <c r="U570" s="12">
        <f t="shared" si="264"/>
        <v>0</v>
      </c>
      <c r="V570" s="28" t="str">
        <f t="shared" ca="1" si="265"/>
        <v/>
      </c>
      <c r="W570" s="28" t="str">
        <f t="shared" si="266"/>
        <v/>
      </c>
      <c r="X570" s="12" t="str">
        <f t="shared" si="267"/>
        <v/>
      </c>
      <c r="Y570" s="12" t="str">
        <f t="shared" si="268"/>
        <v/>
      </c>
      <c r="Z570" s="12" t="str">
        <f t="shared" si="269"/>
        <v/>
      </c>
      <c r="AA570" s="12" t="str">
        <f t="shared" si="270"/>
        <v/>
      </c>
      <c r="AB570" s="12" t="str">
        <f t="shared" si="271"/>
        <v/>
      </c>
      <c r="AC570" s="12" t="str">
        <f t="shared" si="272"/>
        <v/>
      </c>
      <c r="AD570" s="12" t="str">
        <f t="shared" si="273"/>
        <v/>
      </c>
      <c r="AE570" s="12" t="str">
        <f t="shared" si="274"/>
        <v/>
      </c>
      <c r="AF570" s="12" t="str">
        <f t="shared" si="275"/>
        <v/>
      </c>
      <c r="AG570" s="12"/>
      <c r="AH570" s="12" t="str">
        <f t="shared" si="276"/>
        <v/>
      </c>
      <c r="AI570" s="12" t="str">
        <f t="shared" si="277"/>
        <v/>
      </c>
      <c r="AJ570" s="12" t="str">
        <f t="shared" si="278"/>
        <v/>
      </c>
      <c r="AK570" s="12" t="str">
        <f t="shared" si="279"/>
        <v/>
      </c>
      <c r="AL570" s="12" t="str">
        <f t="shared" si="280"/>
        <v/>
      </c>
      <c r="AM570" s="12" t="str">
        <f t="shared" si="281"/>
        <v/>
      </c>
      <c r="AN570" s="12" t="str">
        <f t="shared" si="282"/>
        <v/>
      </c>
      <c r="AO570" s="12" t="str">
        <f t="shared" si="283"/>
        <v/>
      </c>
      <c r="AP570" s="12" t="str">
        <f t="shared" si="284"/>
        <v/>
      </c>
    </row>
    <row r="571" spans="1:42">
      <c r="A571" s="9" t="str">
        <f t="shared" si="285"/>
        <v/>
      </c>
      <c r="B571" s="22" t="str">
        <f t="shared" si="286"/>
        <v/>
      </c>
      <c r="C571" s="23" t="str">
        <f t="shared" si="287"/>
        <v/>
      </c>
      <c r="D571" s="24" t="str">
        <f t="shared" si="288"/>
        <v/>
      </c>
      <c r="E571" s="24" t="str">
        <f t="shared" si="289"/>
        <v/>
      </c>
      <c r="F571" s="25" t="str">
        <f t="shared" si="290"/>
        <v/>
      </c>
      <c r="G571" s="7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2"/>
      <c r="U571" s="12">
        <f t="shared" si="264"/>
        <v>0</v>
      </c>
      <c r="V571" s="28" t="str">
        <f t="shared" ca="1" si="265"/>
        <v/>
      </c>
      <c r="W571" s="28" t="str">
        <f t="shared" si="266"/>
        <v/>
      </c>
      <c r="X571" s="12" t="str">
        <f t="shared" si="267"/>
        <v/>
      </c>
      <c r="Y571" s="12" t="str">
        <f t="shared" si="268"/>
        <v/>
      </c>
      <c r="Z571" s="12" t="str">
        <f t="shared" si="269"/>
        <v/>
      </c>
      <c r="AA571" s="12" t="str">
        <f t="shared" si="270"/>
        <v/>
      </c>
      <c r="AB571" s="12" t="str">
        <f t="shared" si="271"/>
        <v/>
      </c>
      <c r="AC571" s="12" t="str">
        <f t="shared" si="272"/>
        <v/>
      </c>
      <c r="AD571" s="12" t="str">
        <f t="shared" si="273"/>
        <v/>
      </c>
      <c r="AE571" s="12" t="str">
        <f t="shared" si="274"/>
        <v/>
      </c>
      <c r="AF571" s="12" t="str">
        <f t="shared" si="275"/>
        <v/>
      </c>
      <c r="AG571" s="12"/>
      <c r="AH571" s="12" t="str">
        <f t="shared" si="276"/>
        <v/>
      </c>
      <c r="AI571" s="12" t="str">
        <f t="shared" si="277"/>
        <v/>
      </c>
      <c r="AJ571" s="12" t="str">
        <f t="shared" si="278"/>
        <v/>
      </c>
      <c r="AK571" s="12" t="str">
        <f t="shared" si="279"/>
        <v/>
      </c>
      <c r="AL571" s="12" t="str">
        <f t="shared" si="280"/>
        <v/>
      </c>
      <c r="AM571" s="12" t="str">
        <f t="shared" si="281"/>
        <v/>
      </c>
      <c r="AN571" s="12" t="str">
        <f t="shared" si="282"/>
        <v/>
      </c>
      <c r="AO571" s="12" t="str">
        <f t="shared" si="283"/>
        <v/>
      </c>
      <c r="AP571" s="12" t="str">
        <f t="shared" si="284"/>
        <v/>
      </c>
    </row>
    <row r="572" spans="1:42">
      <c r="A572" s="9" t="str">
        <f t="shared" si="285"/>
        <v/>
      </c>
      <c r="B572" s="22" t="str">
        <f t="shared" si="286"/>
        <v/>
      </c>
      <c r="C572" s="23" t="str">
        <f t="shared" si="287"/>
        <v/>
      </c>
      <c r="D572" s="24" t="str">
        <f t="shared" si="288"/>
        <v/>
      </c>
      <c r="E572" s="24" t="str">
        <f t="shared" si="289"/>
        <v/>
      </c>
      <c r="F572" s="25" t="str">
        <f t="shared" si="290"/>
        <v/>
      </c>
      <c r="G572" s="7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2"/>
      <c r="U572" s="12">
        <f t="shared" si="264"/>
        <v>0</v>
      </c>
      <c r="V572" s="28" t="str">
        <f t="shared" ca="1" si="265"/>
        <v/>
      </c>
      <c r="W572" s="28" t="str">
        <f t="shared" si="266"/>
        <v/>
      </c>
      <c r="X572" s="12" t="str">
        <f t="shared" si="267"/>
        <v/>
      </c>
      <c r="Y572" s="12" t="str">
        <f t="shared" si="268"/>
        <v/>
      </c>
      <c r="Z572" s="12" t="str">
        <f t="shared" si="269"/>
        <v/>
      </c>
      <c r="AA572" s="12" t="str">
        <f t="shared" si="270"/>
        <v/>
      </c>
      <c r="AB572" s="12" t="str">
        <f t="shared" si="271"/>
        <v/>
      </c>
      <c r="AC572" s="12" t="str">
        <f t="shared" si="272"/>
        <v/>
      </c>
      <c r="AD572" s="12" t="str">
        <f t="shared" si="273"/>
        <v/>
      </c>
      <c r="AE572" s="12" t="str">
        <f t="shared" si="274"/>
        <v/>
      </c>
      <c r="AF572" s="12" t="str">
        <f t="shared" si="275"/>
        <v/>
      </c>
      <c r="AG572" s="12"/>
      <c r="AH572" s="12" t="str">
        <f t="shared" si="276"/>
        <v/>
      </c>
      <c r="AI572" s="12" t="str">
        <f t="shared" si="277"/>
        <v/>
      </c>
      <c r="AJ572" s="12" t="str">
        <f t="shared" si="278"/>
        <v/>
      </c>
      <c r="AK572" s="12" t="str">
        <f t="shared" si="279"/>
        <v/>
      </c>
      <c r="AL572" s="12" t="str">
        <f t="shared" si="280"/>
        <v/>
      </c>
      <c r="AM572" s="12" t="str">
        <f t="shared" si="281"/>
        <v/>
      </c>
      <c r="AN572" s="12" t="str">
        <f t="shared" si="282"/>
        <v/>
      </c>
      <c r="AO572" s="12" t="str">
        <f t="shared" si="283"/>
        <v/>
      </c>
      <c r="AP572" s="12" t="str">
        <f t="shared" si="284"/>
        <v/>
      </c>
    </row>
    <row r="573" spans="1:42">
      <c r="A573" s="9" t="str">
        <f t="shared" si="285"/>
        <v/>
      </c>
      <c r="B573" s="22" t="str">
        <f t="shared" si="286"/>
        <v/>
      </c>
      <c r="C573" s="23" t="str">
        <f t="shared" si="287"/>
        <v/>
      </c>
      <c r="D573" s="24" t="str">
        <f t="shared" si="288"/>
        <v/>
      </c>
      <c r="E573" s="24" t="str">
        <f t="shared" si="289"/>
        <v/>
      </c>
      <c r="F573" s="25" t="str">
        <f t="shared" si="290"/>
        <v/>
      </c>
      <c r="G573" s="7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2"/>
      <c r="U573" s="12">
        <f t="shared" si="264"/>
        <v>0</v>
      </c>
      <c r="V573" s="28" t="str">
        <f t="shared" ca="1" si="265"/>
        <v/>
      </c>
      <c r="W573" s="28" t="str">
        <f t="shared" si="266"/>
        <v/>
      </c>
      <c r="X573" s="12" t="str">
        <f t="shared" si="267"/>
        <v/>
      </c>
      <c r="Y573" s="12" t="str">
        <f t="shared" si="268"/>
        <v/>
      </c>
      <c r="Z573" s="12" t="str">
        <f t="shared" si="269"/>
        <v/>
      </c>
      <c r="AA573" s="12" t="str">
        <f t="shared" si="270"/>
        <v/>
      </c>
      <c r="AB573" s="12" t="str">
        <f t="shared" si="271"/>
        <v/>
      </c>
      <c r="AC573" s="12" t="str">
        <f t="shared" si="272"/>
        <v/>
      </c>
      <c r="AD573" s="12" t="str">
        <f t="shared" si="273"/>
        <v/>
      </c>
      <c r="AE573" s="12" t="str">
        <f t="shared" si="274"/>
        <v/>
      </c>
      <c r="AF573" s="12" t="str">
        <f t="shared" si="275"/>
        <v/>
      </c>
      <c r="AG573" s="12"/>
      <c r="AH573" s="12" t="str">
        <f t="shared" si="276"/>
        <v/>
      </c>
      <c r="AI573" s="12" t="str">
        <f t="shared" si="277"/>
        <v/>
      </c>
      <c r="AJ573" s="12" t="str">
        <f t="shared" si="278"/>
        <v/>
      </c>
      <c r="AK573" s="12" t="str">
        <f t="shared" si="279"/>
        <v/>
      </c>
      <c r="AL573" s="12" t="str">
        <f t="shared" si="280"/>
        <v/>
      </c>
      <c r="AM573" s="12" t="str">
        <f t="shared" si="281"/>
        <v/>
      </c>
      <c r="AN573" s="12" t="str">
        <f t="shared" si="282"/>
        <v/>
      </c>
      <c r="AO573" s="12" t="str">
        <f t="shared" si="283"/>
        <v/>
      </c>
      <c r="AP573" s="12" t="str">
        <f t="shared" si="284"/>
        <v/>
      </c>
    </row>
    <row r="574" spans="1:42">
      <c r="A574" s="9" t="str">
        <f t="shared" si="285"/>
        <v/>
      </c>
      <c r="B574" s="22" t="str">
        <f t="shared" si="286"/>
        <v/>
      </c>
      <c r="C574" s="23" t="str">
        <f t="shared" si="287"/>
        <v/>
      </c>
      <c r="D574" s="24" t="str">
        <f t="shared" si="288"/>
        <v/>
      </c>
      <c r="E574" s="24" t="str">
        <f t="shared" si="289"/>
        <v/>
      </c>
      <c r="F574" s="25" t="str">
        <f t="shared" si="290"/>
        <v/>
      </c>
      <c r="G574" s="7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2"/>
      <c r="U574" s="12">
        <f t="shared" si="264"/>
        <v>0</v>
      </c>
      <c r="V574" s="28" t="str">
        <f t="shared" ca="1" si="265"/>
        <v/>
      </c>
      <c r="W574" s="28" t="str">
        <f t="shared" si="266"/>
        <v/>
      </c>
      <c r="X574" s="12" t="str">
        <f t="shared" si="267"/>
        <v/>
      </c>
      <c r="Y574" s="12" t="str">
        <f t="shared" si="268"/>
        <v/>
      </c>
      <c r="Z574" s="12" t="str">
        <f t="shared" si="269"/>
        <v/>
      </c>
      <c r="AA574" s="12" t="str">
        <f t="shared" si="270"/>
        <v/>
      </c>
      <c r="AB574" s="12" t="str">
        <f t="shared" si="271"/>
        <v/>
      </c>
      <c r="AC574" s="12" t="str">
        <f t="shared" si="272"/>
        <v/>
      </c>
      <c r="AD574" s="12" t="str">
        <f t="shared" si="273"/>
        <v/>
      </c>
      <c r="AE574" s="12" t="str">
        <f t="shared" si="274"/>
        <v/>
      </c>
      <c r="AF574" s="12" t="str">
        <f t="shared" si="275"/>
        <v/>
      </c>
      <c r="AG574" s="12"/>
      <c r="AH574" s="12" t="str">
        <f t="shared" si="276"/>
        <v/>
      </c>
      <c r="AI574" s="12" t="str">
        <f t="shared" si="277"/>
        <v/>
      </c>
      <c r="AJ574" s="12" t="str">
        <f t="shared" si="278"/>
        <v/>
      </c>
      <c r="AK574" s="12" t="str">
        <f t="shared" si="279"/>
        <v/>
      </c>
      <c r="AL574" s="12" t="str">
        <f t="shared" si="280"/>
        <v/>
      </c>
      <c r="AM574" s="12" t="str">
        <f t="shared" si="281"/>
        <v/>
      </c>
      <c r="AN574" s="12" t="str">
        <f t="shared" si="282"/>
        <v/>
      </c>
      <c r="AO574" s="12" t="str">
        <f t="shared" si="283"/>
        <v/>
      </c>
      <c r="AP574" s="12" t="str">
        <f t="shared" si="284"/>
        <v/>
      </c>
    </row>
    <row r="575" spans="1:42">
      <c r="A575" s="9" t="str">
        <f t="shared" si="285"/>
        <v/>
      </c>
      <c r="B575" s="22" t="str">
        <f t="shared" si="286"/>
        <v/>
      </c>
      <c r="C575" s="23" t="str">
        <f t="shared" si="287"/>
        <v/>
      </c>
      <c r="D575" s="24" t="str">
        <f t="shared" si="288"/>
        <v/>
      </c>
      <c r="E575" s="24" t="str">
        <f t="shared" si="289"/>
        <v/>
      </c>
      <c r="F575" s="25" t="str">
        <f t="shared" si="290"/>
        <v/>
      </c>
      <c r="G575" s="7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2"/>
      <c r="U575" s="12">
        <f t="shared" ref="U575:U631" si="291">MIN(COUNTA(K$25:S$25),COUNTA(K575:S575))</f>
        <v>0</v>
      </c>
      <c r="V575" s="28" t="str">
        <f t="shared" ref="V575:V631" ca="1" si="292">IF(U575&gt;1,INDIRECT(ADDRESS(U575+1,3,1,1,"Student")),"")</f>
        <v/>
      </c>
      <c r="W575" s="28" t="str">
        <f t="shared" ref="W575:W631" si="293">IF(U575&gt;0,STDEV(X575:AF575),"")</f>
        <v/>
      </c>
      <c r="X575" s="12" t="str">
        <f t="shared" ref="X575:X631" si="294">IF(OR(ISBLANK(K$25),ISBLANK(K575),ISBLANK($I575)),"",$I575-K575+K$25)</f>
        <v/>
      </c>
      <c r="Y575" s="12" t="str">
        <f t="shared" ref="Y575:Y631" si="295">IF(OR(ISBLANK(L$25),ISBLANK(L575),ISBLANK($I575)),"",$I575-L575+L$25)</f>
        <v/>
      </c>
      <c r="Z575" s="12" t="str">
        <f t="shared" ref="Z575:Z631" si="296">IF(OR(ISBLANK(M$25),ISBLANK(M575),ISBLANK($I575)),"",$I575-M575+M$25)</f>
        <v/>
      </c>
      <c r="AA575" s="12" t="str">
        <f t="shared" ref="AA575:AA631" si="297">IF(OR(ISBLANK(N$25),ISBLANK(N575),ISBLANK($I575)),"",$I575-N575+N$25)</f>
        <v/>
      </c>
      <c r="AB575" s="12" t="str">
        <f t="shared" ref="AB575:AB631" si="298">IF(OR(ISBLANK(O$25),ISBLANK(O575),ISBLANK($I575)),"",$I575-O575+O$25)</f>
        <v/>
      </c>
      <c r="AC575" s="12" t="str">
        <f t="shared" ref="AC575:AC631" si="299">IF(OR(ISBLANK(P$25),ISBLANK(P575),ISBLANK($I575)),"",$I575-P575+P$25)</f>
        <v/>
      </c>
      <c r="AD575" s="12" t="str">
        <f t="shared" ref="AD575:AD631" si="300">IF(OR(ISBLANK(Q$25),ISBLANK(Q575),ISBLANK($I575)),"",$I575-Q575+Q$25)</f>
        <v/>
      </c>
      <c r="AE575" s="12" t="str">
        <f t="shared" ref="AE575:AE631" si="301">IF(OR(ISBLANK(R$25),ISBLANK(R575),ISBLANK($I575)),"",$I575-R575+R$25)</f>
        <v/>
      </c>
      <c r="AF575" s="12" t="str">
        <f t="shared" ref="AF575:AF631" si="302">IF(OR(ISBLANK(S$25),ISBLANK(S575),ISBLANK($I575)),"",$I575-S575+S$25)</f>
        <v/>
      </c>
      <c r="AG575" s="12"/>
      <c r="AH575" s="12" t="str">
        <f t="shared" ref="AH575:AH631" si="303">IF(OR(ISBLANK(K$25),ISBLANK(K575),ISBLANK($J575)),"",$J575-K575+K$25)</f>
        <v/>
      </c>
      <c r="AI575" s="12" t="str">
        <f t="shared" ref="AI575:AI631" si="304">IF(OR(ISBLANK(L$25),ISBLANK(L575),ISBLANK($J575)),"",$J575-L575+L$25)</f>
        <v/>
      </c>
      <c r="AJ575" s="12" t="str">
        <f t="shared" ref="AJ575:AJ631" si="305">IF(OR(ISBLANK(M$25),ISBLANK(M575),ISBLANK($J575)),"",$J575-M575+M$25)</f>
        <v/>
      </c>
      <c r="AK575" s="12" t="str">
        <f t="shared" ref="AK575:AK631" si="306">IF(OR(ISBLANK(N$25),ISBLANK(N575),ISBLANK($J575)),"",$J575-N575+N$25)</f>
        <v/>
      </c>
      <c r="AL575" s="12" t="str">
        <f t="shared" ref="AL575:AL631" si="307">IF(OR(ISBLANK(O$25),ISBLANK(O575),ISBLANK($J575)),"",$J575-O575+O$25)</f>
        <v/>
      </c>
      <c r="AM575" s="12" t="str">
        <f t="shared" ref="AM575:AM631" si="308">IF(OR(ISBLANK(P$25),ISBLANK(P575),ISBLANK($J575)),"",$J575-P575+P$25)</f>
        <v/>
      </c>
      <c r="AN575" s="12" t="str">
        <f t="shared" ref="AN575:AN631" si="309">IF(OR(ISBLANK(Q$25),ISBLANK(Q575),ISBLANK($J575)),"",$J575-Q575+Q$25)</f>
        <v/>
      </c>
      <c r="AO575" s="12" t="str">
        <f t="shared" ref="AO575:AO631" si="310">IF(OR(ISBLANK(R$25),ISBLANK(R575),ISBLANK($J575)),"",$J575-R575+R$25)</f>
        <v/>
      </c>
      <c r="AP575" s="12" t="str">
        <f t="shared" ref="AP575:AP631" si="311">IF(OR(ISBLANK(S$25),ISBLANK(S575),ISBLANK($J575)),"",$J575-S575+S$25)</f>
        <v/>
      </c>
    </row>
    <row r="576" spans="1:42">
      <c r="A576" s="9" t="str">
        <f t="shared" si="285"/>
        <v/>
      </c>
      <c r="B576" s="22" t="str">
        <f t="shared" si="286"/>
        <v/>
      </c>
      <c r="C576" s="23" t="str">
        <f t="shared" si="287"/>
        <v/>
      </c>
      <c r="D576" s="24" t="str">
        <f t="shared" si="288"/>
        <v/>
      </c>
      <c r="E576" s="24" t="str">
        <f t="shared" si="289"/>
        <v/>
      </c>
      <c r="F576" s="25" t="str">
        <f t="shared" si="290"/>
        <v/>
      </c>
      <c r="G576" s="7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2"/>
      <c r="U576" s="12">
        <f t="shared" si="291"/>
        <v>0</v>
      </c>
      <c r="V576" s="28" t="str">
        <f t="shared" ca="1" si="292"/>
        <v/>
      </c>
      <c r="W576" s="28" t="str">
        <f t="shared" si="293"/>
        <v/>
      </c>
      <c r="X576" s="12" t="str">
        <f t="shared" si="294"/>
        <v/>
      </c>
      <c r="Y576" s="12" t="str">
        <f t="shared" si="295"/>
        <v/>
      </c>
      <c r="Z576" s="12" t="str">
        <f t="shared" si="296"/>
        <v/>
      </c>
      <c r="AA576" s="12" t="str">
        <f t="shared" si="297"/>
        <v/>
      </c>
      <c r="AB576" s="12" t="str">
        <f t="shared" si="298"/>
        <v/>
      </c>
      <c r="AC576" s="12" t="str">
        <f t="shared" si="299"/>
        <v/>
      </c>
      <c r="AD576" s="12" t="str">
        <f t="shared" si="300"/>
        <v/>
      </c>
      <c r="AE576" s="12" t="str">
        <f t="shared" si="301"/>
        <v/>
      </c>
      <c r="AF576" s="12" t="str">
        <f t="shared" si="302"/>
        <v/>
      </c>
      <c r="AG576" s="12"/>
      <c r="AH576" s="12" t="str">
        <f t="shared" si="303"/>
        <v/>
      </c>
      <c r="AI576" s="12" t="str">
        <f t="shared" si="304"/>
        <v/>
      </c>
      <c r="AJ576" s="12" t="str">
        <f t="shared" si="305"/>
        <v/>
      </c>
      <c r="AK576" s="12" t="str">
        <f t="shared" si="306"/>
        <v/>
      </c>
      <c r="AL576" s="12" t="str">
        <f t="shared" si="307"/>
        <v/>
      </c>
      <c r="AM576" s="12" t="str">
        <f t="shared" si="308"/>
        <v/>
      </c>
      <c r="AN576" s="12" t="str">
        <f t="shared" si="309"/>
        <v/>
      </c>
      <c r="AO576" s="12" t="str">
        <f t="shared" si="310"/>
        <v/>
      </c>
      <c r="AP576" s="12" t="str">
        <f t="shared" si="311"/>
        <v/>
      </c>
    </row>
    <row r="577" spans="1:42">
      <c r="A577" s="9" t="str">
        <f t="shared" ref="A577:A631" si="312">IF(ISBLANK(G577),"",G577)</f>
        <v/>
      </c>
      <c r="B577" s="22" t="str">
        <f t="shared" ref="B577:B631" si="313">IF(ISBLANK(G577),"",G577+2415018.5)</f>
        <v/>
      </c>
      <c r="C577" s="23" t="str">
        <f t="shared" ref="C577:C631" si="314">IF(U577&gt;0,AVERAGE(X577:AF577),"")</f>
        <v/>
      </c>
      <c r="D577" s="24" t="str">
        <f t="shared" ref="D577:D631" si="315">IF(U577&gt;0,STDEV(X577:AF577)/SQRT(U577)*V577,"")</f>
        <v/>
      </c>
      <c r="E577" s="24" t="str">
        <f t="shared" ref="E577:E631" si="316">IF(ISBLANK(W577),"",W577)</f>
        <v/>
      </c>
      <c r="F577" s="25" t="str">
        <f t="shared" ref="F577:F631" si="317">IF(U577&gt;0,AVERAGE(AH577:AP577),"")</f>
        <v/>
      </c>
      <c r="G577" s="7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2"/>
      <c r="U577" s="12">
        <f t="shared" si="291"/>
        <v>0</v>
      </c>
      <c r="V577" s="28" t="str">
        <f t="shared" ca="1" si="292"/>
        <v/>
      </c>
      <c r="W577" s="28" t="str">
        <f t="shared" si="293"/>
        <v/>
      </c>
      <c r="X577" s="12" t="str">
        <f t="shared" si="294"/>
        <v/>
      </c>
      <c r="Y577" s="12" t="str">
        <f t="shared" si="295"/>
        <v/>
      </c>
      <c r="Z577" s="12" t="str">
        <f t="shared" si="296"/>
        <v/>
      </c>
      <c r="AA577" s="12" t="str">
        <f t="shared" si="297"/>
        <v/>
      </c>
      <c r="AB577" s="12" t="str">
        <f t="shared" si="298"/>
        <v/>
      </c>
      <c r="AC577" s="12" t="str">
        <f t="shared" si="299"/>
        <v/>
      </c>
      <c r="AD577" s="12" t="str">
        <f t="shared" si="300"/>
        <v/>
      </c>
      <c r="AE577" s="12" t="str">
        <f t="shared" si="301"/>
        <v/>
      </c>
      <c r="AF577" s="12" t="str">
        <f t="shared" si="302"/>
        <v/>
      </c>
      <c r="AG577" s="12"/>
      <c r="AH577" s="12" t="str">
        <f t="shared" si="303"/>
        <v/>
      </c>
      <c r="AI577" s="12" t="str">
        <f t="shared" si="304"/>
        <v/>
      </c>
      <c r="AJ577" s="12" t="str">
        <f t="shared" si="305"/>
        <v/>
      </c>
      <c r="AK577" s="12" t="str">
        <f t="shared" si="306"/>
        <v/>
      </c>
      <c r="AL577" s="12" t="str">
        <f t="shared" si="307"/>
        <v/>
      </c>
      <c r="AM577" s="12" t="str">
        <f t="shared" si="308"/>
        <v/>
      </c>
      <c r="AN577" s="12" t="str">
        <f t="shared" si="309"/>
        <v/>
      </c>
      <c r="AO577" s="12" t="str">
        <f t="shared" si="310"/>
        <v/>
      </c>
      <c r="AP577" s="12" t="str">
        <f t="shared" si="311"/>
        <v/>
      </c>
    </row>
    <row r="578" spans="1:42">
      <c r="A578" s="9" t="str">
        <f t="shared" si="312"/>
        <v/>
      </c>
      <c r="B578" s="22" t="str">
        <f t="shared" si="313"/>
        <v/>
      </c>
      <c r="C578" s="23" t="str">
        <f t="shared" si="314"/>
        <v/>
      </c>
      <c r="D578" s="24" t="str">
        <f t="shared" si="315"/>
        <v/>
      </c>
      <c r="E578" s="24" t="str">
        <f t="shared" si="316"/>
        <v/>
      </c>
      <c r="F578" s="25" t="str">
        <f t="shared" si="317"/>
        <v/>
      </c>
      <c r="G578" s="7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2"/>
      <c r="U578" s="12">
        <f t="shared" si="291"/>
        <v>0</v>
      </c>
      <c r="V578" s="28" t="str">
        <f t="shared" ca="1" si="292"/>
        <v/>
      </c>
      <c r="W578" s="28" t="str">
        <f t="shared" si="293"/>
        <v/>
      </c>
      <c r="X578" s="12" t="str">
        <f t="shared" si="294"/>
        <v/>
      </c>
      <c r="Y578" s="12" t="str">
        <f t="shared" si="295"/>
        <v/>
      </c>
      <c r="Z578" s="12" t="str">
        <f t="shared" si="296"/>
        <v/>
      </c>
      <c r="AA578" s="12" t="str">
        <f t="shared" si="297"/>
        <v/>
      </c>
      <c r="AB578" s="12" t="str">
        <f t="shared" si="298"/>
        <v/>
      </c>
      <c r="AC578" s="12" t="str">
        <f t="shared" si="299"/>
        <v/>
      </c>
      <c r="AD578" s="12" t="str">
        <f t="shared" si="300"/>
        <v/>
      </c>
      <c r="AE578" s="12" t="str">
        <f t="shared" si="301"/>
        <v/>
      </c>
      <c r="AF578" s="12" t="str">
        <f t="shared" si="302"/>
        <v/>
      </c>
      <c r="AG578" s="12"/>
      <c r="AH578" s="12" t="str">
        <f t="shared" si="303"/>
        <v/>
      </c>
      <c r="AI578" s="12" t="str">
        <f t="shared" si="304"/>
        <v/>
      </c>
      <c r="AJ578" s="12" t="str">
        <f t="shared" si="305"/>
        <v/>
      </c>
      <c r="AK578" s="12" t="str">
        <f t="shared" si="306"/>
        <v/>
      </c>
      <c r="AL578" s="12" t="str">
        <f t="shared" si="307"/>
        <v/>
      </c>
      <c r="AM578" s="12" t="str">
        <f t="shared" si="308"/>
        <v/>
      </c>
      <c r="AN578" s="12" t="str">
        <f t="shared" si="309"/>
        <v/>
      </c>
      <c r="AO578" s="12" t="str">
        <f t="shared" si="310"/>
        <v/>
      </c>
      <c r="AP578" s="12" t="str">
        <f t="shared" si="311"/>
        <v/>
      </c>
    </row>
    <row r="579" spans="1:42">
      <c r="A579" s="9" t="str">
        <f t="shared" si="312"/>
        <v/>
      </c>
      <c r="B579" s="22" t="str">
        <f t="shared" si="313"/>
        <v/>
      </c>
      <c r="C579" s="23" t="str">
        <f t="shared" si="314"/>
        <v/>
      </c>
      <c r="D579" s="24" t="str">
        <f t="shared" si="315"/>
        <v/>
      </c>
      <c r="E579" s="24" t="str">
        <f t="shared" si="316"/>
        <v/>
      </c>
      <c r="F579" s="25" t="str">
        <f t="shared" si="317"/>
        <v/>
      </c>
      <c r="G579" s="7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2"/>
      <c r="U579" s="12">
        <f t="shared" si="291"/>
        <v>0</v>
      </c>
      <c r="V579" s="28" t="str">
        <f t="shared" ca="1" si="292"/>
        <v/>
      </c>
      <c r="W579" s="28" t="str">
        <f t="shared" si="293"/>
        <v/>
      </c>
      <c r="X579" s="12" t="str">
        <f t="shared" si="294"/>
        <v/>
      </c>
      <c r="Y579" s="12" t="str">
        <f t="shared" si="295"/>
        <v/>
      </c>
      <c r="Z579" s="12" t="str">
        <f t="shared" si="296"/>
        <v/>
      </c>
      <c r="AA579" s="12" t="str">
        <f t="shared" si="297"/>
        <v/>
      </c>
      <c r="AB579" s="12" t="str">
        <f t="shared" si="298"/>
        <v/>
      </c>
      <c r="AC579" s="12" t="str">
        <f t="shared" si="299"/>
        <v/>
      </c>
      <c r="AD579" s="12" t="str">
        <f t="shared" si="300"/>
        <v/>
      </c>
      <c r="AE579" s="12" t="str">
        <f t="shared" si="301"/>
        <v/>
      </c>
      <c r="AF579" s="12" t="str">
        <f t="shared" si="302"/>
        <v/>
      </c>
      <c r="AG579" s="12"/>
      <c r="AH579" s="12" t="str">
        <f t="shared" si="303"/>
        <v/>
      </c>
      <c r="AI579" s="12" t="str">
        <f t="shared" si="304"/>
        <v/>
      </c>
      <c r="AJ579" s="12" t="str">
        <f t="shared" si="305"/>
        <v/>
      </c>
      <c r="AK579" s="12" t="str">
        <f t="shared" si="306"/>
        <v/>
      </c>
      <c r="AL579" s="12" t="str">
        <f t="shared" si="307"/>
        <v/>
      </c>
      <c r="AM579" s="12" t="str">
        <f t="shared" si="308"/>
        <v/>
      </c>
      <c r="AN579" s="12" t="str">
        <f t="shared" si="309"/>
        <v/>
      </c>
      <c r="AO579" s="12" t="str">
        <f t="shared" si="310"/>
        <v/>
      </c>
      <c r="AP579" s="12" t="str">
        <f t="shared" si="311"/>
        <v/>
      </c>
    </row>
    <row r="580" spans="1:42">
      <c r="A580" s="9" t="str">
        <f t="shared" si="312"/>
        <v/>
      </c>
      <c r="B580" s="22" t="str">
        <f t="shared" si="313"/>
        <v/>
      </c>
      <c r="C580" s="23" t="str">
        <f t="shared" si="314"/>
        <v/>
      </c>
      <c r="D580" s="24" t="str">
        <f t="shared" si="315"/>
        <v/>
      </c>
      <c r="E580" s="24" t="str">
        <f t="shared" si="316"/>
        <v/>
      </c>
      <c r="F580" s="25" t="str">
        <f t="shared" si="317"/>
        <v/>
      </c>
      <c r="G580" s="7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2"/>
      <c r="U580" s="12">
        <f t="shared" si="291"/>
        <v>0</v>
      </c>
      <c r="V580" s="28" t="str">
        <f t="shared" ca="1" si="292"/>
        <v/>
      </c>
      <c r="W580" s="28" t="str">
        <f t="shared" si="293"/>
        <v/>
      </c>
      <c r="X580" s="12" t="str">
        <f t="shared" si="294"/>
        <v/>
      </c>
      <c r="Y580" s="12" t="str">
        <f t="shared" si="295"/>
        <v/>
      </c>
      <c r="Z580" s="12" t="str">
        <f t="shared" si="296"/>
        <v/>
      </c>
      <c r="AA580" s="12" t="str">
        <f t="shared" si="297"/>
        <v/>
      </c>
      <c r="AB580" s="12" t="str">
        <f t="shared" si="298"/>
        <v/>
      </c>
      <c r="AC580" s="12" t="str">
        <f t="shared" si="299"/>
        <v/>
      </c>
      <c r="AD580" s="12" t="str">
        <f t="shared" si="300"/>
        <v/>
      </c>
      <c r="AE580" s="12" t="str">
        <f t="shared" si="301"/>
        <v/>
      </c>
      <c r="AF580" s="12" t="str">
        <f t="shared" si="302"/>
        <v/>
      </c>
      <c r="AG580" s="12"/>
      <c r="AH580" s="12" t="str">
        <f t="shared" si="303"/>
        <v/>
      </c>
      <c r="AI580" s="12" t="str">
        <f t="shared" si="304"/>
        <v/>
      </c>
      <c r="AJ580" s="12" t="str">
        <f t="shared" si="305"/>
        <v/>
      </c>
      <c r="AK580" s="12" t="str">
        <f t="shared" si="306"/>
        <v/>
      </c>
      <c r="AL580" s="12" t="str">
        <f t="shared" si="307"/>
        <v/>
      </c>
      <c r="AM580" s="12" t="str">
        <f t="shared" si="308"/>
        <v/>
      </c>
      <c r="AN580" s="12" t="str">
        <f t="shared" si="309"/>
        <v/>
      </c>
      <c r="AO580" s="12" t="str">
        <f t="shared" si="310"/>
        <v/>
      </c>
      <c r="AP580" s="12" t="str">
        <f t="shared" si="311"/>
        <v/>
      </c>
    </row>
    <row r="581" spans="1:42">
      <c r="A581" s="9" t="str">
        <f t="shared" si="312"/>
        <v/>
      </c>
      <c r="B581" s="22" t="str">
        <f t="shared" si="313"/>
        <v/>
      </c>
      <c r="C581" s="23" t="str">
        <f t="shared" si="314"/>
        <v/>
      </c>
      <c r="D581" s="24" t="str">
        <f t="shared" si="315"/>
        <v/>
      </c>
      <c r="E581" s="24" t="str">
        <f t="shared" si="316"/>
        <v/>
      </c>
      <c r="F581" s="25" t="str">
        <f t="shared" si="317"/>
        <v/>
      </c>
      <c r="G581" s="7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2"/>
      <c r="U581" s="12">
        <f t="shared" si="291"/>
        <v>0</v>
      </c>
      <c r="V581" s="28" t="str">
        <f t="shared" ca="1" si="292"/>
        <v/>
      </c>
      <c r="W581" s="28" t="str">
        <f t="shared" si="293"/>
        <v/>
      </c>
      <c r="X581" s="12" t="str">
        <f t="shared" si="294"/>
        <v/>
      </c>
      <c r="Y581" s="12" t="str">
        <f t="shared" si="295"/>
        <v/>
      </c>
      <c r="Z581" s="12" t="str">
        <f t="shared" si="296"/>
        <v/>
      </c>
      <c r="AA581" s="12" t="str">
        <f t="shared" si="297"/>
        <v/>
      </c>
      <c r="AB581" s="12" t="str">
        <f t="shared" si="298"/>
        <v/>
      </c>
      <c r="AC581" s="12" t="str">
        <f t="shared" si="299"/>
        <v/>
      </c>
      <c r="AD581" s="12" t="str">
        <f t="shared" si="300"/>
        <v/>
      </c>
      <c r="AE581" s="12" t="str">
        <f t="shared" si="301"/>
        <v/>
      </c>
      <c r="AF581" s="12" t="str">
        <f t="shared" si="302"/>
        <v/>
      </c>
      <c r="AG581" s="12"/>
      <c r="AH581" s="12" t="str">
        <f t="shared" si="303"/>
        <v/>
      </c>
      <c r="AI581" s="12" t="str">
        <f t="shared" si="304"/>
        <v/>
      </c>
      <c r="AJ581" s="12" t="str">
        <f t="shared" si="305"/>
        <v/>
      </c>
      <c r="AK581" s="12" t="str">
        <f t="shared" si="306"/>
        <v/>
      </c>
      <c r="AL581" s="12" t="str">
        <f t="shared" si="307"/>
        <v/>
      </c>
      <c r="AM581" s="12" t="str">
        <f t="shared" si="308"/>
        <v/>
      </c>
      <c r="AN581" s="12" t="str">
        <f t="shared" si="309"/>
        <v/>
      </c>
      <c r="AO581" s="12" t="str">
        <f t="shared" si="310"/>
        <v/>
      </c>
      <c r="AP581" s="12" t="str">
        <f t="shared" si="311"/>
        <v/>
      </c>
    </row>
    <row r="582" spans="1:42">
      <c r="A582" s="9" t="str">
        <f t="shared" si="312"/>
        <v/>
      </c>
      <c r="B582" s="22" t="str">
        <f t="shared" si="313"/>
        <v/>
      </c>
      <c r="C582" s="23" t="str">
        <f t="shared" si="314"/>
        <v/>
      </c>
      <c r="D582" s="24" t="str">
        <f t="shared" si="315"/>
        <v/>
      </c>
      <c r="E582" s="24" t="str">
        <f t="shared" si="316"/>
        <v/>
      </c>
      <c r="F582" s="25" t="str">
        <f t="shared" si="317"/>
        <v/>
      </c>
      <c r="G582" s="7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2"/>
      <c r="U582" s="12">
        <f t="shared" si="291"/>
        <v>0</v>
      </c>
      <c r="V582" s="28" t="str">
        <f t="shared" ca="1" si="292"/>
        <v/>
      </c>
      <c r="W582" s="28" t="str">
        <f t="shared" si="293"/>
        <v/>
      </c>
      <c r="X582" s="12" t="str">
        <f t="shared" si="294"/>
        <v/>
      </c>
      <c r="Y582" s="12" t="str">
        <f t="shared" si="295"/>
        <v/>
      </c>
      <c r="Z582" s="12" t="str">
        <f t="shared" si="296"/>
        <v/>
      </c>
      <c r="AA582" s="12" t="str">
        <f t="shared" si="297"/>
        <v/>
      </c>
      <c r="AB582" s="12" t="str">
        <f t="shared" si="298"/>
        <v/>
      </c>
      <c r="AC582" s="12" t="str">
        <f t="shared" si="299"/>
        <v/>
      </c>
      <c r="AD582" s="12" t="str">
        <f t="shared" si="300"/>
        <v/>
      </c>
      <c r="AE582" s="12" t="str">
        <f t="shared" si="301"/>
        <v/>
      </c>
      <c r="AF582" s="12" t="str">
        <f t="shared" si="302"/>
        <v/>
      </c>
      <c r="AG582" s="12"/>
      <c r="AH582" s="12" t="str">
        <f t="shared" si="303"/>
        <v/>
      </c>
      <c r="AI582" s="12" t="str">
        <f t="shared" si="304"/>
        <v/>
      </c>
      <c r="AJ582" s="12" t="str">
        <f t="shared" si="305"/>
        <v/>
      </c>
      <c r="AK582" s="12" t="str">
        <f t="shared" si="306"/>
        <v/>
      </c>
      <c r="AL582" s="12" t="str">
        <f t="shared" si="307"/>
        <v/>
      </c>
      <c r="AM582" s="12" t="str">
        <f t="shared" si="308"/>
        <v/>
      </c>
      <c r="AN582" s="12" t="str">
        <f t="shared" si="309"/>
        <v/>
      </c>
      <c r="AO582" s="12" t="str">
        <f t="shared" si="310"/>
        <v/>
      </c>
      <c r="AP582" s="12" t="str">
        <f t="shared" si="311"/>
        <v/>
      </c>
    </row>
    <row r="583" spans="1:42">
      <c r="A583" s="9" t="str">
        <f t="shared" si="312"/>
        <v/>
      </c>
      <c r="B583" s="22" t="str">
        <f t="shared" si="313"/>
        <v/>
      </c>
      <c r="C583" s="23" t="str">
        <f t="shared" si="314"/>
        <v/>
      </c>
      <c r="D583" s="24" t="str">
        <f t="shared" si="315"/>
        <v/>
      </c>
      <c r="E583" s="24" t="str">
        <f t="shared" si="316"/>
        <v/>
      </c>
      <c r="F583" s="25" t="str">
        <f t="shared" si="317"/>
        <v/>
      </c>
      <c r="G583" s="7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2"/>
      <c r="U583" s="12">
        <f t="shared" si="291"/>
        <v>0</v>
      </c>
      <c r="V583" s="28" t="str">
        <f t="shared" ca="1" si="292"/>
        <v/>
      </c>
      <c r="W583" s="28" t="str">
        <f t="shared" si="293"/>
        <v/>
      </c>
      <c r="X583" s="12" t="str">
        <f t="shared" si="294"/>
        <v/>
      </c>
      <c r="Y583" s="12" t="str">
        <f t="shared" si="295"/>
        <v/>
      </c>
      <c r="Z583" s="12" t="str">
        <f t="shared" si="296"/>
        <v/>
      </c>
      <c r="AA583" s="12" t="str">
        <f t="shared" si="297"/>
        <v/>
      </c>
      <c r="AB583" s="12" t="str">
        <f t="shared" si="298"/>
        <v/>
      </c>
      <c r="AC583" s="12" t="str">
        <f t="shared" si="299"/>
        <v/>
      </c>
      <c r="AD583" s="12" t="str">
        <f t="shared" si="300"/>
        <v/>
      </c>
      <c r="AE583" s="12" t="str">
        <f t="shared" si="301"/>
        <v/>
      </c>
      <c r="AF583" s="12" t="str">
        <f t="shared" si="302"/>
        <v/>
      </c>
      <c r="AG583" s="12"/>
      <c r="AH583" s="12" t="str">
        <f t="shared" si="303"/>
        <v/>
      </c>
      <c r="AI583" s="12" t="str">
        <f t="shared" si="304"/>
        <v/>
      </c>
      <c r="AJ583" s="12" t="str">
        <f t="shared" si="305"/>
        <v/>
      </c>
      <c r="AK583" s="12" t="str">
        <f t="shared" si="306"/>
        <v/>
      </c>
      <c r="AL583" s="12" t="str">
        <f t="shared" si="307"/>
        <v/>
      </c>
      <c r="AM583" s="12" t="str">
        <f t="shared" si="308"/>
        <v/>
      </c>
      <c r="AN583" s="12" t="str">
        <f t="shared" si="309"/>
        <v/>
      </c>
      <c r="AO583" s="12" t="str">
        <f t="shared" si="310"/>
        <v/>
      </c>
      <c r="AP583" s="12" t="str">
        <f t="shared" si="311"/>
        <v/>
      </c>
    </row>
    <row r="584" spans="1:42">
      <c r="A584" s="9" t="str">
        <f t="shared" si="312"/>
        <v/>
      </c>
      <c r="B584" s="22" t="str">
        <f t="shared" si="313"/>
        <v/>
      </c>
      <c r="C584" s="23" t="str">
        <f t="shared" si="314"/>
        <v/>
      </c>
      <c r="D584" s="24" t="str">
        <f t="shared" si="315"/>
        <v/>
      </c>
      <c r="E584" s="24" t="str">
        <f t="shared" si="316"/>
        <v/>
      </c>
      <c r="F584" s="25" t="str">
        <f t="shared" si="317"/>
        <v/>
      </c>
      <c r="G584" s="7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2"/>
      <c r="U584" s="12">
        <f t="shared" si="291"/>
        <v>0</v>
      </c>
      <c r="V584" s="28" t="str">
        <f t="shared" ca="1" si="292"/>
        <v/>
      </c>
      <c r="W584" s="28" t="str">
        <f t="shared" si="293"/>
        <v/>
      </c>
      <c r="X584" s="12" t="str">
        <f t="shared" si="294"/>
        <v/>
      </c>
      <c r="Y584" s="12" t="str">
        <f t="shared" si="295"/>
        <v/>
      </c>
      <c r="Z584" s="12" t="str">
        <f t="shared" si="296"/>
        <v/>
      </c>
      <c r="AA584" s="12" t="str">
        <f t="shared" si="297"/>
        <v/>
      </c>
      <c r="AB584" s="12" t="str">
        <f t="shared" si="298"/>
        <v/>
      </c>
      <c r="AC584" s="12" t="str">
        <f t="shared" si="299"/>
        <v/>
      </c>
      <c r="AD584" s="12" t="str">
        <f t="shared" si="300"/>
        <v/>
      </c>
      <c r="AE584" s="12" t="str">
        <f t="shared" si="301"/>
        <v/>
      </c>
      <c r="AF584" s="12" t="str">
        <f t="shared" si="302"/>
        <v/>
      </c>
      <c r="AG584" s="12"/>
      <c r="AH584" s="12" t="str">
        <f t="shared" si="303"/>
        <v/>
      </c>
      <c r="AI584" s="12" t="str">
        <f t="shared" si="304"/>
        <v/>
      </c>
      <c r="AJ584" s="12" t="str">
        <f t="shared" si="305"/>
        <v/>
      </c>
      <c r="AK584" s="12" t="str">
        <f t="shared" si="306"/>
        <v/>
      </c>
      <c r="AL584" s="12" t="str">
        <f t="shared" si="307"/>
        <v/>
      </c>
      <c r="AM584" s="12" t="str">
        <f t="shared" si="308"/>
        <v/>
      </c>
      <c r="AN584" s="12" t="str">
        <f t="shared" si="309"/>
        <v/>
      </c>
      <c r="AO584" s="12" t="str">
        <f t="shared" si="310"/>
        <v/>
      </c>
      <c r="AP584" s="12" t="str">
        <f t="shared" si="311"/>
        <v/>
      </c>
    </row>
    <row r="585" spans="1:42">
      <c r="A585" s="9" t="str">
        <f t="shared" si="312"/>
        <v/>
      </c>
      <c r="B585" s="22" t="str">
        <f t="shared" si="313"/>
        <v/>
      </c>
      <c r="C585" s="23" t="str">
        <f t="shared" si="314"/>
        <v/>
      </c>
      <c r="D585" s="24" t="str">
        <f t="shared" si="315"/>
        <v/>
      </c>
      <c r="E585" s="24" t="str">
        <f t="shared" si="316"/>
        <v/>
      </c>
      <c r="F585" s="25" t="str">
        <f t="shared" si="317"/>
        <v/>
      </c>
      <c r="G585" s="7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2"/>
      <c r="U585" s="12">
        <f t="shared" si="291"/>
        <v>0</v>
      </c>
      <c r="V585" s="28" t="str">
        <f t="shared" ca="1" si="292"/>
        <v/>
      </c>
      <c r="W585" s="28" t="str">
        <f t="shared" si="293"/>
        <v/>
      </c>
      <c r="X585" s="12" t="str">
        <f t="shared" si="294"/>
        <v/>
      </c>
      <c r="Y585" s="12" t="str">
        <f t="shared" si="295"/>
        <v/>
      </c>
      <c r="Z585" s="12" t="str">
        <f t="shared" si="296"/>
        <v/>
      </c>
      <c r="AA585" s="12" t="str">
        <f t="shared" si="297"/>
        <v/>
      </c>
      <c r="AB585" s="12" t="str">
        <f t="shared" si="298"/>
        <v/>
      </c>
      <c r="AC585" s="12" t="str">
        <f t="shared" si="299"/>
        <v/>
      </c>
      <c r="AD585" s="12" t="str">
        <f t="shared" si="300"/>
        <v/>
      </c>
      <c r="AE585" s="12" t="str">
        <f t="shared" si="301"/>
        <v/>
      </c>
      <c r="AF585" s="12" t="str">
        <f t="shared" si="302"/>
        <v/>
      </c>
      <c r="AG585" s="12"/>
      <c r="AH585" s="12" t="str">
        <f t="shared" si="303"/>
        <v/>
      </c>
      <c r="AI585" s="12" t="str">
        <f t="shared" si="304"/>
        <v/>
      </c>
      <c r="AJ585" s="12" t="str">
        <f t="shared" si="305"/>
        <v/>
      </c>
      <c r="AK585" s="12" t="str">
        <f t="shared" si="306"/>
        <v/>
      </c>
      <c r="AL585" s="12" t="str">
        <f t="shared" si="307"/>
        <v/>
      </c>
      <c r="AM585" s="12" t="str">
        <f t="shared" si="308"/>
        <v/>
      </c>
      <c r="AN585" s="12" t="str">
        <f t="shared" si="309"/>
        <v/>
      </c>
      <c r="AO585" s="12" t="str">
        <f t="shared" si="310"/>
        <v/>
      </c>
      <c r="AP585" s="12" t="str">
        <f t="shared" si="311"/>
        <v/>
      </c>
    </row>
    <row r="586" spans="1:42">
      <c r="A586" s="9" t="str">
        <f t="shared" si="312"/>
        <v/>
      </c>
      <c r="B586" s="22" t="str">
        <f t="shared" si="313"/>
        <v/>
      </c>
      <c r="C586" s="23" t="str">
        <f t="shared" si="314"/>
        <v/>
      </c>
      <c r="D586" s="24" t="str">
        <f t="shared" si="315"/>
        <v/>
      </c>
      <c r="E586" s="24" t="str">
        <f t="shared" si="316"/>
        <v/>
      </c>
      <c r="F586" s="25" t="str">
        <f t="shared" si="317"/>
        <v/>
      </c>
      <c r="G586" s="7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2"/>
      <c r="U586" s="12">
        <f t="shared" si="291"/>
        <v>0</v>
      </c>
      <c r="V586" s="28" t="str">
        <f t="shared" ca="1" si="292"/>
        <v/>
      </c>
      <c r="W586" s="28" t="str">
        <f t="shared" si="293"/>
        <v/>
      </c>
      <c r="X586" s="12" t="str">
        <f t="shared" si="294"/>
        <v/>
      </c>
      <c r="Y586" s="12" t="str">
        <f t="shared" si="295"/>
        <v/>
      </c>
      <c r="Z586" s="12" t="str">
        <f t="shared" si="296"/>
        <v/>
      </c>
      <c r="AA586" s="12" t="str">
        <f t="shared" si="297"/>
        <v/>
      </c>
      <c r="AB586" s="12" t="str">
        <f t="shared" si="298"/>
        <v/>
      </c>
      <c r="AC586" s="12" t="str">
        <f t="shared" si="299"/>
        <v/>
      </c>
      <c r="AD586" s="12" t="str">
        <f t="shared" si="300"/>
        <v/>
      </c>
      <c r="AE586" s="12" t="str">
        <f t="shared" si="301"/>
        <v/>
      </c>
      <c r="AF586" s="12" t="str">
        <f t="shared" si="302"/>
        <v/>
      </c>
      <c r="AG586" s="12"/>
      <c r="AH586" s="12" t="str">
        <f t="shared" si="303"/>
        <v/>
      </c>
      <c r="AI586" s="12" t="str">
        <f t="shared" si="304"/>
        <v/>
      </c>
      <c r="AJ586" s="12" t="str">
        <f t="shared" si="305"/>
        <v/>
      </c>
      <c r="AK586" s="12" t="str">
        <f t="shared" si="306"/>
        <v/>
      </c>
      <c r="AL586" s="12" t="str">
        <f t="shared" si="307"/>
        <v/>
      </c>
      <c r="AM586" s="12" t="str">
        <f t="shared" si="308"/>
        <v/>
      </c>
      <c r="AN586" s="12" t="str">
        <f t="shared" si="309"/>
        <v/>
      </c>
      <c r="AO586" s="12" t="str">
        <f t="shared" si="310"/>
        <v/>
      </c>
      <c r="AP586" s="12" t="str">
        <f t="shared" si="311"/>
        <v/>
      </c>
    </row>
    <row r="587" spans="1:42">
      <c r="A587" s="9" t="str">
        <f t="shared" si="312"/>
        <v/>
      </c>
      <c r="B587" s="22" t="str">
        <f t="shared" si="313"/>
        <v/>
      </c>
      <c r="C587" s="23" t="str">
        <f t="shared" si="314"/>
        <v/>
      </c>
      <c r="D587" s="24" t="str">
        <f t="shared" si="315"/>
        <v/>
      </c>
      <c r="E587" s="24" t="str">
        <f t="shared" si="316"/>
        <v/>
      </c>
      <c r="F587" s="25" t="str">
        <f t="shared" si="317"/>
        <v/>
      </c>
      <c r="G587" s="7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2"/>
      <c r="U587" s="12">
        <f t="shared" si="291"/>
        <v>0</v>
      </c>
      <c r="V587" s="28" t="str">
        <f t="shared" ca="1" si="292"/>
        <v/>
      </c>
      <c r="W587" s="28" t="str">
        <f t="shared" si="293"/>
        <v/>
      </c>
      <c r="X587" s="12" t="str">
        <f t="shared" si="294"/>
        <v/>
      </c>
      <c r="Y587" s="12" t="str">
        <f t="shared" si="295"/>
        <v/>
      </c>
      <c r="Z587" s="12" t="str">
        <f t="shared" si="296"/>
        <v/>
      </c>
      <c r="AA587" s="12" t="str">
        <f t="shared" si="297"/>
        <v/>
      </c>
      <c r="AB587" s="12" t="str">
        <f t="shared" si="298"/>
        <v/>
      </c>
      <c r="AC587" s="12" t="str">
        <f t="shared" si="299"/>
        <v/>
      </c>
      <c r="AD587" s="12" t="str">
        <f t="shared" si="300"/>
        <v/>
      </c>
      <c r="AE587" s="12" t="str">
        <f t="shared" si="301"/>
        <v/>
      </c>
      <c r="AF587" s="12" t="str">
        <f t="shared" si="302"/>
        <v/>
      </c>
      <c r="AG587" s="12"/>
      <c r="AH587" s="12" t="str">
        <f t="shared" si="303"/>
        <v/>
      </c>
      <c r="AI587" s="12" t="str">
        <f t="shared" si="304"/>
        <v/>
      </c>
      <c r="AJ587" s="12" t="str">
        <f t="shared" si="305"/>
        <v/>
      </c>
      <c r="AK587" s="12" t="str">
        <f t="shared" si="306"/>
        <v/>
      </c>
      <c r="AL587" s="12" t="str">
        <f t="shared" si="307"/>
        <v/>
      </c>
      <c r="AM587" s="12" t="str">
        <f t="shared" si="308"/>
        <v/>
      </c>
      <c r="AN587" s="12" t="str">
        <f t="shared" si="309"/>
        <v/>
      </c>
      <c r="AO587" s="12" t="str">
        <f t="shared" si="310"/>
        <v/>
      </c>
      <c r="AP587" s="12" t="str">
        <f t="shared" si="311"/>
        <v/>
      </c>
    </row>
    <row r="588" spans="1:42">
      <c r="A588" s="9" t="str">
        <f t="shared" si="312"/>
        <v/>
      </c>
      <c r="B588" s="22" t="str">
        <f t="shared" si="313"/>
        <v/>
      </c>
      <c r="C588" s="23" t="str">
        <f t="shared" si="314"/>
        <v/>
      </c>
      <c r="D588" s="24" t="str">
        <f t="shared" si="315"/>
        <v/>
      </c>
      <c r="E588" s="24" t="str">
        <f t="shared" si="316"/>
        <v/>
      </c>
      <c r="F588" s="25" t="str">
        <f t="shared" si="317"/>
        <v/>
      </c>
      <c r="G588" s="7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2"/>
      <c r="U588" s="12">
        <f t="shared" si="291"/>
        <v>0</v>
      </c>
      <c r="V588" s="28" t="str">
        <f t="shared" ca="1" si="292"/>
        <v/>
      </c>
      <c r="W588" s="28" t="str">
        <f t="shared" si="293"/>
        <v/>
      </c>
      <c r="X588" s="12" t="str">
        <f t="shared" si="294"/>
        <v/>
      </c>
      <c r="Y588" s="12" t="str">
        <f t="shared" si="295"/>
        <v/>
      </c>
      <c r="Z588" s="12" t="str">
        <f t="shared" si="296"/>
        <v/>
      </c>
      <c r="AA588" s="12" t="str">
        <f t="shared" si="297"/>
        <v/>
      </c>
      <c r="AB588" s="12" t="str">
        <f t="shared" si="298"/>
        <v/>
      </c>
      <c r="AC588" s="12" t="str">
        <f t="shared" si="299"/>
        <v/>
      </c>
      <c r="AD588" s="12" t="str">
        <f t="shared" si="300"/>
        <v/>
      </c>
      <c r="AE588" s="12" t="str">
        <f t="shared" si="301"/>
        <v/>
      </c>
      <c r="AF588" s="12" t="str">
        <f t="shared" si="302"/>
        <v/>
      </c>
      <c r="AG588" s="12"/>
      <c r="AH588" s="12" t="str">
        <f t="shared" si="303"/>
        <v/>
      </c>
      <c r="AI588" s="12" t="str">
        <f t="shared" si="304"/>
        <v/>
      </c>
      <c r="AJ588" s="12" t="str">
        <f t="shared" si="305"/>
        <v/>
      </c>
      <c r="AK588" s="12" t="str">
        <f t="shared" si="306"/>
        <v/>
      </c>
      <c r="AL588" s="12" t="str">
        <f t="shared" si="307"/>
        <v/>
      </c>
      <c r="AM588" s="12" t="str">
        <f t="shared" si="308"/>
        <v/>
      </c>
      <c r="AN588" s="12" t="str">
        <f t="shared" si="309"/>
        <v/>
      </c>
      <c r="AO588" s="12" t="str">
        <f t="shared" si="310"/>
        <v/>
      </c>
      <c r="AP588" s="12" t="str">
        <f t="shared" si="311"/>
        <v/>
      </c>
    </row>
    <row r="589" spans="1:42">
      <c r="A589" s="9" t="str">
        <f t="shared" si="312"/>
        <v/>
      </c>
      <c r="B589" s="22" t="str">
        <f t="shared" si="313"/>
        <v/>
      </c>
      <c r="C589" s="23" t="str">
        <f t="shared" si="314"/>
        <v/>
      </c>
      <c r="D589" s="24" t="str">
        <f t="shared" si="315"/>
        <v/>
      </c>
      <c r="E589" s="24" t="str">
        <f t="shared" si="316"/>
        <v/>
      </c>
      <c r="F589" s="25" t="str">
        <f t="shared" si="317"/>
        <v/>
      </c>
      <c r="G589" s="7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2"/>
      <c r="U589" s="12">
        <f t="shared" si="291"/>
        <v>0</v>
      </c>
      <c r="V589" s="28" t="str">
        <f t="shared" ca="1" si="292"/>
        <v/>
      </c>
      <c r="W589" s="28" t="str">
        <f t="shared" si="293"/>
        <v/>
      </c>
      <c r="X589" s="12" t="str">
        <f t="shared" si="294"/>
        <v/>
      </c>
      <c r="Y589" s="12" t="str">
        <f t="shared" si="295"/>
        <v/>
      </c>
      <c r="Z589" s="12" t="str">
        <f t="shared" si="296"/>
        <v/>
      </c>
      <c r="AA589" s="12" t="str">
        <f t="shared" si="297"/>
        <v/>
      </c>
      <c r="AB589" s="12" t="str">
        <f t="shared" si="298"/>
        <v/>
      </c>
      <c r="AC589" s="12" t="str">
        <f t="shared" si="299"/>
        <v/>
      </c>
      <c r="AD589" s="12" t="str">
        <f t="shared" si="300"/>
        <v/>
      </c>
      <c r="AE589" s="12" t="str">
        <f t="shared" si="301"/>
        <v/>
      </c>
      <c r="AF589" s="12" t="str">
        <f t="shared" si="302"/>
        <v/>
      </c>
      <c r="AG589" s="12"/>
      <c r="AH589" s="12" t="str">
        <f t="shared" si="303"/>
        <v/>
      </c>
      <c r="AI589" s="12" t="str">
        <f t="shared" si="304"/>
        <v/>
      </c>
      <c r="AJ589" s="12" t="str">
        <f t="shared" si="305"/>
        <v/>
      </c>
      <c r="AK589" s="12" t="str">
        <f t="shared" si="306"/>
        <v/>
      </c>
      <c r="AL589" s="12" t="str">
        <f t="shared" si="307"/>
        <v/>
      </c>
      <c r="AM589" s="12" t="str">
        <f t="shared" si="308"/>
        <v/>
      </c>
      <c r="AN589" s="12" t="str">
        <f t="shared" si="309"/>
        <v/>
      </c>
      <c r="AO589" s="12" t="str">
        <f t="shared" si="310"/>
        <v/>
      </c>
      <c r="AP589" s="12" t="str">
        <f t="shared" si="311"/>
        <v/>
      </c>
    </row>
    <row r="590" spans="1:42">
      <c r="A590" s="9" t="str">
        <f t="shared" si="312"/>
        <v/>
      </c>
      <c r="B590" s="22" t="str">
        <f t="shared" si="313"/>
        <v/>
      </c>
      <c r="C590" s="23" t="str">
        <f t="shared" si="314"/>
        <v/>
      </c>
      <c r="D590" s="24" t="str">
        <f t="shared" si="315"/>
        <v/>
      </c>
      <c r="E590" s="24" t="str">
        <f t="shared" si="316"/>
        <v/>
      </c>
      <c r="F590" s="25" t="str">
        <f t="shared" si="317"/>
        <v/>
      </c>
      <c r="G590" s="7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2"/>
      <c r="U590" s="12">
        <f t="shared" si="291"/>
        <v>0</v>
      </c>
      <c r="V590" s="28" t="str">
        <f t="shared" ca="1" si="292"/>
        <v/>
      </c>
      <c r="W590" s="28" t="str">
        <f t="shared" si="293"/>
        <v/>
      </c>
      <c r="X590" s="12" t="str">
        <f t="shared" si="294"/>
        <v/>
      </c>
      <c r="Y590" s="12" t="str">
        <f t="shared" si="295"/>
        <v/>
      </c>
      <c r="Z590" s="12" t="str">
        <f t="shared" si="296"/>
        <v/>
      </c>
      <c r="AA590" s="12" t="str">
        <f t="shared" si="297"/>
        <v/>
      </c>
      <c r="AB590" s="12" t="str">
        <f t="shared" si="298"/>
        <v/>
      </c>
      <c r="AC590" s="12" t="str">
        <f t="shared" si="299"/>
        <v/>
      </c>
      <c r="AD590" s="12" t="str">
        <f t="shared" si="300"/>
        <v/>
      </c>
      <c r="AE590" s="12" t="str">
        <f t="shared" si="301"/>
        <v/>
      </c>
      <c r="AF590" s="12" t="str">
        <f t="shared" si="302"/>
        <v/>
      </c>
      <c r="AG590" s="12"/>
      <c r="AH590" s="12" t="str">
        <f t="shared" si="303"/>
        <v/>
      </c>
      <c r="AI590" s="12" t="str">
        <f t="shared" si="304"/>
        <v/>
      </c>
      <c r="AJ590" s="12" t="str">
        <f t="shared" si="305"/>
        <v/>
      </c>
      <c r="AK590" s="12" t="str">
        <f t="shared" si="306"/>
        <v/>
      </c>
      <c r="AL590" s="12" t="str">
        <f t="shared" si="307"/>
        <v/>
      </c>
      <c r="AM590" s="12" t="str">
        <f t="shared" si="308"/>
        <v/>
      </c>
      <c r="AN590" s="12" t="str">
        <f t="shared" si="309"/>
        <v/>
      </c>
      <c r="AO590" s="12" t="str">
        <f t="shared" si="310"/>
        <v/>
      </c>
      <c r="AP590" s="12" t="str">
        <f t="shared" si="311"/>
        <v/>
      </c>
    </row>
    <row r="591" spans="1:42">
      <c r="A591" s="9" t="str">
        <f t="shared" si="312"/>
        <v/>
      </c>
      <c r="B591" s="22" t="str">
        <f t="shared" si="313"/>
        <v/>
      </c>
      <c r="C591" s="23" t="str">
        <f t="shared" si="314"/>
        <v/>
      </c>
      <c r="D591" s="24" t="str">
        <f t="shared" si="315"/>
        <v/>
      </c>
      <c r="E591" s="24" t="str">
        <f t="shared" si="316"/>
        <v/>
      </c>
      <c r="F591" s="25" t="str">
        <f t="shared" si="317"/>
        <v/>
      </c>
      <c r="G591" s="7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2"/>
      <c r="U591" s="12">
        <f t="shared" si="291"/>
        <v>0</v>
      </c>
      <c r="V591" s="28" t="str">
        <f t="shared" ca="1" si="292"/>
        <v/>
      </c>
      <c r="W591" s="28" t="str">
        <f t="shared" si="293"/>
        <v/>
      </c>
      <c r="X591" s="12" t="str">
        <f t="shared" si="294"/>
        <v/>
      </c>
      <c r="Y591" s="12" t="str">
        <f t="shared" si="295"/>
        <v/>
      </c>
      <c r="Z591" s="12" t="str">
        <f t="shared" si="296"/>
        <v/>
      </c>
      <c r="AA591" s="12" t="str">
        <f t="shared" si="297"/>
        <v/>
      </c>
      <c r="AB591" s="12" t="str">
        <f t="shared" si="298"/>
        <v/>
      </c>
      <c r="AC591" s="12" t="str">
        <f t="shared" si="299"/>
        <v/>
      </c>
      <c r="AD591" s="12" t="str">
        <f t="shared" si="300"/>
        <v/>
      </c>
      <c r="AE591" s="12" t="str">
        <f t="shared" si="301"/>
        <v/>
      </c>
      <c r="AF591" s="12" t="str">
        <f t="shared" si="302"/>
        <v/>
      </c>
      <c r="AG591" s="12"/>
      <c r="AH591" s="12" t="str">
        <f t="shared" si="303"/>
        <v/>
      </c>
      <c r="AI591" s="12" t="str">
        <f t="shared" si="304"/>
        <v/>
      </c>
      <c r="AJ591" s="12" t="str">
        <f t="shared" si="305"/>
        <v/>
      </c>
      <c r="AK591" s="12" t="str">
        <f t="shared" si="306"/>
        <v/>
      </c>
      <c r="AL591" s="12" t="str">
        <f t="shared" si="307"/>
        <v/>
      </c>
      <c r="AM591" s="12" t="str">
        <f t="shared" si="308"/>
        <v/>
      </c>
      <c r="AN591" s="12" t="str">
        <f t="shared" si="309"/>
        <v/>
      </c>
      <c r="AO591" s="12" t="str">
        <f t="shared" si="310"/>
        <v/>
      </c>
      <c r="AP591" s="12" t="str">
        <f t="shared" si="311"/>
        <v/>
      </c>
    </row>
    <row r="592" spans="1:42">
      <c r="A592" s="9" t="str">
        <f t="shared" si="312"/>
        <v/>
      </c>
      <c r="B592" s="22" t="str">
        <f t="shared" si="313"/>
        <v/>
      </c>
      <c r="C592" s="23" t="str">
        <f t="shared" si="314"/>
        <v/>
      </c>
      <c r="D592" s="24" t="str">
        <f t="shared" si="315"/>
        <v/>
      </c>
      <c r="E592" s="24" t="str">
        <f t="shared" si="316"/>
        <v/>
      </c>
      <c r="F592" s="25" t="str">
        <f t="shared" si="317"/>
        <v/>
      </c>
      <c r="G592" s="7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2"/>
      <c r="U592" s="12">
        <f t="shared" si="291"/>
        <v>0</v>
      </c>
      <c r="V592" s="28" t="str">
        <f t="shared" ca="1" si="292"/>
        <v/>
      </c>
      <c r="W592" s="28" t="str">
        <f t="shared" si="293"/>
        <v/>
      </c>
      <c r="X592" s="12" t="str">
        <f t="shared" si="294"/>
        <v/>
      </c>
      <c r="Y592" s="12" t="str">
        <f t="shared" si="295"/>
        <v/>
      </c>
      <c r="Z592" s="12" t="str">
        <f t="shared" si="296"/>
        <v/>
      </c>
      <c r="AA592" s="12" t="str">
        <f t="shared" si="297"/>
        <v/>
      </c>
      <c r="AB592" s="12" t="str">
        <f t="shared" si="298"/>
        <v/>
      </c>
      <c r="AC592" s="12" t="str">
        <f t="shared" si="299"/>
        <v/>
      </c>
      <c r="AD592" s="12" t="str">
        <f t="shared" si="300"/>
        <v/>
      </c>
      <c r="AE592" s="12" t="str">
        <f t="shared" si="301"/>
        <v/>
      </c>
      <c r="AF592" s="12" t="str">
        <f t="shared" si="302"/>
        <v/>
      </c>
      <c r="AG592" s="12"/>
      <c r="AH592" s="12" t="str">
        <f t="shared" si="303"/>
        <v/>
      </c>
      <c r="AI592" s="12" t="str">
        <f t="shared" si="304"/>
        <v/>
      </c>
      <c r="AJ592" s="12" t="str">
        <f t="shared" si="305"/>
        <v/>
      </c>
      <c r="AK592" s="12" t="str">
        <f t="shared" si="306"/>
        <v/>
      </c>
      <c r="AL592" s="12" t="str">
        <f t="shared" si="307"/>
        <v/>
      </c>
      <c r="AM592" s="12" t="str">
        <f t="shared" si="308"/>
        <v/>
      </c>
      <c r="AN592" s="12" t="str">
        <f t="shared" si="309"/>
        <v/>
      </c>
      <c r="AO592" s="12" t="str">
        <f t="shared" si="310"/>
        <v/>
      </c>
      <c r="AP592" s="12" t="str">
        <f t="shared" si="311"/>
        <v/>
      </c>
    </row>
    <row r="593" spans="1:42">
      <c r="A593" s="9" t="str">
        <f t="shared" si="312"/>
        <v/>
      </c>
      <c r="B593" s="22" t="str">
        <f t="shared" si="313"/>
        <v/>
      </c>
      <c r="C593" s="23" t="str">
        <f t="shared" si="314"/>
        <v/>
      </c>
      <c r="D593" s="24" t="str">
        <f t="shared" si="315"/>
        <v/>
      </c>
      <c r="E593" s="24" t="str">
        <f t="shared" si="316"/>
        <v/>
      </c>
      <c r="F593" s="25" t="str">
        <f t="shared" si="317"/>
        <v/>
      </c>
      <c r="G593" s="7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2"/>
      <c r="U593" s="12">
        <f t="shared" si="291"/>
        <v>0</v>
      </c>
      <c r="V593" s="28" t="str">
        <f t="shared" ca="1" si="292"/>
        <v/>
      </c>
      <c r="W593" s="28" t="str">
        <f t="shared" si="293"/>
        <v/>
      </c>
      <c r="X593" s="12" t="str">
        <f t="shared" si="294"/>
        <v/>
      </c>
      <c r="Y593" s="12" t="str">
        <f t="shared" si="295"/>
        <v/>
      </c>
      <c r="Z593" s="12" t="str">
        <f t="shared" si="296"/>
        <v/>
      </c>
      <c r="AA593" s="12" t="str">
        <f t="shared" si="297"/>
        <v/>
      </c>
      <c r="AB593" s="12" t="str">
        <f t="shared" si="298"/>
        <v/>
      </c>
      <c r="AC593" s="12" t="str">
        <f t="shared" si="299"/>
        <v/>
      </c>
      <c r="AD593" s="12" t="str">
        <f t="shared" si="300"/>
        <v/>
      </c>
      <c r="AE593" s="12" t="str">
        <f t="shared" si="301"/>
        <v/>
      </c>
      <c r="AF593" s="12" t="str">
        <f t="shared" si="302"/>
        <v/>
      </c>
      <c r="AG593" s="12"/>
      <c r="AH593" s="12" t="str">
        <f t="shared" si="303"/>
        <v/>
      </c>
      <c r="AI593" s="12" t="str">
        <f t="shared" si="304"/>
        <v/>
      </c>
      <c r="AJ593" s="12" t="str">
        <f t="shared" si="305"/>
        <v/>
      </c>
      <c r="AK593" s="12" t="str">
        <f t="shared" si="306"/>
        <v/>
      </c>
      <c r="AL593" s="12" t="str">
        <f t="shared" si="307"/>
        <v/>
      </c>
      <c r="AM593" s="12" t="str">
        <f t="shared" si="308"/>
        <v/>
      </c>
      <c r="AN593" s="12" t="str">
        <f t="shared" si="309"/>
        <v/>
      </c>
      <c r="AO593" s="12" t="str">
        <f t="shared" si="310"/>
        <v/>
      </c>
      <c r="AP593" s="12" t="str">
        <f t="shared" si="311"/>
        <v/>
      </c>
    </row>
    <row r="594" spans="1:42">
      <c r="A594" s="9" t="str">
        <f t="shared" si="312"/>
        <v/>
      </c>
      <c r="B594" s="22" t="str">
        <f t="shared" si="313"/>
        <v/>
      </c>
      <c r="C594" s="23" t="str">
        <f t="shared" si="314"/>
        <v/>
      </c>
      <c r="D594" s="24" t="str">
        <f t="shared" si="315"/>
        <v/>
      </c>
      <c r="E594" s="24" t="str">
        <f t="shared" si="316"/>
        <v/>
      </c>
      <c r="F594" s="25" t="str">
        <f t="shared" si="317"/>
        <v/>
      </c>
      <c r="G594" s="7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2"/>
      <c r="U594" s="12">
        <f t="shared" si="291"/>
        <v>0</v>
      </c>
      <c r="V594" s="28" t="str">
        <f t="shared" ca="1" si="292"/>
        <v/>
      </c>
      <c r="W594" s="28" t="str">
        <f t="shared" si="293"/>
        <v/>
      </c>
      <c r="X594" s="12" t="str">
        <f t="shared" si="294"/>
        <v/>
      </c>
      <c r="Y594" s="12" t="str">
        <f t="shared" si="295"/>
        <v/>
      </c>
      <c r="Z594" s="12" t="str">
        <f t="shared" si="296"/>
        <v/>
      </c>
      <c r="AA594" s="12" t="str">
        <f t="shared" si="297"/>
        <v/>
      </c>
      <c r="AB594" s="12" t="str">
        <f t="shared" si="298"/>
        <v/>
      </c>
      <c r="AC594" s="12" t="str">
        <f t="shared" si="299"/>
        <v/>
      </c>
      <c r="AD594" s="12" t="str">
        <f t="shared" si="300"/>
        <v/>
      </c>
      <c r="AE594" s="12" t="str">
        <f t="shared" si="301"/>
        <v/>
      </c>
      <c r="AF594" s="12" t="str">
        <f t="shared" si="302"/>
        <v/>
      </c>
      <c r="AG594" s="12"/>
      <c r="AH594" s="12" t="str">
        <f t="shared" si="303"/>
        <v/>
      </c>
      <c r="AI594" s="12" t="str">
        <f t="shared" si="304"/>
        <v/>
      </c>
      <c r="AJ594" s="12" t="str">
        <f t="shared" si="305"/>
        <v/>
      </c>
      <c r="AK594" s="12" t="str">
        <f t="shared" si="306"/>
        <v/>
      </c>
      <c r="AL594" s="12" t="str">
        <f t="shared" si="307"/>
        <v/>
      </c>
      <c r="AM594" s="12" t="str">
        <f t="shared" si="308"/>
        <v/>
      </c>
      <c r="AN594" s="12" t="str">
        <f t="shared" si="309"/>
        <v/>
      </c>
      <c r="AO594" s="12" t="str">
        <f t="shared" si="310"/>
        <v/>
      </c>
      <c r="AP594" s="12" t="str">
        <f t="shared" si="311"/>
        <v/>
      </c>
    </row>
    <row r="595" spans="1:42">
      <c r="A595" s="9" t="str">
        <f t="shared" si="312"/>
        <v/>
      </c>
      <c r="B595" s="22" t="str">
        <f t="shared" si="313"/>
        <v/>
      </c>
      <c r="C595" s="23" t="str">
        <f t="shared" si="314"/>
        <v/>
      </c>
      <c r="D595" s="24" t="str">
        <f t="shared" si="315"/>
        <v/>
      </c>
      <c r="E595" s="24" t="str">
        <f t="shared" si="316"/>
        <v/>
      </c>
      <c r="F595" s="25" t="str">
        <f t="shared" si="317"/>
        <v/>
      </c>
      <c r="G595" s="7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2"/>
      <c r="U595" s="12">
        <f t="shared" si="291"/>
        <v>0</v>
      </c>
      <c r="V595" s="28" t="str">
        <f t="shared" ca="1" si="292"/>
        <v/>
      </c>
      <c r="W595" s="28" t="str">
        <f t="shared" si="293"/>
        <v/>
      </c>
      <c r="X595" s="12" t="str">
        <f t="shared" si="294"/>
        <v/>
      </c>
      <c r="Y595" s="12" t="str">
        <f t="shared" si="295"/>
        <v/>
      </c>
      <c r="Z595" s="12" t="str">
        <f t="shared" si="296"/>
        <v/>
      </c>
      <c r="AA595" s="12" t="str">
        <f t="shared" si="297"/>
        <v/>
      </c>
      <c r="AB595" s="12" t="str">
        <f t="shared" si="298"/>
        <v/>
      </c>
      <c r="AC595" s="12" t="str">
        <f t="shared" si="299"/>
        <v/>
      </c>
      <c r="AD595" s="12" t="str">
        <f t="shared" si="300"/>
        <v/>
      </c>
      <c r="AE595" s="12" t="str">
        <f t="shared" si="301"/>
        <v/>
      </c>
      <c r="AF595" s="12" t="str">
        <f t="shared" si="302"/>
        <v/>
      </c>
      <c r="AG595" s="12"/>
      <c r="AH595" s="12" t="str">
        <f t="shared" si="303"/>
        <v/>
      </c>
      <c r="AI595" s="12" t="str">
        <f t="shared" si="304"/>
        <v/>
      </c>
      <c r="AJ595" s="12" t="str">
        <f t="shared" si="305"/>
        <v/>
      </c>
      <c r="AK595" s="12" t="str">
        <f t="shared" si="306"/>
        <v/>
      </c>
      <c r="AL595" s="12" t="str">
        <f t="shared" si="307"/>
        <v/>
      </c>
      <c r="AM595" s="12" t="str">
        <f t="shared" si="308"/>
        <v/>
      </c>
      <c r="AN595" s="12" t="str">
        <f t="shared" si="309"/>
        <v/>
      </c>
      <c r="AO595" s="12" t="str">
        <f t="shared" si="310"/>
        <v/>
      </c>
      <c r="AP595" s="12" t="str">
        <f t="shared" si="311"/>
        <v/>
      </c>
    </row>
    <row r="596" spans="1:42">
      <c r="A596" s="9" t="str">
        <f t="shared" si="312"/>
        <v/>
      </c>
      <c r="B596" s="22" t="str">
        <f t="shared" si="313"/>
        <v/>
      </c>
      <c r="C596" s="23" t="str">
        <f t="shared" si="314"/>
        <v/>
      </c>
      <c r="D596" s="24" t="str">
        <f t="shared" si="315"/>
        <v/>
      </c>
      <c r="E596" s="24" t="str">
        <f t="shared" si="316"/>
        <v/>
      </c>
      <c r="F596" s="25" t="str">
        <f t="shared" si="317"/>
        <v/>
      </c>
      <c r="G596" s="7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2"/>
      <c r="U596" s="12">
        <f t="shared" si="291"/>
        <v>0</v>
      </c>
      <c r="V596" s="28" t="str">
        <f t="shared" ca="1" si="292"/>
        <v/>
      </c>
      <c r="W596" s="28" t="str">
        <f t="shared" si="293"/>
        <v/>
      </c>
      <c r="X596" s="12" t="str">
        <f t="shared" si="294"/>
        <v/>
      </c>
      <c r="Y596" s="12" t="str">
        <f t="shared" si="295"/>
        <v/>
      </c>
      <c r="Z596" s="12" t="str">
        <f t="shared" si="296"/>
        <v/>
      </c>
      <c r="AA596" s="12" t="str">
        <f t="shared" si="297"/>
        <v/>
      </c>
      <c r="AB596" s="12" t="str">
        <f t="shared" si="298"/>
        <v/>
      </c>
      <c r="AC596" s="12" t="str">
        <f t="shared" si="299"/>
        <v/>
      </c>
      <c r="AD596" s="12" t="str">
        <f t="shared" si="300"/>
        <v/>
      </c>
      <c r="AE596" s="12" t="str">
        <f t="shared" si="301"/>
        <v/>
      </c>
      <c r="AF596" s="12" t="str">
        <f t="shared" si="302"/>
        <v/>
      </c>
      <c r="AG596" s="12"/>
      <c r="AH596" s="12" t="str">
        <f t="shared" si="303"/>
        <v/>
      </c>
      <c r="AI596" s="12" t="str">
        <f t="shared" si="304"/>
        <v/>
      </c>
      <c r="AJ596" s="12" t="str">
        <f t="shared" si="305"/>
        <v/>
      </c>
      <c r="AK596" s="12" t="str">
        <f t="shared" si="306"/>
        <v/>
      </c>
      <c r="AL596" s="12" t="str">
        <f t="shared" si="307"/>
        <v/>
      </c>
      <c r="AM596" s="12" t="str">
        <f t="shared" si="308"/>
        <v/>
      </c>
      <c r="AN596" s="12" t="str">
        <f t="shared" si="309"/>
        <v/>
      </c>
      <c r="AO596" s="12" t="str">
        <f t="shared" si="310"/>
        <v/>
      </c>
      <c r="AP596" s="12" t="str">
        <f t="shared" si="311"/>
        <v/>
      </c>
    </row>
    <row r="597" spans="1:42">
      <c r="A597" s="9" t="str">
        <f t="shared" si="312"/>
        <v/>
      </c>
      <c r="B597" s="22" t="str">
        <f t="shared" si="313"/>
        <v/>
      </c>
      <c r="C597" s="23" t="str">
        <f t="shared" si="314"/>
        <v/>
      </c>
      <c r="D597" s="24" t="str">
        <f t="shared" si="315"/>
        <v/>
      </c>
      <c r="E597" s="24" t="str">
        <f t="shared" si="316"/>
        <v/>
      </c>
      <c r="F597" s="25" t="str">
        <f t="shared" si="317"/>
        <v/>
      </c>
      <c r="G597" s="7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2"/>
      <c r="U597" s="12">
        <f t="shared" si="291"/>
        <v>0</v>
      </c>
      <c r="V597" s="28" t="str">
        <f t="shared" ca="1" si="292"/>
        <v/>
      </c>
      <c r="W597" s="28" t="str">
        <f t="shared" si="293"/>
        <v/>
      </c>
      <c r="X597" s="12" t="str">
        <f t="shared" si="294"/>
        <v/>
      </c>
      <c r="Y597" s="12" t="str">
        <f t="shared" si="295"/>
        <v/>
      </c>
      <c r="Z597" s="12" t="str">
        <f t="shared" si="296"/>
        <v/>
      </c>
      <c r="AA597" s="12" t="str">
        <f t="shared" si="297"/>
        <v/>
      </c>
      <c r="AB597" s="12" t="str">
        <f t="shared" si="298"/>
        <v/>
      </c>
      <c r="AC597" s="12" t="str">
        <f t="shared" si="299"/>
        <v/>
      </c>
      <c r="AD597" s="12" t="str">
        <f t="shared" si="300"/>
        <v/>
      </c>
      <c r="AE597" s="12" t="str">
        <f t="shared" si="301"/>
        <v/>
      </c>
      <c r="AF597" s="12" t="str">
        <f t="shared" si="302"/>
        <v/>
      </c>
      <c r="AG597" s="12"/>
      <c r="AH597" s="12" t="str">
        <f t="shared" si="303"/>
        <v/>
      </c>
      <c r="AI597" s="12" t="str">
        <f t="shared" si="304"/>
        <v/>
      </c>
      <c r="AJ597" s="12" t="str">
        <f t="shared" si="305"/>
        <v/>
      </c>
      <c r="AK597" s="12" t="str">
        <f t="shared" si="306"/>
        <v/>
      </c>
      <c r="AL597" s="12" t="str">
        <f t="shared" si="307"/>
        <v/>
      </c>
      <c r="AM597" s="12" t="str">
        <f t="shared" si="308"/>
        <v/>
      </c>
      <c r="AN597" s="12" t="str">
        <f t="shared" si="309"/>
        <v/>
      </c>
      <c r="AO597" s="12" t="str">
        <f t="shared" si="310"/>
        <v/>
      </c>
      <c r="AP597" s="12" t="str">
        <f t="shared" si="311"/>
        <v/>
      </c>
    </row>
    <row r="598" spans="1:42">
      <c r="A598" s="9" t="str">
        <f t="shared" si="312"/>
        <v/>
      </c>
      <c r="B598" s="22" t="str">
        <f t="shared" si="313"/>
        <v/>
      </c>
      <c r="C598" s="23" t="str">
        <f t="shared" si="314"/>
        <v/>
      </c>
      <c r="D598" s="24" t="str">
        <f t="shared" si="315"/>
        <v/>
      </c>
      <c r="E598" s="24" t="str">
        <f t="shared" si="316"/>
        <v/>
      </c>
      <c r="F598" s="25" t="str">
        <f t="shared" si="317"/>
        <v/>
      </c>
      <c r="G598" s="7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2"/>
      <c r="U598" s="12">
        <f t="shared" si="291"/>
        <v>0</v>
      </c>
      <c r="V598" s="28" t="str">
        <f t="shared" ca="1" si="292"/>
        <v/>
      </c>
      <c r="W598" s="28" t="str">
        <f t="shared" si="293"/>
        <v/>
      </c>
      <c r="X598" s="12" t="str">
        <f t="shared" si="294"/>
        <v/>
      </c>
      <c r="Y598" s="12" t="str">
        <f t="shared" si="295"/>
        <v/>
      </c>
      <c r="Z598" s="12" t="str">
        <f t="shared" si="296"/>
        <v/>
      </c>
      <c r="AA598" s="12" t="str">
        <f t="shared" si="297"/>
        <v/>
      </c>
      <c r="AB598" s="12" t="str">
        <f t="shared" si="298"/>
        <v/>
      </c>
      <c r="AC598" s="12" t="str">
        <f t="shared" si="299"/>
        <v/>
      </c>
      <c r="AD598" s="12" t="str">
        <f t="shared" si="300"/>
        <v/>
      </c>
      <c r="AE598" s="12" t="str">
        <f t="shared" si="301"/>
        <v/>
      </c>
      <c r="AF598" s="12" t="str">
        <f t="shared" si="302"/>
        <v/>
      </c>
      <c r="AG598" s="12"/>
      <c r="AH598" s="12" t="str">
        <f t="shared" si="303"/>
        <v/>
      </c>
      <c r="AI598" s="12" t="str">
        <f t="shared" si="304"/>
        <v/>
      </c>
      <c r="AJ598" s="12" t="str">
        <f t="shared" si="305"/>
        <v/>
      </c>
      <c r="AK598" s="12" t="str">
        <f t="shared" si="306"/>
        <v/>
      </c>
      <c r="AL598" s="12" t="str">
        <f t="shared" si="307"/>
        <v/>
      </c>
      <c r="AM598" s="12" t="str">
        <f t="shared" si="308"/>
        <v/>
      </c>
      <c r="AN598" s="12" t="str">
        <f t="shared" si="309"/>
        <v/>
      </c>
      <c r="AO598" s="12" t="str">
        <f t="shared" si="310"/>
        <v/>
      </c>
      <c r="AP598" s="12" t="str">
        <f t="shared" si="311"/>
        <v/>
      </c>
    </row>
    <row r="599" spans="1:42">
      <c r="A599" s="9" t="str">
        <f t="shared" si="312"/>
        <v/>
      </c>
      <c r="B599" s="22" t="str">
        <f t="shared" si="313"/>
        <v/>
      </c>
      <c r="C599" s="23" t="str">
        <f t="shared" si="314"/>
        <v/>
      </c>
      <c r="D599" s="24" t="str">
        <f t="shared" si="315"/>
        <v/>
      </c>
      <c r="E599" s="24" t="str">
        <f t="shared" si="316"/>
        <v/>
      </c>
      <c r="F599" s="25" t="str">
        <f t="shared" si="317"/>
        <v/>
      </c>
      <c r="G599" s="7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2"/>
      <c r="U599" s="12">
        <f t="shared" si="291"/>
        <v>0</v>
      </c>
      <c r="V599" s="28" t="str">
        <f t="shared" ca="1" si="292"/>
        <v/>
      </c>
      <c r="W599" s="28" t="str">
        <f t="shared" si="293"/>
        <v/>
      </c>
      <c r="X599" s="12" t="str">
        <f t="shared" si="294"/>
        <v/>
      </c>
      <c r="Y599" s="12" t="str">
        <f t="shared" si="295"/>
        <v/>
      </c>
      <c r="Z599" s="12" t="str">
        <f t="shared" si="296"/>
        <v/>
      </c>
      <c r="AA599" s="12" t="str">
        <f t="shared" si="297"/>
        <v/>
      </c>
      <c r="AB599" s="12" t="str">
        <f t="shared" si="298"/>
        <v/>
      </c>
      <c r="AC599" s="12" t="str">
        <f t="shared" si="299"/>
        <v/>
      </c>
      <c r="AD599" s="12" t="str">
        <f t="shared" si="300"/>
        <v/>
      </c>
      <c r="AE599" s="12" t="str">
        <f t="shared" si="301"/>
        <v/>
      </c>
      <c r="AF599" s="12" t="str">
        <f t="shared" si="302"/>
        <v/>
      </c>
      <c r="AG599" s="12"/>
      <c r="AH599" s="12" t="str">
        <f t="shared" si="303"/>
        <v/>
      </c>
      <c r="AI599" s="12" t="str">
        <f t="shared" si="304"/>
        <v/>
      </c>
      <c r="AJ599" s="12" t="str">
        <f t="shared" si="305"/>
        <v/>
      </c>
      <c r="AK599" s="12" t="str">
        <f t="shared" si="306"/>
        <v/>
      </c>
      <c r="AL599" s="12" t="str">
        <f t="shared" si="307"/>
        <v/>
      </c>
      <c r="AM599" s="12" t="str">
        <f t="shared" si="308"/>
        <v/>
      </c>
      <c r="AN599" s="12" t="str">
        <f t="shared" si="309"/>
        <v/>
      </c>
      <c r="AO599" s="12" t="str">
        <f t="shared" si="310"/>
        <v/>
      </c>
      <c r="AP599" s="12" t="str">
        <f t="shared" si="311"/>
        <v/>
      </c>
    </row>
    <row r="600" spans="1:42">
      <c r="A600" s="9" t="str">
        <f t="shared" si="312"/>
        <v/>
      </c>
      <c r="B600" s="22" t="str">
        <f t="shared" si="313"/>
        <v/>
      </c>
      <c r="C600" s="23" t="str">
        <f t="shared" si="314"/>
        <v/>
      </c>
      <c r="D600" s="24" t="str">
        <f t="shared" si="315"/>
        <v/>
      </c>
      <c r="E600" s="24" t="str">
        <f t="shared" si="316"/>
        <v/>
      </c>
      <c r="F600" s="25" t="str">
        <f t="shared" si="317"/>
        <v/>
      </c>
      <c r="G600" s="7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2"/>
      <c r="U600" s="12">
        <f t="shared" si="291"/>
        <v>0</v>
      </c>
      <c r="V600" s="28" t="str">
        <f t="shared" ca="1" si="292"/>
        <v/>
      </c>
      <c r="W600" s="28" t="str">
        <f t="shared" si="293"/>
        <v/>
      </c>
      <c r="X600" s="12" t="str">
        <f t="shared" si="294"/>
        <v/>
      </c>
      <c r="Y600" s="12" t="str">
        <f t="shared" si="295"/>
        <v/>
      </c>
      <c r="Z600" s="12" t="str">
        <f t="shared" si="296"/>
        <v/>
      </c>
      <c r="AA600" s="12" t="str">
        <f t="shared" si="297"/>
        <v/>
      </c>
      <c r="AB600" s="12" t="str">
        <f t="shared" si="298"/>
        <v/>
      </c>
      <c r="AC600" s="12" t="str">
        <f t="shared" si="299"/>
        <v/>
      </c>
      <c r="AD600" s="12" t="str">
        <f t="shared" si="300"/>
        <v/>
      </c>
      <c r="AE600" s="12" t="str">
        <f t="shared" si="301"/>
        <v/>
      </c>
      <c r="AF600" s="12" t="str">
        <f t="shared" si="302"/>
        <v/>
      </c>
      <c r="AG600" s="12"/>
      <c r="AH600" s="12" t="str">
        <f t="shared" si="303"/>
        <v/>
      </c>
      <c r="AI600" s="12" t="str">
        <f t="shared" si="304"/>
        <v/>
      </c>
      <c r="AJ600" s="12" t="str">
        <f t="shared" si="305"/>
        <v/>
      </c>
      <c r="AK600" s="12" t="str">
        <f t="shared" si="306"/>
        <v/>
      </c>
      <c r="AL600" s="12" t="str">
        <f t="shared" si="307"/>
        <v/>
      </c>
      <c r="AM600" s="12" t="str">
        <f t="shared" si="308"/>
        <v/>
      </c>
      <c r="AN600" s="12" t="str">
        <f t="shared" si="309"/>
        <v/>
      </c>
      <c r="AO600" s="12" t="str">
        <f t="shared" si="310"/>
        <v/>
      </c>
      <c r="AP600" s="12" t="str">
        <f t="shared" si="311"/>
        <v/>
      </c>
    </row>
    <row r="601" spans="1:42">
      <c r="A601" s="9" t="str">
        <f t="shared" si="312"/>
        <v/>
      </c>
      <c r="B601" s="22" t="str">
        <f t="shared" si="313"/>
        <v/>
      </c>
      <c r="C601" s="23" t="str">
        <f t="shared" si="314"/>
        <v/>
      </c>
      <c r="D601" s="24" t="str">
        <f t="shared" si="315"/>
        <v/>
      </c>
      <c r="E601" s="24" t="str">
        <f t="shared" si="316"/>
        <v/>
      </c>
      <c r="F601" s="25" t="str">
        <f t="shared" si="317"/>
        <v/>
      </c>
      <c r="G601" s="7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2"/>
      <c r="U601" s="12">
        <f t="shared" si="291"/>
        <v>0</v>
      </c>
      <c r="V601" s="28" t="str">
        <f t="shared" ca="1" si="292"/>
        <v/>
      </c>
      <c r="W601" s="28" t="str">
        <f t="shared" si="293"/>
        <v/>
      </c>
      <c r="X601" s="12" t="str">
        <f t="shared" si="294"/>
        <v/>
      </c>
      <c r="Y601" s="12" t="str">
        <f t="shared" si="295"/>
        <v/>
      </c>
      <c r="Z601" s="12" t="str">
        <f t="shared" si="296"/>
        <v/>
      </c>
      <c r="AA601" s="12" t="str">
        <f t="shared" si="297"/>
        <v/>
      </c>
      <c r="AB601" s="12" t="str">
        <f t="shared" si="298"/>
        <v/>
      </c>
      <c r="AC601" s="12" t="str">
        <f t="shared" si="299"/>
        <v/>
      </c>
      <c r="AD601" s="12" t="str">
        <f t="shared" si="300"/>
        <v/>
      </c>
      <c r="AE601" s="12" t="str">
        <f t="shared" si="301"/>
        <v/>
      </c>
      <c r="AF601" s="12" t="str">
        <f t="shared" si="302"/>
        <v/>
      </c>
      <c r="AG601" s="12"/>
      <c r="AH601" s="12" t="str">
        <f t="shared" si="303"/>
        <v/>
      </c>
      <c r="AI601" s="12" t="str">
        <f t="shared" si="304"/>
        <v/>
      </c>
      <c r="AJ601" s="12" t="str">
        <f t="shared" si="305"/>
        <v/>
      </c>
      <c r="AK601" s="12" t="str">
        <f t="shared" si="306"/>
        <v/>
      </c>
      <c r="AL601" s="12" t="str">
        <f t="shared" si="307"/>
        <v/>
      </c>
      <c r="AM601" s="12" t="str">
        <f t="shared" si="308"/>
        <v/>
      </c>
      <c r="AN601" s="12" t="str">
        <f t="shared" si="309"/>
        <v/>
      </c>
      <c r="AO601" s="12" t="str">
        <f t="shared" si="310"/>
        <v/>
      </c>
      <c r="AP601" s="12" t="str">
        <f t="shared" si="311"/>
        <v/>
      </c>
    </row>
    <row r="602" spans="1:42">
      <c r="A602" s="9" t="str">
        <f t="shared" si="312"/>
        <v/>
      </c>
      <c r="B602" s="22" t="str">
        <f t="shared" si="313"/>
        <v/>
      </c>
      <c r="C602" s="23" t="str">
        <f t="shared" si="314"/>
        <v/>
      </c>
      <c r="D602" s="24" t="str">
        <f t="shared" si="315"/>
        <v/>
      </c>
      <c r="E602" s="24" t="str">
        <f t="shared" si="316"/>
        <v/>
      </c>
      <c r="F602" s="25" t="str">
        <f t="shared" si="317"/>
        <v/>
      </c>
      <c r="G602" s="7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2"/>
      <c r="U602" s="12">
        <f t="shared" si="291"/>
        <v>0</v>
      </c>
      <c r="V602" s="28" t="str">
        <f t="shared" ca="1" si="292"/>
        <v/>
      </c>
      <c r="W602" s="28" t="str">
        <f t="shared" si="293"/>
        <v/>
      </c>
      <c r="X602" s="12" t="str">
        <f t="shared" si="294"/>
        <v/>
      </c>
      <c r="Y602" s="12" t="str">
        <f t="shared" si="295"/>
        <v/>
      </c>
      <c r="Z602" s="12" t="str">
        <f t="shared" si="296"/>
        <v/>
      </c>
      <c r="AA602" s="12" t="str">
        <f t="shared" si="297"/>
        <v/>
      </c>
      <c r="AB602" s="12" t="str">
        <f t="shared" si="298"/>
        <v/>
      </c>
      <c r="AC602" s="12" t="str">
        <f t="shared" si="299"/>
        <v/>
      </c>
      <c r="AD602" s="12" t="str">
        <f t="shared" si="300"/>
        <v/>
      </c>
      <c r="AE602" s="12" t="str">
        <f t="shared" si="301"/>
        <v/>
      </c>
      <c r="AF602" s="12" t="str">
        <f t="shared" si="302"/>
        <v/>
      </c>
      <c r="AG602" s="12"/>
      <c r="AH602" s="12" t="str">
        <f t="shared" si="303"/>
        <v/>
      </c>
      <c r="AI602" s="12" t="str">
        <f t="shared" si="304"/>
        <v/>
      </c>
      <c r="AJ602" s="12" t="str">
        <f t="shared" si="305"/>
        <v/>
      </c>
      <c r="AK602" s="12" t="str">
        <f t="shared" si="306"/>
        <v/>
      </c>
      <c r="AL602" s="12" t="str">
        <f t="shared" si="307"/>
        <v/>
      </c>
      <c r="AM602" s="12" t="str">
        <f t="shared" si="308"/>
        <v/>
      </c>
      <c r="AN602" s="12" t="str">
        <f t="shared" si="309"/>
        <v/>
      </c>
      <c r="AO602" s="12" t="str">
        <f t="shared" si="310"/>
        <v/>
      </c>
      <c r="AP602" s="12" t="str">
        <f t="shared" si="311"/>
        <v/>
      </c>
    </row>
    <row r="603" spans="1:42">
      <c r="A603" s="9" t="str">
        <f t="shared" si="312"/>
        <v/>
      </c>
      <c r="B603" s="22" t="str">
        <f t="shared" si="313"/>
        <v/>
      </c>
      <c r="C603" s="23" t="str">
        <f t="shared" si="314"/>
        <v/>
      </c>
      <c r="D603" s="24" t="str">
        <f t="shared" si="315"/>
        <v/>
      </c>
      <c r="E603" s="24" t="str">
        <f t="shared" si="316"/>
        <v/>
      </c>
      <c r="F603" s="25" t="str">
        <f t="shared" si="317"/>
        <v/>
      </c>
      <c r="G603" s="7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2"/>
      <c r="U603" s="12">
        <f t="shared" si="291"/>
        <v>0</v>
      </c>
      <c r="V603" s="28" t="str">
        <f t="shared" ca="1" si="292"/>
        <v/>
      </c>
      <c r="W603" s="28" t="str">
        <f t="shared" si="293"/>
        <v/>
      </c>
      <c r="X603" s="12" t="str">
        <f t="shared" si="294"/>
        <v/>
      </c>
      <c r="Y603" s="12" t="str">
        <f t="shared" si="295"/>
        <v/>
      </c>
      <c r="Z603" s="12" t="str">
        <f t="shared" si="296"/>
        <v/>
      </c>
      <c r="AA603" s="12" t="str">
        <f t="shared" si="297"/>
        <v/>
      </c>
      <c r="AB603" s="12" t="str">
        <f t="shared" si="298"/>
        <v/>
      </c>
      <c r="AC603" s="12" t="str">
        <f t="shared" si="299"/>
        <v/>
      </c>
      <c r="AD603" s="12" t="str">
        <f t="shared" si="300"/>
        <v/>
      </c>
      <c r="AE603" s="12" t="str">
        <f t="shared" si="301"/>
        <v/>
      </c>
      <c r="AF603" s="12" t="str">
        <f t="shared" si="302"/>
        <v/>
      </c>
      <c r="AG603" s="12"/>
      <c r="AH603" s="12" t="str">
        <f t="shared" si="303"/>
        <v/>
      </c>
      <c r="AI603" s="12" t="str">
        <f t="shared" si="304"/>
        <v/>
      </c>
      <c r="AJ603" s="12" t="str">
        <f t="shared" si="305"/>
        <v/>
      </c>
      <c r="AK603" s="12" t="str">
        <f t="shared" si="306"/>
        <v/>
      </c>
      <c r="AL603" s="12" t="str">
        <f t="shared" si="307"/>
        <v/>
      </c>
      <c r="AM603" s="12" t="str">
        <f t="shared" si="308"/>
        <v/>
      </c>
      <c r="AN603" s="12" t="str">
        <f t="shared" si="309"/>
        <v/>
      </c>
      <c r="AO603" s="12" t="str">
        <f t="shared" si="310"/>
        <v/>
      </c>
      <c r="AP603" s="12" t="str">
        <f t="shared" si="311"/>
        <v/>
      </c>
    </row>
    <row r="604" spans="1:42">
      <c r="A604" s="9" t="str">
        <f t="shared" si="312"/>
        <v/>
      </c>
      <c r="B604" s="22" t="str">
        <f t="shared" si="313"/>
        <v/>
      </c>
      <c r="C604" s="23" t="str">
        <f t="shared" si="314"/>
        <v/>
      </c>
      <c r="D604" s="24" t="str">
        <f t="shared" si="315"/>
        <v/>
      </c>
      <c r="E604" s="24" t="str">
        <f t="shared" si="316"/>
        <v/>
      </c>
      <c r="F604" s="25" t="str">
        <f t="shared" si="317"/>
        <v/>
      </c>
      <c r="G604" s="7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2"/>
      <c r="U604" s="12">
        <f t="shared" si="291"/>
        <v>0</v>
      </c>
      <c r="V604" s="28" t="str">
        <f t="shared" ca="1" si="292"/>
        <v/>
      </c>
      <c r="W604" s="28" t="str">
        <f t="shared" si="293"/>
        <v/>
      </c>
      <c r="X604" s="12" t="str">
        <f t="shared" si="294"/>
        <v/>
      </c>
      <c r="Y604" s="12" t="str">
        <f t="shared" si="295"/>
        <v/>
      </c>
      <c r="Z604" s="12" t="str">
        <f t="shared" si="296"/>
        <v/>
      </c>
      <c r="AA604" s="12" t="str">
        <f t="shared" si="297"/>
        <v/>
      </c>
      <c r="AB604" s="12" t="str">
        <f t="shared" si="298"/>
        <v/>
      </c>
      <c r="AC604" s="12" t="str">
        <f t="shared" si="299"/>
        <v/>
      </c>
      <c r="AD604" s="12" t="str">
        <f t="shared" si="300"/>
        <v/>
      </c>
      <c r="AE604" s="12" t="str">
        <f t="shared" si="301"/>
        <v/>
      </c>
      <c r="AF604" s="12" t="str">
        <f t="shared" si="302"/>
        <v/>
      </c>
      <c r="AG604" s="12"/>
      <c r="AH604" s="12" t="str">
        <f t="shared" si="303"/>
        <v/>
      </c>
      <c r="AI604" s="12" t="str">
        <f t="shared" si="304"/>
        <v/>
      </c>
      <c r="AJ604" s="12" t="str">
        <f t="shared" si="305"/>
        <v/>
      </c>
      <c r="AK604" s="12" t="str">
        <f t="shared" si="306"/>
        <v/>
      </c>
      <c r="AL604" s="12" t="str">
        <f t="shared" si="307"/>
        <v/>
      </c>
      <c r="AM604" s="12" t="str">
        <f t="shared" si="308"/>
        <v/>
      </c>
      <c r="AN604" s="12" t="str">
        <f t="shared" si="309"/>
        <v/>
      </c>
      <c r="AO604" s="12" t="str">
        <f t="shared" si="310"/>
        <v/>
      </c>
      <c r="AP604" s="12" t="str">
        <f t="shared" si="311"/>
        <v/>
      </c>
    </row>
    <row r="605" spans="1:42">
      <c r="A605" s="9" t="str">
        <f t="shared" si="312"/>
        <v/>
      </c>
      <c r="B605" s="22" t="str">
        <f t="shared" si="313"/>
        <v/>
      </c>
      <c r="C605" s="23" t="str">
        <f t="shared" si="314"/>
        <v/>
      </c>
      <c r="D605" s="24" t="str">
        <f t="shared" si="315"/>
        <v/>
      </c>
      <c r="E605" s="24" t="str">
        <f t="shared" si="316"/>
        <v/>
      </c>
      <c r="F605" s="25" t="str">
        <f t="shared" si="317"/>
        <v/>
      </c>
      <c r="G605" s="7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2"/>
      <c r="U605" s="12">
        <f t="shared" si="291"/>
        <v>0</v>
      </c>
      <c r="V605" s="28" t="str">
        <f t="shared" ca="1" si="292"/>
        <v/>
      </c>
      <c r="W605" s="28" t="str">
        <f t="shared" si="293"/>
        <v/>
      </c>
      <c r="X605" s="12" t="str">
        <f t="shared" si="294"/>
        <v/>
      </c>
      <c r="Y605" s="12" t="str">
        <f t="shared" si="295"/>
        <v/>
      </c>
      <c r="Z605" s="12" t="str">
        <f t="shared" si="296"/>
        <v/>
      </c>
      <c r="AA605" s="12" t="str">
        <f t="shared" si="297"/>
        <v/>
      </c>
      <c r="AB605" s="12" t="str">
        <f t="shared" si="298"/>
        <v/>
      </c>
      <c r="AC605" s="12" t="str">
        <f t="shared" si="299"/>
        <v/>
      </c>
      <c r="AD605" s="12" t="str">
        <f t="shared" si="300"/>
        <v/>
      </c>
      <c r="AE605" s="12" t="str">
        <f t="shared" si="301"/>
        <v/>
      </c>
      <c r="AF605" s="12" t="str">
        <f t="shared" si="302"/>
        <v/>
      </c>
      <c r="AG605" s="12"/>
      <c r="AH605" s="12" t="str">
        <f t="shared" si="303"/>
        <v/>
      </c>
      <c r="AI605" s="12" t="str">
        <f t="shared" si="304"/>
        <v/>
      </c>
      <c r="AJ605" s="12" t="str">
        <f t="shared" si="305"/>
        <v/>
      </c>
      <c r="AK605" s="12" t="str">
        <f t="shared" si="306"/>
        <v/>
      </c>
      <c r="AL605" s="12" t="str">
        <f t="shared" si="307"/>
        <v/>
      </c>
      <c r="AM605" s="12" t="str">
        <f t="shared" si="308"/>
        <v/>
      </c>
      <c r="AN605" s="12" t="str">
        <f t="shared" si="309"/>
        <v/>
      </c>
      <c r="AO605" s="12" t="str">
        <f t="shared" si="310"/>
        <v/>
      </c>
      <c r="AP605" s="12" t="str">
        <f t="shared" si="311"/>
        <v/>
      </c>
    </row>
    <row r="606" spans="1:42">
      <c r="A606" s="9" t="str">
        <f t="shared" si="312"/>
        <v/>
      </c>
      <c r="B606" s="22" t="str">
        <f t="shared" si="313"/>
        <v/>
      </c>
      <c r="C606" s="23" t="str">
        <f t="shared" si="314"/>
        <v/>
      </c>
      <c r="D606" s="24" t="str">
        <f t="shared" si="315"/>
        <v/>
      </c>
      <c r="E606" s="24" t="str">
        <f t="shared" si="316"/>
        <v/>
      </c>
      <c r="F606" s="25" t="str">
        <f t="shared" si="317"/>
        <v/>
      </c>
      <c r="G606" s="7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2"/>
      <c r="U606" s="12">
        <f t="shared" si="291"/>
        <v>0</v>
      </c>
      <c r="V606" s="28" t="str">
        <f t="shared" ca="1" si="292"/>
        <v/>
      </c>
      <c r="W606" s="28" t="str">
        <f t="shared" si="293"/>
        <v/>
      </c>
      <c r="X606" s="12" t="str">
        <f t="shared" si="294"/>
        <v/>
      </c>
      <c r="Y606" s="12" t="str">
        <f t="shared" si="295"/>
        <v/>
      </c>
      <c r="Z606" s="12" t="str">
        <f t="shared" si="296"/>
        <v/>
      </c>
      <c r="AA606" s="12" t="str">
        <f t="shared" si="297"/>
        <v/>
      </c>
      <c r="AB606" s="12" t="str">
        <f t="shared" si="298"/>
        <v/>
      </c>
      <c r="AC606" s="12" t="str">
        <f t="shared" si="299"/>
        <v/>
      </c>
      <c r="AD606" s="12" t="str">
        <f t="shared" si="300"/>
        <v/>
      </c>
      <c r="AE606" s="12" t="str">
        <f t="shared" si="301"/>
        <v/>
      </c>
      <c r="AF606" s="12" t="str">
        <f t="shared" si="302"/>
        <v/>
      </c>
      <c r="AG606" s="12"/>
      <c r="AH606" s="12" t="str">
        <f t="shared" si="303"/>
        <v/>
      </c>
      <c r="AI606" s="12" t="str">
        <f t="shared" si="304"/>
        <v/>
      </c>
      <c r="AJ606" s="12" t="str">
        <f t="shared" si="305"/>
        <v/>
      </c>
      <c r="AK606" s="12" t="str">
        <f t="shared" si="306"/>
        <v/>
      </c>
      <c r="AL606" s="12" t="str">
        <f t="shared" si="307"/>
        <v/>
      </c>
      <c r="AM606" s="12" t="str">
        <f t="shared" si="308"/>
        <v/>
      </c>
      <c r="AN606" s="12" t="str">
        <f t="shared" si="309"/>
        <v/>
      </c>
      <c r="AO606" s="12" t="str">
        <f t="shared" si="310"/>
        <v/>
      </c>
      <c r="AP606" s="12" t="str">
        <f t="shared" si="311"/>
        <v/>
      </c>
    </row>
    <row r="607" spans="1:42">
      <c r="A607" s="9" t="str">
        <f t="shared" si="312"/>
        <v/>
      </c>
      <c r="B607" s="22" t="str">
        <f t="shared" si="313"/>
        <v/>
      </c>
      <c r="C607" s="23" t="str">
        <f t="shared" si="314"/>
        <v/>
      </c>
      <c r="D607" s="24" t="str">
        <f t="shared" si="315"/>
        <v/>
      </c>
      <c r="E607" s="24" t="str">
        <f t="shared" si="316"/>
        <v/>
      </c>
      <c r="F607" s="25" t="str">
        <f t="shared" si="317"/>
        <v/>
      </c>
      <c r="G607" s="7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2"/>
      <c r="U607" s="12">
        <f t="shared" si="291"/>
        <v>0</v>
      </c>
      <c r="V607" s="28" t="str">
        <f t="shared" ca="1" si="292"/>
        <v/>
      </c>
      <c r="W607" s="28" t="str">
        <f t="shared" si="293"/>
        <v/>
      </c>
      <c r="X607" s="12" t="str">
        <f t="shared" si="294"/>
        <v/>
      </c>
      <c r="Y607" s="12" t="str">
        <f t="shared" si="295"/>
        <v/>
      </c>
      <c r="Z607" s="12" t="str">
        <f t="shared" si="296"/>
        <v/>
      </c>
      <c r="AA607" s="12" t="str">
        <f t="shared" si="297"/>
        <v/>
      </c>
      <c r="AB607" s="12" t="str">
        <f t="shared" si="298"/>
        <v/>
      </c>
      <c r="AC607" s="12" t="str">
        <f t="shared" si="299"/>
        <v/>
      </c>
      <c r="AD607" s="12" t="str">
        <f t="shared" si="300"/>
        <v/>
      </c>
      <c r="AE607" s="12" t="str">
        <f t="shared" si="301"/>
        <v/>
      </c>
      <c r="AF607" s="12" t="str">
        <f t="shared" si="302"/>
        <v/>
      </c>
      <c r="AG607" s="12"/>
      <c r="AH607" s="12" t="str">
        <f t="shared" si="303"/>
        <v/>
      </c>
      <c r="AI607" s="12" t="str">
        <f t="shared" si="304"/>
        <v/>
      </c>
      <c r="AJ607" s="12" t="str">
        <f t="shared" si="305"/>
        <v/>
      </c>
      <c r="AK607" s="12" t="str">
        <f t="shared" si="306"/>
        <v/>
      </c>
      <c r="AL607" s="12" t="str">
        <f t="shared" si="307"/>
        <v/>
      </c>
      <c r="AM607" s="12" t="str">
        <f t="shared" si="308"/>
        <v/>
      </c>
      <c r="AN607" s="12" t="str">
        <f t="shared" si="309"/>
        <v/>
      </c>
      <c r="AO607" s="12" t="str">
        <f t="shared" si="310"/>
        <v/>
      </c>
      <c r="AP607" s="12" t="str">
        <f t="shared" si="311"/>
        <v/>
      </c>
    </row>
    <row r="608" spans="1:42">
      <c r="A608" s="9" t="str">
        <f t="shared" si="312"/>
        <v/>
      </c>
      <c r="B608" s="22" t="str">
        <f t="shared" si="313"/>
        <v/>
      </c>
      <c r="C608" s="23" t="str">
        <f t="shared" si="314"/>
        <v/>
      </c>
      <c r="D608" s="24" t="str">
        <f t="shared" si="315"/>
        <v/>
      </c>
      <c r="E608" s="24" t="str">
        <f t="shared" si="316"/>
        <v/>
      </c>
      <c r="F608" s="25" t="str">
        <f t="shared" si="317"/>
        <v/>
      </c>
      <c r="G608" s="7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2"/>
      <c r="U608" s="12">
        <f t="shared" si="291"/>
        <v>0</v>
      </c>
      <c r="V608" s="28" t="str">
        <f t="shared" ca="1" si="292"/>
        <v/>
      </c>
      <c r="W608" s="28" t="str">
        <f t="shared" si="293"/>
        <v/>
      </c>
      <c r="X608" s="12" t="str">
        <f t="shared" si="294"/>
        <v/>
      </c>
      <c r="Y608" s="12" t="str">
        <f t="shared" si="295"/>
        <v/>
      </c>
      <c r="Z608" s="12" t="str">
        <f t="shared" si="296"/>
        <v/>
      </c>
      <c r="AA608" s="12" t="str">
        <f t="shared" si="297"/>
        <v/>
      </c>
      <c r="AB608" s="12" t="str">
        <f t="shared" si="298"/>
        <v/>
      </c>
      <c r="AC608" s="12" t="str">
        <f t="shared" si="299"/>
        <v/>
      </c>
      <c r="AD608" s="12" t="str">
        <f t="shared" si="300"/>
        <v/>
      </c>
      <c r="AE608" s="12" t="str">
        <f t="shared" si="301"/>
        <v/>
      </c>
      <c r="AF608" s="12" t="str">
        <f t="shared" si="302"/>
        <v/>
      </c>
      <c r="AG608" s="12"/>
      <c r="AH608" s="12" t="str">
        <f t="shared" si="303"/>
        <v/>
      </c>
      <c r="AI608" s="12" t="str">
        <f t="shared" si="304"/>
        <v/>
      </c>
      <c r="AJ608" s="12" t="str">
        <f t="shared" si="305"/>
        <v/>
      </c>
      <c r="AK608" s="12" t="str">
        <f t="shared" si="306"/>
        <v/>
      </c>
      <c r="AL608" s="12" t="str">
        <f t="shared" si="307"/>
        <v/>
      </c>
      <c r="AM608" s="12" t="str">
        <f t="shared" si="308"/>
        <v/>
      </c>
      <c r="AN608" s="12" t="str">
        <f t="shared" si="309"/>
        <v/>
      </c>
      <c r="AO608" s="12" t="str">
        <f t="shared" si="310"/>
        <v/>
      </c>
      <c r="AP608" s="12" t="str">
        <f t="shared" si="311"/>
        <v/>
      </c>
    </row>
    <row r="609" spans="1:42">
      <c r="A609" s="9" t="str">
        <f t="shared" si="312"/>
        <v/>
      </c>
      <c r="B609" s="22" t="str">
        <f t="shared" si="313"/>
        <v/>
      </c>
      <c r="C609" s="23" t="str">
        <f t="shared" si="314"/>
        <v/>
      </c>
      <c r="D609" s="24" t="str">
        <f t="shared" si="315"/>
        <v/>
      </c>
      <c r="E609" s="24" t="str">
        <f t="shared" si="316"/>
        <v/>
      </c>
      <c r="F609" s="25" t="str">
        <f t="shared" si="317"/>
        <v/>
      </c>
      <c r="G609" s="7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2"/>
      <c r="U609" s="12">
        <f t="shared" si="291"/>
        <v>0</v>
      </c>
      <c r="V609" s="28" t="str">
        <f t="shared" ca="1" si="292"/>
        <v/>
      </c>
      <c r="W609" s="28" t="str">
        <f t="shared" si="293"/>
        <v/>
      </c>
      <c r="X609" s="12" t="str">
        <f t="shared" si="294"/>
        <v/>
      </c>
      <c r="Y609" s="12" t="str">
        <f t="shared" si="295"/>
        <v/>
      </c>
      <c r="Z609" s="12" t="str">
        <f t="shared" si="296"/>
        <v/>
      </c>
      <c r="AA609" s="12" t="str">
        <f t="shared" si="297"/>
        <v/>
      </c>
      <c r="AB609" s="12" t="str">
        <f t="shared" si="298"/>
        <v/>
      </c>
      <c r="AC609" s="12" t="str">
        <f t="shared" si="299"/>
        <v/>
      </c>
      <c r="AD609" s="12" t="str">
        <f t="shared" si="300"/>
        <v/>
      </c>
      <c r="AE609" s="12" t="str">
        <f t="shared" si="301"/>
        <v/>
      </c>
      <c r="AF609" s="12" t="str">
        <f t="shared" si="302"/>
        <v/>
      </c>
      <c r="AG609" s="12"/>
      <c r="AH609" s="12" t="str">
        <f t="shared" si="303"/>
        <v/>
      </c>
      <c r="AI609" s="12" t="str">
        <f t="shared" si="304"/>
        <v/>
      </c>
      <c r="AJ609" s="12" t="str">
        <f t="shared" si="305"/>
        <v/>
      </c>
      <c r="AK609" s="12" t="str">
        <f t="shared" si="306"/>
        <v/>
      </c>
      <c r="AL609" s="12" t="str">
        <f t="shared" si="307"/>
        <v/>
      </c>
      <c r="AM609" s="12" t="str">
        <f t="shared" si="308"/>
        <v/>
      </c>
      <c r="AN609" s="12" t="str">
        <f t="shared" si="309"/>
        <v/>
      </c>
      <c r="AO609" s="12" t="str">
        <f t="shared" si="310"/>
        <v/>
      </c>
      <c r="AP609" s="12" t="str">
        <f t="shared" si="311"/>
        <v/>
      </c>
    </row>
    <row r="610" spans="1:42">
      <c r="A610" s="9" t="str">
        <f t="shared" si="312"/>
        <v/>
      </c>
      <c r="B610" s="22" t="str">
        <f t="shared" si="313"/>
        <v/>
      </c>
      <c r="C610" s="23" t="str">
        <f t="shared" si="314"/>
        <v/>
      </c>
      <c r="D610" s="24" t="str">
        <f t="shared" si="315"/>
        <v/>
      </c>
      <c r="E610" s="24" t="str">
        <f t="shared" si="316"/>
        <v/>
      </c>
      <c r="F610" s="25" t="str">
        <f t="shared" si="317"/>
        <v/>
      </c>
      <c r="G610" s="7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2"/>
      <c r="U610" s="12">
        <f t="shared" si="291"/>
        <v>0</v>
      </c>
      <c r="V610" s="28" t="str">
        <f t="shared" ca="1" si="292"/>
        <v/>
      </c>
      <c r="W610" s="28" t="str">
        <f t="shared" si="293"/>
        <v/>
      </c>
      <c r="X610" s="12" t="str">
        <f t="shared" si="294"/>
        <v/>
      </c>
      <c r="Y610" s="12" t="str">
        <f t="shared" si="295"/>
        <v/>
      </c>
      <c r="Z610" s="12" t="str">
        <f t="shared" si="296"/>
        <v/>
      </c>
      <c r="AA610" s="12" t="str">
        <f t="shared" si="297"/>
        <v/>
      </c>
      <c r="AB610" s="12" t="str">
        <f t="shared" si="298"/>
        <v/>
      </c>
      <c r="AC610" s="12" t="str">
        <f t="shared" si="299"/>
        <v/>
      </c>
      <c r="AD610" s="12" t="str">
        <f t="shared" si="300"/>
        <v/>
      </c>
      <c r="AE610" s="12" t="str">
        <f t="shared" si="301"/>
        <v/>
      </c>
      <c r="AF610" s="12" t="str">
        <f t="shared" si="302"/>
        <v/>
      </c>
      <c r="AG610" s="12"/>
      <c r="AH610" s="12" t="str">
        <f t="shared" si="303"/>
        <v/>
      </c>
      <c r="AI610" s="12" t="str">
        <f t="shared" si="304"/>
        <v/>
      </c>
      <c r="AJ610" s="12" t="str">
        <f t="shared" si="305"/>
        <v/>
      </c>
      <c r="AK610" s="12" t="str">
        <f t="shared" si="306"/>
        <v/>
      </c>
      <c r="AL610" s="12" t="str">
        <f t="shared" si="307"/>
        <v/>
      </c>
      <c r="AM610" s="12" t="str">
        <f t="shared" si="308"/>
        <v/>
      </c>
      <c r="AN610" s="12" t="str">
        <f t="shared" si="309"/>
        <v/>
      </c>
      <c r="AO610" s="12" t="str">
        <f t="shared" si="310"/>
        <v/>
      </c>
      <c r="AP610" s="12" t="str">
        <f t="shared" si="311"/>
        <v/>
      </c>
    </row>
    <row r="611" spans="1:42">
      <c r="A611" s="9" t="str">
        <f t="shared" si="312"/>
        <v/>
      </c>
      <c r="B611" s="22" t="str">
        <f t="shared" si="313"/>
        <v/>
      </c>
      <c r="C611" s="23" t="str">
        <f t="shared" si="314"/>
        <v/>
      </c>
      <c r="D611" s="24" t="str">
        <f t="shared" si="315"/>
        <v/>
      </c>
      <c r="E611" s="24" t="str">
        <f t="shared" si="316"/>
        <v/>
      </c>
      <c r="F611" s="25" t="str">
        <f t="shared" si="317"/>
        <v/>
      </c>
      <c r="G611" s="7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2"/>
      <c r="U611" s="12">
        <f t="shared" si="291"/>
        <v>0</v>
      </c>
      <c r="V611" s="28" t="str">
        <f t="shared" ca="1" si="292"/>
        <v/>
      </c>
      <c r="W611" s="28" t="str">
        <f t="shared" si="293"/>
        <v/>
      </c>
      <c r="X611" s="12" t="str">
        <f t="shared" si="294"/>
        <v/>
      </c>
      <c r="Y611" s="12" t="str">
        <f t="shared" si="295"/>
        <v/>
      </c>
      <c r="Z611" s="12" t="str">
        <f t="shared" si="296"/>
        <v/>
      </c>
      <c r="AA611" s="12" t="str">
        <f t="shared" si="297"/>
        <v/>
      </c>
      <c r="AB611" s="12" t="str">
        <f t="shared" si="298"/>
        <v/>
      </c>
      <c r="AC611" s="12" t="str">
        <f t="shared" si="299"/>
        <v/>
      </c>
      <c r="AD611" s="12" t="str">
        <f t="shared" si="300"/>
        <v/>
      </c>
      <c r="AE611" s="12" t="str">
        <f t="shared" si="301"/>
        <v/>
      </c>
      <c r="AF611" s="12" t="str">
        <f t="shared" si="302"/>
        <v/>
      </c>
      <c r="AG611" s="12"/>
      <c r="AH611" s="12" t="str">
        <f t="shared" si="303"/>
        <v/>
      </c>
      <c r="AI611" s="12" t="str">
        <f t="shared" si="304"/>
        <v/>
      </c>
      <c r="AJ611" s="12" t="str">
        <f t="shared" si="305"/>
        <v/>
      </c>
      <c r="AK611" s="12" t="str">
        <f t="shared" si="306"/>
        <v/>
      </c>
      <c r="AL611" s="12" t="str">
        <f t="shared" si="307"/>
        <v/>
      </c>
      <c r="AM611" s="12" t="str">
        <f t="shared" si="308"/>
        <v/>
      </c>
      <c r="AN611" s="12" t="str">
        <f t="shared" si="309"/>
        <v/>
      </c>
      <c r="AO611" s="12" t="str">
        <f t="shared" si="310"/>
        <v/>
      </c>
      <c r="AP611" s="12" t="str">
        <f t="shared" si="311"/>
        <v/>
      </c>
    </row>
    <row r="612" spans="1:42">
      <c r="A612" s="9" t="str">
        <f t="shared" si="312"/>
        <v/>
      </c>
      <c r="B612" s="22" t="str">
        <f t="shared" si="313"/>
        <v/>
      </c>
      <c r="C612" s="23" t="str">
        <f t="shared" si="314"/>
        <v/>
      </c>
      <c r="D612" s="24" t="str">
        <f t="shared" si="315"/>
        <v/>
      </c>
      <c r="E612" s="24" t="str">
        <f t="shared" si="316"/>
        <v/>
      </c>
      <c r="F612" s="25" t="str">
        <f t="shared" si="317"/>
        <v/>
      </c>
      <c r="G612" s="7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2"/>
      <c r="U612" s="12">
        <f t="shared" si="291"/>
        <v>0</v>
      </c>
      <c r="V612" s="28" t="str">
        <f t="shared" ca="1" si="292"/>
        <v/>
      </c>
      <c r="W612" s="28" t="str">
        <f t="shared" si="293"/>
        <v/>
      </c>
      <c r="X612" s="12" t="str">
        <f t="shared" si="294"/>
        <v/>
      </c>
      <c r="Y612" s="12" t="str">
        <f t="shared" si="295"/>
        <v/>
      </c>
      <c r="Z612" s="12" t="str">
        <f t="shared" si="296"/>
        <v/>
      </c>
      <c r="AA612" s="12" t="str">
        <f t="shared" si="297"/>
        <v/>
      </c>
      <c r="AB612" s="12" t="str">
        <f t="shared" si="298"/>
        <v/>
      </c>
      <c r="AC612" s="12" t="str">
        <f t="shared" si="299"/>
        <v/>
      </c>
      <c r="AD612" s="12" t="str">
        <f t="shared" si="300"/>
        <v/>
      </c>
      <c r="AE612" s="12" t="str">
        <f t="shared" si="301"/>
        <v/>
      </c>
      <c r="AF612" s="12" t="str">
        <f t="shared" si="302"/>
        <v/>
      </c>
      <c r="AG612" s="12"/>
      <c r="AH612" s="12" t="str">
        <f t="shared" si="303"/>
        <v/>
      </c>
      <c r="AI612" s="12" t="str">
        <f t="shared" si="304"/>
        <v/>
      </c>
      <c r="AJ612" s="12" t="str">
        <f t="shared" si="305"/>
        <v/>
      </c>
      <c r="AK612" s="12" t="str">
        <f t="shared" si="306"/>
        <v/>
      </c>
      <c r="AL612" s="12" t="str">
        <f t="shared" si="307"/>
        <v/>
      </c>
      <c r="AM612" s="12" t="str">
        <f t="shared" si="308"/>
        <v/>
      </c>
      <c r="AN612" s="12" t="str">
        <f t="shared" si="309"/>
        <v/>
      </c>
      <c r="AO612" s="12" t="str">
        <f t="shared" si="310"/>
        <v/>
      </c>
      <c r="AP612" s="12" t="str">
        <f t="shared" si="311"/>
        <v/>
      </c>
    </row>
    <row r="613" spans="1:42">
      <c r="A613" s="9" t="str">
        <f t="shared" si="312"/>
        <v/>
      </c>
      <c r="B613" s="22" t="str">
        <f t="shared" si="313"/>
        <v/>
      </c>
      <c r="C613" s="23" t="str">
        <f t="shared" si="314"/>
        <v/>
      </c>
      <c r="D613" s="24" t="str">
        <f t="shared" si="315"/>
        <v/>
      </c>
      <c r="E613" s="24" t="str">
        <f t="shared" si="316"/>
        <v/>
      </c>
      <c r="F613" s="25" t="str">
        <f t="shared" si="317"/>
        <v/>
      </c>
      <c r="G613" s="7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2"/>
      <c r="U613" s="12">
        <f t="shared" si="291"/>
        <v>0</v>
      </c>
      <c r="V613" s="28" t="str">
        <f t="shared" ca="1" si="292"/>
        <v/>
      </c>
      <c r="W613" s="28" t="str">
        <f t="shared" si="293"/>
        <v/>
      </c>
      <c r="X613" s="12" t="str">
        <f t="shared" si="294"/>
        <v/>
      </c>
      <c r="Y613" s="12" t="str">
        <f t="shared" si="295"/>
        <v/>
      </c>
      <c r="Z613" s="12" t="str">
        <f t="shared" si="296"/>
        <v/>
      </c>
      <c r="AA613" s="12" t="str">
        <f t="shared" si="297"/>
        <v/>
      </c>
      <c r="AB613" s="12" t="str">
        <f t="shared" si="298"/>
        <v/>
      </c>
      <c r="AC613" s="12" t="str">
        <f t="shared" si="299"/>
        <v/>
      </c>
      <c r="AD613" s="12" t="str">
        <f t="shared" si="300"/>
        <v/>
      </c>
      <c r="AE613" s="12" t="str">
        <f t="shared" si="301"/>
        <v/>
      </c>
      <c r="AF613" s="12" t="str">
        <f t="shared" si="302"/>
        <v/>
      </c>
      <c r="AG613" s="12"/>
      <c r="AH613" s="12" t="str">
        <f t="shared" si="303"/>
        <v/>
      </c>
      <c r="AI613" s="12" t="str">
        <f t="shared" si="304"/>
        <v/>
      </c>
      <c r="AJ613" s="12" t="str">
        <f t="shared" si="305"/>
        <v/>
      </c>
      <c r="AK613" s="12" t="str">
        <f t="shared" si="306"/>
        <v/>
      </c>
      <c r="AL613" s="12" t="str">
        <f t="shared" si="307"/>
        <v/>
      </c>
      <c r="AM613" s="12" t="str">
        <f t="shared" si="308"/>
        <v/>
      </c>
      <c r="AN613" s="12" t="str">
        <f t="shared" si="309"/>
        <v/>
      </c>
      <c r="AO613" s="12" t="str">
        <f t="shared" si="310"/>
        <v/>
      </c>
      <c r="AP613" s="12" t="str">
        <f t="shared" si="311"/>
        <v/>
      </c>
    </row>
    <row r="614" spans="1:42">
      <c r="A614" s="9" t="str">
        <f t="shared" si="312"/>
        <v/>
      </c>
      <c r="B614" s="22" t="str">
        <f t="shared" si="313"/>
        <v/>
      </c>
      <c r="C614" s="23" t="str">
        <f t="shared" si="314"/>
        <v/>
      </c>
      <c r="D614" s="24" t="str">
        <f t="shared" si="315"/>
        <v/>
      </c>
      <c r="E614" s="24" t="str">
        <f t="shared" si="316"/>
        <v/>
      </c>
      <c r="F614" s="25" t="str">
        <f t="shared" si="317"/>
        <v/>
      </c>
      <c r="G614" s="7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2"/>
      <c r="U614" s="12">
        <f t="shared" si="291"/>
        <v>0</v>
      </c>
      <c r="V614" s="28" t="str">
        <f t="shared" ca="1" si="292"/>
        <v/>
      </c>
      <c r="W614" s="28" t="str">
        <f t="shared" si="293"/>
        <v/>
      </c>
      <c r="X614" s="12" t="str">
        <f t="shared" si="294"/>
        <v/>
      </c>
      <c r="Y614" s="12" t="str">
        <f t="shared" si="295"/>
        <v/>
      </c>
      <c r="Z614" s="12" t="str">
        <f t="shared" si="296"/>
        <v/>
      </c>
      <c r="AA614" s="12" t="str">
        <f t="shared" si="297"/>
        <v/>
      </c>
      <c r="AB614" s="12" t="str">
        <f t="shared" si="298"/>
        <v/>
      </c>
      <c r="AC614" s="12" t="str">
        <f t="shared" si="299"/>
        <v/>
      </c>
      <c r="AD614" s="12" t="str">
        <f t="shared" si="300"/>
        <v/>
      </c>
      <c r="AE614" s="12" t="str">
        <f t="shared" si="301"/>
        <v/>
      </c>
      <c r="AF614" s="12" t="str">
        <f t="shared" si="302"/>
        <v/>
      </c>
      <c r="AG614" s="12"/>
      <c r="AH614" s="12" t="str">
        <f t="shared" si="303"/>
        <v/>
      </c>
      <c r="AI614" s="12" t="str">
        <f t="shared" si="304"/>
        <v/>
      </c>
      <c r="AJ614" s="12" t="str">
        <f t="shared" si="305"/>
        <v/>
      </c>
      <c r="AK614" s="12" t="str">
        <f t="shared" si="306"/>
        <v/>
      </c>
      <c r="AL614" s="12" t="str">
        <f t="shared" si="307"/>
        <v/>
      </c>
      <c r="AM614" s="12" t="str">
        <f t="shared" si="308"/>
        <v/>
      </c>
      <c r="AN614" s="12" t="str">
        <f t="shared" si="309"/>
        <v/>
      </c>
      <c r="AO614" s="12" t="str">
        <f t="shared" si="310"/>
        <v/>
      </c>
      <c r="AP614" s="12" t="str">
        <f t="shared" si="311"/>
        <v/>
      </c>
    </row>
    <row r="615" spans="1:42">
      <c r="A615" s="9" t="str">
        <f t="shared" si="312"/>
        <v/>
      </c>
      <c r="B615" s="22" t="str">
        <f t="shared" si="313"/>
        <v/>
      </c>
      <c r="C615" s="23" t="str">
        <f t="shared" si="314"/>
        <v/>
      </c>
      <c r="D615" s="24" t="str">
        <f t="shared" si="315"/>
        <v/>
      </c>
      <c r="E615" s="24" t="str">
        <f t="shared" si="316"/>
        <v/>
      </c>
      <c r="F615" s="25" t="str">
        <f t="shared" si="317"/>
        <v/>
      </c>
      <c r="G615" s="7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2"/>
      <c r="U615" s="12">
        <f t="shared" si="291"/>
        <v>0</v>
      </c>
      <c r="V615" s="28" t="str">
        <f t="shared" ca="1" si="292"/>
        <v/>
      </c>
      <c r="W615" s="28" t="str">
        <f t="shared" si="293"/>
        <v/>
      </c>
      <c r="X615" s="12" t="str">
        <f t="shared" si="294"/>
        <v/>
      </c>
      <c r="Y615" s="12" t="str">
        <f t="shared" si="295"/>
        <v/>
      </c>
      <c r="Z615" s="12" t="str">
        <f t="shared" si="296"/>
        <v/>
      </c>
      <c r="AA615" s="12" t="str">
        <f t="shared" si="297"/>
        <v/>
      </c>
      <c r="AB615" s="12" t="str">
        <f t="shared" si="298"/>
        <v/>
      </c>
      <c r="AC615" s="12" t="str">
        <f t="shared" si="299"/>
        <v/>
      </c>
      <c r="AD615" s="12" t="str">
        <f t="shared" si="300"/>
        <v/>
      </c>
      <c r="AE615" s="12" t="str">
        <f t="shared" si="301"/>
        <v/>
      </c>
      <c r="AF615" s="12" t="str">
        <f t="shared" si="302"/>
        <v/>
      </c>
      <c r="AG615" s="12"/>
      <c r="AH615" s="12" t="str">
        <f t="shared" si="303"/>
        <v/>
      </c>
      <c r="AI615" s="12" t="str">
        <f t="shared" si="304"/>
        <v/>
      </c>
      <c r="AJ615" s="12" t="str">
        <f t="shared" si="305"/>
        <v/>
      </c>
      <c r="AK615" s="12" t="str">
        <f t="shared" si="306"/>
        <v/>
      </c>
      <c r="AL615" s="12" t="str">
        <f t="shared" si="307"/>
        <v/>
      </c>
      <c r="AM615" s="12" t="str">
        <f t="shared" si="308"/>
        <v/>
      </c>
      <c r="AN615" s="12" t="str">
        <f t="shared" si="309"/>
        <v/>
      </c>
      <c r="AO615" s="12" t="str">
        <f t="shared" si="310"/>
        <v/>
      </c>
      <c r="AP615" s="12" t="str">
        <f t="shared" si="311"/>
        <v/>
      </c>
    </row>
    <row r="616" spans="1:42">
      <c r="A616" s="9" t="str">
        <f t="shared" si="312"/>
        <v/>
      </c>
      <c r="B616" s="22" t="str">
        <f t="shared" si="313"/>
        <v/>
      </c>
      <c r="C616" s="23" t="str">
        <f t="shared" si="314"/>
        <v/>
      </c>
      <c r="D616" s="24" t="str">
        <f t="shared" si="315"/>
        <v/>
      </c>
      <c r="E616" s="24" t="str">
        <f t="shared" si="316"/>
        <v/>
      </c>
      <c r="F616" s="25" t="str">
        <f t="shared" si="317"/>
        <v/>
      </c>
      <c r="G616" s="7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2"/>
      <c r="U616" s="12">
        <f t="shared" si="291"/>
        <v>0</v>
      </c>
      <c r="V616" s="28" t="str">
        <f t="shared" ca="1" si="292"/>
        <v/>
      </c>
      <c r="W616" s="28" t="str">
        <f t="shared" si="293"/>
        <v/>
      </c>
      <c r="X616" s="12" t="str">
        <f t="shared" si="294"/>
        <v/>
      </c>
      <c r="Y616" s="12" t="str">
        <f t="shared" si="295"/>
        <v/>
      </c>
      <c r="Z616" s="12" t="str">
        <f t="shared" si="296"/>
        <v/>
      </c>
      <c r="AA616" s="12" t="str">
        <f t="shared" si="297"/>
        <v/>
      </c>
      <c r="AB616" s="12" t="str">
        <f t="shared" si="298"/>
        <v/>
      </c>
      <c r="AC616" s="12" t="str">
        <f t="shared" si="299"/>
        <v/>
      </c>
      <c r="AD616" s="12" t="str">
        <f t="shared" si="300"/>
        <v/>
      </c>
      <c r="AE616" s="12" t="str">
        <f t="shared" si="301"/>
        <v/>
      </c>
      <c r="AF616" s="12" t="str">
        <f t="shared" si="302"/>
        <v/>
      </c>
      <c r="AG616" s="12"/>
      <c r="AH616" s="12" t="str">
        <f t="shared" si="303"/>
        <v/>
      </c>
      <c r="AI616" s="12" t="str">
        <f t="shared" si="304"/>
        <v/>
      </c>
      <c r="AJ616" s="12" t="str">
        <f t="shared" si="305"/>
        <v/>
      </c>
      <c r="AK616" s="12" t="str">
        <f t="shared" si="306"/>
        <v/>
      </c>
      <c r="AL616" s="12" t="str">
        <f t="shared" si="307"/>
        <v/>
      </c>
      <c r="AM616" s="12" t="str">
        <f t="shared" si="308"/>
        <v/>
      </c>
      <c r="AN616" s="12" t="str">
        <f t="shared" si="309"/>
        <v/>
      </c>
      <c r="AO616" s="12" t="str">
        <f t="shared" si="310"/>
        <v/>
      </c>
      <c r="AP616" s="12" t="str">
        <f t="shared" si="311"/>
        <v/>
      </c>
    </row>
    <row r="617" spans="1:42">
      <c r="A617" s="9" t="str">
        <f t="shared" si="312"/>
        <v/>
      </c>
      <c r="B617" s="22" t="str">
        <f t="shared" si="313"/>
        <v/>
      </c>
      <c r="C617" s="23" t="str">
        <f t="shared" si="314"/>
        <v/>
      </c>
      <c r="D617" s="24" t="str">
        <f t="shared" si="315"/>
        <v/>
      </c>
      <c r="E617" s="24" t="str">
        <f t="shared" si="316"/>
        <v/>
      </c>
      <c r="F617" s="25" t="str">
        <f t="shared" si="317"/>
        <v/>
      </c>
      <c r="G617" s="7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2"/>
      <c r="U617" s="12">
        <f t="shared" si="291"/>
        <v>0</v>
      </c>
      <c r="V617" s="28" t="str">
        <f t="shared" ca="1" si="292"/>
        <v/>
      </c>
      <c r="W617" s="28" t="str">
        <f t="shared" si="293"/>
        <v/>
      </c>
      <c r="X617" s="12" t="str">
        <f t="shared" si="294"/>
        <v/>
      </c>
      <c r="Y617" s="12" t="str">
        <f t="shared" si="295"/>
        <v/>
      </c>
      <c r="Z617" s="12" t="str">
        <f t="shared" si="296"/>
        <v/>
      </c>
      <c r="AA617" s="12" t="str">
        <f t="shared" si="297"/>
        <v/>
      </c>
      <c r="AB617" s="12" t="str">
        <f t="shared" si="298"/>
        <v/>
      </c>
      <c r="AC617" s="12" t="str">
        <f t="shared" si="299"/>
        <v/>
      </c>
      <c r="AD617" s="12" t="str">
        <f t="shared" si="300"/>
        <v/>
      </c>
      <c r="AE617" s="12" t="str">
        <f t="shared" si="301"/>
        <v/>
      </c>
      <c r="AF617" s="12" t="str">
        <f t="shared" si="302"/>
        <v/>
      </c>
      <c r="AG617" s="12"/>
      <c r="AH617" s="12" t="str">
        <f t="shared" si="303"/>
        <v/>
      </c>
      <c r="AI617" s="12" t="str">
        <f t="shared" si="304"/>
        <v/>
      </c>
      <c r="AJ617" s="12" t="str">
        <f t="shared" si="305"/>
        <v/>
      </c>
      <c r="AK617" s="12" t="str">
        <f t="shared" si="306"/>
        <v/>
      </c>
      <c r="AL617" s="12" t="str">
        <f t="shared" si="307"/>
        <v/>
      </c>
      <c r="AM617" s="12" t="str">
        <f t="shared" si="308"/>
        <v/>
      </c>
      <c r="AN617" s="12" t="str">
        <f t="shared" si="309"/>
        <v/>
      </c>
      <c r="AO617" s="12" t="str">
        <f t="shared" si="310"/>
        <v/>
      </c>
      <c r="AP617" s="12" t="str">
        <f t="shared" si="311"/>
        <v/>
      </c>
    </row>
    <row r="618" spans="1:42">
      <c r="A618" s="9" t="str">
        <f t="shared" si="312"/>
        <v/>
      </c>
      <c r="B618" s="22" t="str">
        <f t="shared" si="313"/>
        <v/>
      </c>
      <c r="C618" s="23" t="str">
        <f t="shared" si="314"/>
        <v/>
      </c>
      <c r="D618" s="24" t="str">
        <f t="shared" si="315"/>
        <v/>
      </c>
      <c r="E618" s="24" t="str">
        <f t="shared" si="316"/>
        <v/>
      </c>
      <c r="F618" s="25" t="str">
        <f t="shared" si="317"/>
        <v/>
      </c>
      <c r="G618" s="7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2"/>
      <c r="U618" s="12">
        <f t="shared" si="291"/>
        <v>0</v>
      </c>
      <c r="V618" s="28" t="str">
        <f t="shared" ca="1" si="292"/>
        <v/>
      </c>
      <c r="W618" s="28" t="str">
        <f t="shared" si="293"/>
        <v/>
      </c>
      <c r="X618" s="12" t="str">
        <f t="shared" si="294"/>
        <v/>
      </c>
      <c r="Y618" s="12" t="str">
        <f t="shared" si="295"/>
        <v/>
      </c>
      <c r="Z618" s="12" t="str">
        <f t="shared" si="296"/>
        <v/>
      </c>
      <c r="AA618" s="12" t="str">
        <f t="shared" si="297"/>
        <v/>
      </c>
      <c r="AB618" s="12" t="str">
        <f t="shared" si="298"/>
        <v/>
      </c>
      <c r="AC618" s="12" t="str">
        <f t="shared" si="299"/>
        <v/>
      </c>
      <c r="AD618" s="12" t="str">
        <f t="shared" si="300"/>
        <v/>
      </c>
      <c r="AE618" s="12" t="str">
        <f t="shared" si="301"/>
        <v/>
      </c>
      <c r="AF618" s="12" t="str">
        <f t="shared" si="302"/>
        <v/>
      </c>
      <c r="AG618" s="12"/>
      <c r="AH618" s="12" t="str">
        <f t="shared" si="303"/>
        <v/>
      </c>
      <c r="AI618" s="12" t="str">
        <f t="shared" si="304"/>
        <v/>
      </c>
      <c r="AJ618" s="12" t="str">
        <f t="shared" si="305"/>
        <v/>
      </c>
      <c r="AK618" s="12" t="str">
        <f t="shared" si="306"/>
        <v/>
      </c>
      <c r="AL618" s="12" t="str">
        <f t="shared" si="307"/>
        <v/>
      </c>
      <c r="AM618" s="12" t="str">
        <f t="shared" si="308"/>
        <v/>
      </c>
      <c r="AN618" s="12" t="str">
        <f t="shared" si="309"/>
        <v/>
      </c>
      <c r="AO618" s="12" t="str">
        <f t="shared" si="310"/>
        <v/>
      </c>
      <c r="AP618" s="12" t="str">
        <f t="shared" si="311"/>
        <v/>
      </c>
    </row>
    <row r="619" spans="1:42">
      <c r="A619" s="9" t="str">
        <f t="shared" si="312"/>
        <v/>
      </c>
      <c r="B619" s="22" t="str">
        <f t="shared" si="313"/>
        <v/>
      </c>
      <c r="C619" s="23" t="str">
        <f t="shared" si="314"/>
        <v/>
      </c>
      <c r="D619" s="24" t="str">
        <f t="shared" si="315"/>
        <v/>
      </c>
      <c r="E619" s="24" t="str">
        <f t="shared" si="316"/>
        <v/>
      </c>
      <c r="F619" s="25" t="str">
        <f t="shared" si="317"/>
        <v/>
      </c>
      <c r="G619" s="7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2"/>
      <c r="U619" s="12">
        <f t="shared" si="291"/>
        <v>0</v>
      </c>
      <c r="V619" s="28" t="str">
        <f t="shared" ca="1" si="292"/>
        <v/>
      </c>
      <c r="W619" s="28" t="str">
        <f t="shared" si="293"/>
        <v/>
      </c>
      <c r="X619" s="12" t="str">
        <f t="shared" si="294"/>
        <v/>
      </c>
      <c r="Y619" s="12" t="str">
        <f t="shared" si="295"/>
        <v/>
      </c>
      <c r="Z619" s="12" t="str">
        <f t="shared" si="296"/>
        <v/>
      </c>
      <c r="AA619" s="12" t="str">
        <f t="shared" si="297"/>
        <v/>
      </c>
      <c r="AB619" s="12" t="str">
        <f t="shared" si="298"/>
        <v/>
      </c>
      <c r="AC619" s="12" t="str">
        <f t="shared" si="299"/>
        <v/>
      </c>
      <c r="AD619" s="12" t="str">
        <f t="shared" si="300"/>
        <v/>
      </c>
      <c r="AE619" s="12" t="str">
        <f t="shared" si="301"/>
        <v/>
      </c>
      <c r="AF619" s="12" t="str">
        <f t="shared" si="302"/>
        <v/>
      </c>
      <c r="AG619" s="12"/>
      <c r="AH619" s="12" t="str">
        <f t="shared" si="303"/>
        <v/>
      </c>
      <c r="AI619" s="12" t="str">
        <f t="shared" si="304"/>
        <v/>
      </c>
      <c r="AJ619" s="12" t="str">
        <f t="shared" si="305"/>
        <v/>
      </c>
      <c r="AK619" s="12" t="str">
        <f t="shared" si="306"/>
        <v/>
      </c>
      <c r="AL619" s="12" t="str">
        <f t="shared" si="307"/>
        <v/>
      </c>
      <c r="AM619" s="12" t="str">
        <f t="shared" si="308"/>
        <v/>
      </c>
      <c r="AN619" s="12" t="str">
        <f t="shared" si="309"/>
        <v/>
      </c>
      <c r="AO619" s="12" t="str">
        <f t="shared" si="310"/>
        <v/>
      </c>
      <c r="AP619" s="12" t="str">
        <f t="shared" si="311"/>
        <v/>
      </c>
    </row>
    <row r="620" spans="1:42">
      <c r="A620" s="9" t="str">
        <f t="shared" si="312"/>
        <v/>
      </c>
      <c r="B620" s="22" t="str">
        <f t="shared" si="313"/>
        <v/>
      </c>
      <c r="C620" s="23" t="str">
        <f t="shared" si="314"/>
        <v/>
      </c>
      <c r="D620" s="24" t="str">
        <f t="shared" si="315"/>
        <v/>
      </c>
      <c r="E620" s="24" t="str">
        <f t="shared" si="316"/>
        <v/>
      </c>
      <c r="F620" s="25" t="str">
        <f t="shared" si="317"/>
        <v/>
      </c>
      <c r="G620" s="7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2"/>
      <c r="U620" s="12">
        <f t="shared" si="291"/>
        <v>0</v>
      </c>
      <c r="V620" s="28" t="str">
        <f t="shared" ca="1" si="292"/>
        <v/>
      </c>
      <c r="W620" s="28" t="str">
        <f t="shared" si="293"/>
        <v/>
      </c>
      <c r="X620" s="12" t="str">
        <f t="shared" si="294"/>
        <v/>
      </c>
      <c r="Y620" s="12" t="str">
        <f t="shared" si="295"/>
        <v/>
      </c>
      <c r="Z620" s="12" t="str">
        <f t="shared" si="296"/>
        <v/>
      </c>
      <c r="AA620" s="12" t="str">
        <f t="shared" si="297"/>
        <v/>
      </c>
      <c r="AB620" s="12" t="str">
        <f t="shared" si="298"/>
        <v/>
      </c>
      <c r="AC620" s="12" t="str">
        <f t="shared" si="299"/>
        <v/>
      </c>
      <c r="AD620" s="12" t="str">
        <f t="shared" si="300"/>
        <v/>
      </c>
      <c r="AE620" s="12" t="str">
        <f t="shared" si="301"/>
        <v/>
      </c>
      <c r="AF620" s="12" t="str">
        <f t="shared" si="302"/>
        <v/>
      </c>
      <c r="AG620" s="12"/>
      <c r="AH620" s="12" t="str">
        <f t="shared" si="303"/>
        <v/>
      </c>
      <c r="AI620" s="12" t="str">
        <f t="shared" si="304"/>
        <v/>
      </c>
      <c r="AJ620" s="12" t="str">
        <f t="shared" si="305"/>
        <v/>
      </c>
      <c r="AK620" s="12" t="str">
        <f t="shared" si="306"/>
        <v/>
      </c>
      <c r="AL620" s="12" t="str">
        <f t="shared" si="307"/>
        <v/>
      </c>
      <c r="AM620" s="12" t="str">
        <f t="shared" si="308"/>
        <v/>
      </c>
      <c r="AN620" s="12" t="str">
        <f t="shared" si="309"/>
        <v/>
      </c>
      <c r="AO620" s="12" t="str">
        <f t="shared" si="310"/>
        <v/>
      </c>
      <c r="AP620" s="12" t="str">
        <f t="shared" si="311"/>
        <v/>
      </c>
    </row>
    <row r="621" spans="1:42">
      <c r="A621" s="9" t="str">
        <f t="shared" si="312"/>
        <v/>
      </c>
      <c r="B621" s="22" t="str">
        <f t="shared" si="313"/>
        <v/>
      </c>
      <c r="C621" s="23" t="str">
        <f t="shared" si="314"/>
        <v/>
      </c>
      <c r="D621" s="24" t="str">
        <f t="shared" si="315"/>
        <v/>
      </c>
      <c r="E621" s="24" t="str">
        <f t="shared" si="316"/>
        <v/>
      </c>
      <c r="F621" s="25" t="str">
        <f t="shared" si="317"/>
        <v/>
      </c>
      <c r="G621" s="7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2"/>
      <c r="U621" s="12">
        <f t="shared" si="291"/>
        <v>0</v>
      </c>
      <c r="V621" s="28" t="str">
        <f t="shared" ca="1" si="292"/>
        <v/>
      </c>
      <c r="W621" s="28" t="str">
        <f t="shared" si="293"/>
        <v/>
      </c>
      <c r="X621" s="12" t="str">
        <f t="shared" si="294"/>
        <v/>
      </c>
      <c r="Y621" s="12" t="str">
        <f t="shared" si="295"/>
        <v/>
      </c>
      <c r="Z621" s="12" t="str">
        <f t="shared" si="296"/>
        <v/>
      </c>
      <c r="AA621" s="12" t="str">
        <f t="shared" si="297"/>
        <v/>
      </c>
      <c r="AB621" s="12" t="str">
        <f t="shared" si="298"/>
        <v/>
      </c>
      <c r="AC621" s="12" t="str">
        <f t="shared" si="299"/>
        <v/>
      </c>
      <c r="AD621" s="12" t="str">
        <f t="shared" si="300"/>
        <v/>
      </c>
      <c r="AE621" s="12" t="str">
        <f t="shared" si="301"/>
        <v/>
      </c>
      <c r="AF621" s="12" t="str">
        <f t="shared" si="302"/>
        <v/>
      </c>
      <c r="AG621" s="12"/>
      <c r="AH621" s="12" t="str">
        <f t="shared" si="303"/>
        <v/>
      </c>
      <c r="AI621" s="12" t="str">
        <f t="shared" si="304"/>
        <v/>
      </c>
      <c r="AJ621" s="12" t="str">
        <f t="shared" si="305"/>
        <v/>
      </c>
      <c r="AK621" s="12" t="str">
        <f t="shared" si="306"/>
        <v/>
      </c>
      <c r="AL621" s="12" t="str">
        <f t="shared" si="307"/>
        <v/>
      </c>
      <c r="AM621" s="12" t="str">
        <f t="shared" si="308"/>
        <v/>
      </c>
      <c r="AN621" s="12" t="str">
        <f t="shared" si="309"/>
        <v/>
      </c>
      <c r="AO621" s="12" t="str">
        <f t="shared" si="310"/>
        <v/>
      </c>
      <c r="AP621" s="12" t="str">
        <f t="shared" si="311"/>
        <v/>
      </c>
    </row>
    <row r="622" spans="1:42">
      <c r="A622" s="9" t="str">
        <f t="shared" si="312"/>
        <v/>
      </c>
      <c r="B622" s="22" t="str">
        <f t="shared" si="313"/>
        <v/>
      </c>
      <c r="C622" s="23" t="str">
        <f t="shared" si="314"/>
        <v/>
      </c>
      <c r="D622" s="24" t="str">
        <f t="shared" si="315"/>
        <v/>
      </c>
      <c r="E622" s="24" t="str">
        <f t="shared" si="316"/>
        <v/>
      </c>
      <c r="F622" s="25" t="str">
        <f t="shared" si="317"/>
        <v/>
      </c>
      <c r="G622" s="7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2"/>
      <c r="U622" s="12">
        <f t="shared" si="291"/>
        <v>0</v>
      </c>
      <c r="V622" s="28" t="str">
        <f t="shared" ca="1" si="292"/>
        <v/>
      </c>
      <c r="W622" s="28" t="str">
        <f t="shared" si="293"/>
        <v/>
      </c>
      <c r="X622" s="12" t="str">
        <f t="shared" si="294"/>
        <v/>
      </c>
      <c r="Y622" s="12" t="str">
        <f t="shared" si="295"/>
        <v/>
      </c>
      <c r="Z622" s="12" t="str">
        <f t="shared" si="296"/>
        <v/>
      </c>
      <c r="AA622" s="12" t="str">
        <f t="shared" si="297"/>
        <v/>
      </c>
      <c r="AB622" s="12" t="str">
        <f t="shared" si="298"/>
        <v/>
      </c>
      <c r="AC622" s="12" t="str">
        <f t="shared" si="299"/>
        <v/>
      </c>
      <c r="AD622" s="12" t="str">
        <f t="shared" si="300"/>
        <v/>
      </c>
      <c r="AE622" s="12" t="str">
        <f t="shared" si="301"/>
        <v/>
      </c>
      <c r="AF622" s="12" t="str">
        <f t="shared" si="302"/>
        <v/>
      </c>
      <c r="AG622" s="12"/>
      <c r="AH622" s="12" t="str">
        <f t="shared" si="303"/>
        <v/>
      </c>
      <c r="AI622" s="12" t="str">
        <f t="shared" si="304"/>
        <v/>
      </c>
      <c r="AJ622" s="12" t="str">
        <f t="shared" si="305"/>
        <v/>
      </c>
      <c r="AK622" s="12" t="str">
        <f t="shared" si="306"/>
        <v/>
      </c>
      <c r="AL622" s="12" t="str">
        <f t="shared" si="307"/>
        <v/>
      </c>
      <c r="AM622" s="12" t="str">
        <f t="shared" si="308"/>
        <v/>
      </c>
      <c r="AN622" s="12" t="str">
        <f t="shared" si="309"/>
        <v/>
      </c>
      <c r="AO622" s="12" t="str">
        <f t="shared" si="310"/>
        <v/>
      </c>
      <c r="AP622" s="12" t="str">
        <f t="shared" si="311"/>
        <v/>
      </c>
    </row>
    <row r="623" spans="1:42">
      <c r="A623" s="9" t="str">
        <f t="shared" si="312"/>
        <v/>
      </c>
      <c r="B623" s="22" t="str">
        <f t="shared" si="313"/>
        <v/>
      </c>
      <c r="C623" s="23" t="str">
        <f t="shared" si="314"/>
        <v/>
      </c>
      <c r="D623" s="24" t="str">
        <f t="shared" si="315"/>
        <v/>
      </c>
      <c r="E623" s="24" t="str">
        <f t="shared" si="316"/>
        <v/>
      </c>
      <c r="F623" s="25" t="str">
        <f t="shared" si="317"/>
        <v/>
      </c>
      <c r="G623" s="7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2"/>
      <c r="U623" s="12">
        <f t="shared" si="291"/>
        <v>0</v>
      </c>
      <c r="V623" s="28" t="str">
        <f t="shared" ca="1" si="292"/>
        <v/>
      </c>
      <c r="W623" s="28" t="str">
        <f t="shared" si="293"/>
        <v/>
      </c>
      <c r="X623" s="12" t="str">
        <f t="shared" si="294"/>
        <v/>
      </c>
      <c r="Y623" s="12" t="str">
        <f t="shared" si="295"/>
        <v/>
      </c>
      <c r="Z623" s="12" t="str">
        <f t="shared" si="296"/>
        <v/>
      </c>
      <c r="AA623" s="12" t="str">
        <f t="shared" si="297"/>
        <v/>
      </c>
      <c r="AB623" s="12" t="str">
        <f t="shared" si="298"/>
        <v/>
      </c>
      <c r="AC623" s="12" t="str">
        <f t="shared" si="299"/>
        <v/>
      </c>
      <c r="AD623" s="12" t="str">
        <f t="shared" si="300"/>
        <v/>
      </c>
      <c r="AE623" s="12" t="str">
        <f t="shared" si="301"/>
        <v/>
      </c>
      <c r="AF623" s="12" t="str">
        <f t="shared" si="302"/>
        <v/>
      </c>
      <c r="AG623" s="12"/>
      <c r="AH623" s="12" t="str">
        <f t="shared" si="303"/>
        <v/>
      </c>
      <c r="AI623" s="12" t="str">
        <f t="shared" si="304"/>
        <v/>
      </c>
      <c r="AJ623" s="12" t="str">
        <f t="shared" si="305"/>
        <v/>
      </c>
      <c r="AK623" s="12" t="str">
        <f t="shared" si="306"/>
        <v/>
      </c>
      <c r="AL623" s="12" t="str">
        <f t="shared" si="307"/>
        <v/>
      </c>
      <c r="AM623" s="12" t="str">
        <f t="shared" si="308"/>
        <v/>
      </c>
      <c r="AN623" s="12" t="str">
        <f t="shared" si="309"/>
        <v/>
      </c>
      <c r="AO623" s="12" t="str">
        <f t="shared" si="310"/>
        <v/>
      </c>
      <c r="AP623" s="12" t="str">
        <f t="shared" si="311"/>
        <v/>
      </c>
    </row>
    <row r="624" spans="1:42">
      <c r="A624" s="9" t="str">
        <f t="shared" si="312"/>
        <v/>
      </c>
      <c r="B624" s="22" t="str">
        <f t="shared" si="313"/>
        <v/>
      </c>
      <c r="C624" s="23" t="str">
        <f t="shared" si="314"/>
        <v/>
      </c>
      <c r="D624" s="24" t="str">
        <f t="shared" si="315"/>
        <v/>
      </c>
      <c r="E624" s="24" t="str">
        <f t="shared" si="316"/>
        <v/>
      </c>
      <c r="F624" s="25" t="str">
        <f t="shared" si="317"/>
        <v/>
      </c>
      <c r="G624" s="7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2"/>
      <c r="U624" s="12">
        <f t="shared" si="291"/>
        <v>0</v>
      </c>
      <c r="V624" s="28" t="str">
        <f t="shared" ca="1" si="292"/>
        <v/>
      </c>
      <c r="W624" s="28" t="str">
        <f t="shared" si="293"/>
        <v/>
      </c>
      <c r="X624" s="12" t="str">
        <f t="shared" si="294"/>
        <v/>
      </c>
      <c r="Y624" s="12" t="str">
        <f t="shared" si="295"/>
        <v/>
      </c>
      <c r="Z624" s="12" t="str">
        <f t="shared" si="296"/>
        <v/>
      </c>
      <c r="AA624" s="12" t="str">
        <f t="shared" si="297"/>
        <v/>
      </c>
      <c r="AB624" s="12" t="str">
        <f t="shared" si="298"/>
        <v/>
      </c>
      <c r="AC624" s="12" t="str">
        <f t="shared" si="299"/>
        <v/>
      </c>
      <c r="AD624" s="12" t="str">
        <f t="shared" si="300"/>
        <v/>
      </c>
      <c r="AE624" s="12" t="str">
        <f t="shared" si="301"/>
        <v/>
      </c>
      <c r="AF624" s="12" t="str">
        <f t="shared" si="302"/>
        <v/>
      </c>
      <c r="AG624" s="12"/>
      <c r="AH624" s="12" t="str">
        <f t="shared" si="303"/>
        <v/>
      </c>
      <c r="AI624" s="12" t="str">
        <f t="shared" si="304"/>
        <v/>
      </c>
      <c r="AJ624" s="12" t="str">
        <f t="shared" si="305"/>
        <v/>
      </c>
      <c r="AK624" s="12" t="str">
        <f t="shared" si="306"/>
        <v/>
      </c>
      <c r="AL624" s="12" t="str">
        <f t="shared" si="307"/>
        <v/>
      </c>
      <c r="AM624" s="12" t="str">
        <f t="shared" si="308"/>
        <v/>
      </c>
      <c r="AN624" s="12" t="str">
        <f t="shared" si="309"/>
        <v/>
      </c>
      <c r="AO624" s="12" t="str">
        <f t="shared" si="310"/>
        <v/>
      </c>
      <c r="AP624" s="12" t="str">
        <f t="shared" si="311"/>
        <v/>
      </c>
    </row>
    <row r="625" spans="1:42">
      <c r="A625" s="9" t="str">
        <f t="shared" si="312"/>
        <v/>
      </c>
      <c r="B625" s="22" t="str">
        <f t="shared" si="313"/>
        <v/>
      </c>
      <c r="C625" s="23" t="str">
        <f t="shared" si="314"/>
        <v/>
      </c>
      <c r="D625" s="24" t="str">
        <f t="shared" si="315"/>
        <v/>
      </c>
      <c r="E625" s="24" t="str">
        <f t="shared" si="316"/>
        <v/>
      </c>
      <c r="F625" s="25" t="str">
        <f t="shared" si="317"/>
        <v/>
      </c>
      <c r="G625" s="7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2"/>
      <c r="U625" s="12">
        <f t="shared" si="291"/>
        <v>0</v>
      </c>
      <c r="V625" s="28" t="str">
        <f t="shared" ca="1" si="292"/>
        <v/>
      </c>
      <c r="W625" s="28" t="str">
        <f t="shared" si="293"/>
        <v/>
      </c>
      <c r="X625" s="12" t="str">
        <f t="shared" si="294"/>
        <v/>
      </c>
      <c r="Y625" s="12" t="str">
        <f t="shared" si="295"/>
        <v/>
      </c>
      <c r="Z625" s="12" t="str">
        <f t="shared" si="296"/>
        <v/>
      </c>
      <c r="AA625" s="12" t="str">
        <f t="shared" si="297"/>
        <v/>
      </c>
      <c r="AB625" s="12" t="str">
        <f t="shared" si="298"/>
        <v/>
      </c>
      <c r="AC625" s="12" t="str">
        <f t="shared" si="299"/>
        <v/>
      </c>
      <c r="AD625" s="12" t="str">
        <f t="shared" si="300"/>
        <v/>
      </c>
      <c r="AE625" s="12" t="str">
        <f t="shared" si="301"/>
        <v/>
      </c>
      <c r="AF625" s="12" t="str">
        <f t="shared" si="302"/>
        <v/>
      </c>
      <c r="AG625" s="12"/>
      <c r="AH625" s="12" t="str">
        <f t="shared" si="303"/>
        <v/>
      </c>
      <c r="AI625" s="12" t="str">
        <f t="shared" si="304"/>
        <v/>
      </c>
      <c r="AJ625" s="12" t="str">
        <f t="shared" si="305"/>
        <v/>
      </c>
      <c r="AK625" s="12" t="str">
        <f t="shared" si="306"/>
        <v/>
      </c>
      <c r="AL625" s="12" t="str">
        <f t="shared" si="307"/>
        <v/>
      </c>
      <c r="AM625" s="12" t="str">
        <f t="shared" si="308"/>
        <v/>
      </c>
      <c r="AN625" s="12" t="str">
        <f t="shared" si="309"/>
        <v/>
      </c>
      <c r="AO625" s="12" t="str">
        <f t="shared" si="310"/>
        <v/>
      </c>
      <c r="AP625" s="12" t="str">
        <f t="shared" si="311"/>
        <v/>
      </c>
    </row>
    <row r="626" spans="1:42">
      <c r="A626" s="9" t="str">
        <f t="shared" si="312"/>
        <v/>
      </c>
      <c r="B626" s="22" t="str">
        <f t="shared" si="313"/>
        <v/>
      </c>
      <c r="C626" s="23" t="str">
        <f t="shared" si="314"/>
        <v/>
      </c>
      <c r="D626" s="24" t="str">
        <f t="shared" si="315"/>
        <v/>
      </c>
      <c r="E626" s="24" t="str">
        <f t="shared" si="316"/>
        <v/>
      </c>
      <c r="F626" s="25" t="str">
        <f t="shared" si="317"/>
        <v/>
      </c>
      <c r="G626" s="7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2"/>
      <c r="U626" s="12">
        <f t="shared" si="291"/>
        <v>0</v>
      </c>
      <c r="V626" s="28" t="str">
        <f t="shared" ca="1" si="292"/>
        <v/>
      </c>
      <c r="W626" s="28" t="str">
        <f t="shared" si="293"/>
        <v/>
      </c>
      <c r="X626" s="12" t="str">
        <f t="shared" si="294"/>
        <v/>
      </c>
      <c r="Y626" s="12" t="str">
        <f t="shared" si="295"/>
        <v/>
      </c>
      <c r="Z626" s="12" t="str">
        <f t="shared" si="296"/>
        <v/>
      </c>
      <c r="AA626" s="12" t="str">
        <f t="shared" si="297"/>
        <v/>
      </c>
      <c r="AB626" s="12" t="str">
        <f t="shared" si="298"/>
        <v/>
      </c>
      <c r="AC626" s="12" t="str">
        <f t="shared" si="299"/>
        <v/>
      </c>
      <c r="AD626" s="12" t="str">
        <f t="shared" si="300"/>
        <v/>
      </c>
      <c r="AE626" s="12" t="str">
        <f t="shared" si="301"/>
        <v/>
      </c>
      <c r="AF626" s="12" t="str">
        <f t="shared" si="302"/>
        <v/>
      </c>
      <c r="AG626" s="12"/>
      <c r="AH626" s="12" t="str">
        <f t="shared" si="303"/>
        <v/>
      </c>
      <c r="AI626" s="12" t="str">
        <f t="shared" si="304"/>
        <v/>
      </c>
      <c r="AJ626" s="12" t="str">
        <f t="shared" si="305"/>
        <v/>
      </c>
      <c r="AK626" s="12" t="str">
        <f t="shared" si="306"/>
        <v/>
      </c>
      <c r="AL626" s="12" t="str">
        <f t="shared" si="307"/>
        <v/>
      </c>
      <c r="AM626" s="12" t="str">
        <f t="shared" si="308"/>
        <v/>
      </c>
      <c r="AN626" s="12" t="str">
        <f t="shared" si="309"/>
        <v/>
      </c>
      <c r="AO626" s="12" t="str">
        <f t="shared" si="310"/>
        <v/>
      </c>
      <c r="AP626" s="12" t="str">
        <f t="shared" si="311"/>
        <v/>
      </c>
    </row>
    <row r="627" spans="1:42">
      <c r="A627" s="9" t="str">
        <f t="shared" si="312"/>
        <v/>
      </c>
      <c r="B627" s="22" t="str">
        <f t="shared" si="313"/>
        <v/>
      </c>
      <c r="C627" s="23" t="str">
        <f t="shared" si="314"/>
        <v/>
      </c>
      <c r="D627" s="24" t="str">
        <f t="shared" si="315"/>
        <v/>
      </c>
      <c r="E627" s="24" t="str">
        <f t="shared" si="316"/>
        <v/>
      </c>
      <c r="F627" s="25" t="str">
        <f t="shared" si="317"/>
        <v/>
      </c>
      <c r="G627" s="7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2"/>
      <c r="U627" s="12">
        <f t="shared" si="291"/>
        <v>0</v>
      </c>
      <c r="V627" s="28" t="str">
        <f t="shared" ca="1" si="292"/>
        <v/>
      </c>
      <c r="W627" s="28" t="str">
        <f t="shared" si="293"/>
        <v/>
      </c>
      <c r="X627" s="12" t="str">
        <f t="shared" si="294"/>
        <v/>
      </c>
      <c r="Y627" s="12" t="str">
        <f t="shared" si="295"/>
        <v/>
      </c>
      <c r="Z627" s="12" t="str">
        <f t="shared" si="296"/>
        <v/>
      </c>
      <c r="AA627" s="12" t="str">
        <f t="shared" si="297"/>
        <v/>
      </c>
      <c r="AB627" s="12" t="str">
        <f t="shared" si="298"/>
        <v/>
      </c>
      <c r="AC627" s="12" t="str">
        <f t="shared" si="299"/>
        <v/>
      </c>
      <c r="AD627" s="12" t="str">
        <f t="shared" si="300"/>
        <v/>
      </c>
      <c r="AE627" s="12" t="str">
        <f t="shared" si="301"/>
        <v/>
      </c>
      <c r="AF627" s="12" t="str">
        <f t="shared" si="302"/>
        <v/>
      </c>
      <c r="AG627" s="12"/>
      <c r="AH627" s="12" t="str">
        <f t="shared" si="303"/>
        <v/>
      </c>
      <c r="AI627" s="12" t="str">
        <f t="shared" si="304"/>
        <v/>
      </c>
      <c r="AJ627" s="12" t="str">
        <f t="shared" si="305"/>
        <v/>
      </c>
      <c r="AK627" s="12" t="str">
        <f t="shared" si="306"/>
        <v/>
      </c>
      <c r="AL627" s="12" t="str">
        <f t="shared" si="307"/>
        <v/>
      </c>
      <c r="AM627" s="12" t="str">
        <f t="shared" si="308"/>
        <v/>
      </c>
      <c r="AN627" s="12" t="str">
        <f t="shared" si="309"/>
        <v/>
      </c>
      <c r="AO627" s="12" t="str">
        <f t="shared" si="310"/>
        <v/>
      </c>
      <c r="AP627" s="12" t="str">
        <f t="shared" si="311"/>
        <v/>
      </c>
    </row>
    <row r="628" spans="1:42">
      <c r="A628" s="9" t="str">
        <f t="shared" si="312"/>
        <v/>
      </c>
      <c r="B628" s="22" t="str">
        <f t="shared" si="313"/>
        <v/>
      </c>
      <c r="C628" s="23" t="str">
        <f t="shared" si="314"/>
        <v/>
      </c>
      <c r="D628" s="24" t="str">
        <f t="shared" si="315"/>
        <v/>
      </c>
      <c r="E628" s="24" t="str">
        <f t="shared" si="316"/>
        <v/>
      </c>
      <c r="F628" s="25" t="str">
        <f t="shared" si="317"/>
        <v/>
      </c>
      <c r="G628" s="7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2"/>
      <c r="U628" s="12">
        <f t="shared" si="291"/>
        <v>0</v>
      </c>
      <c r="V628" s="28" t="str">
        <f t="shared" ca="1" si="292"/>
        <v/>
      </c>
      <c r="W628" s="28" t="str">
        <f t="shared" si="293"/>
        <v/>
      </c>
      <c r="X628" s="12" t="str">
        <f t="shared" si="294"/>
        <v/>
      </c>
      <c r="Y628" s="12" t="str">
        <f t="shared" si="295"/>
        <v/>
      </c>
      <c r="Z628" s="12" t="str">
        <f t="shared" si="296"/>
        <v/>
      </c>
      <c r="AA628" s="12" t="str">
        <f t="shared" si="297"/>
        <v/>
      </c>
      <c r="AB628" s="12" t="str">
        <f t="shared" si="298"/>
        <v/>
      </c>
      <c r="AC628" s="12" t="str">
        <f t="shared" si="299"/>
        <v/>
      </c>
      <c r="AD628" s="12" t="str">
        <f t="shared" si="300"/>
        <v/>
      </c>
      <c r="AE628" s="12" t="str">
        <f t="shared" si="301"/>
        <v/>
      </c>
      <c r="AF628" s="12" t="str">
        <f t="shared" si="302"/>
        <v/>
      </c>
      <c r="AG628" s="12"/>
      <c r="AH628" s="12" t="str">
        <f t="shared" si="303"/>
        <v/>
      </c>
      <c r="AI628" s="12" t="str">
        <f t="shared" si="304"/>
        <v/>
      </c>
      <c r="AJ628" s="12" t="str">
        <f t="shared" si="305"/>
        <v/>
      </c>
      <c r="AK628" s="12" t="str">
        <f t="shared" si="306"/>
        <v/>
      </c>
      <c r="AL628" s="12" t="str">
        <f t="shared" si="307"/>
        <v/>
      </c>
      <c r="AM628" s="12" t="str">
        <f t="shared" si="308"/>
        <v/>
      </c>
      <c r="AN628" s="12" t="str">
        <f t="shared" si="309"/>
        <v/>
      </c>
      <c r="AO628" s="12" t="str">
        <f t="shared" si="310"/>
        <v/>
      </c>
      <c r="AP628" s="12" t="str">
        <f t="shared" si="311"/>
        <v/>
      </c>
    </row>
    <row r="629" spans="1:42">
      <c r="A629" s="9" t="str">
        <f t="shared" si="312"/>
        <v/>
      </c>
      <c r="B629" s="22" t="str">
        <f t="shared" si="313"/>
        <v/>
      </c>
      <c r="C629" s="23" t="str">
        <f t="shared" si="314"/>
        <v/>
      </c>
      <c r="D629" s="24" t="str">
        <f t="shared" si="315"/>
        <v/>
      </c>
      <c r="E629" s="24" t="str">
        <f t="shared" si="316"/>
        <v/>
      </c>
      <c r="F629" s="25" t="str">
        <f t="shared" si="317"/>
        <v/>
      </c>
      <c r="G629" s="7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2"/>
      <c r="U629" s="12">
        <f t="shared" si="291"/>
        <v>0</v>
      </c>
      <c r="V629" s="28" t="str">
        <f t="shared" ca="1" si="292"/>
        <v/>
      </c>
      <c r="W629" s="28" t="str">
        <f t="shared" si="293"/>
        <v/>
      </c>
      <c r="X629" s="12" t="str">
        <f t="shared" si="294"/>
        <v/>
      </c>
      <c r="Y629" s="12" t="str">
        <f t="shared" si="295"/>
        <v/>
      </c>
      <c r="Z629" s="12" t="str">
        <f t="shared" si="296"/>
        <v/>
      </c>
      <c r="AA629" s="12" t="str">
        <f t="shared" si="297"/>
        <v/>
      </c>
      <c r="AB629" s="12" t="str">
        <f t="shared" si="298"/>
        <v/>
      </c>
      <c r="AC629" s="12" t="str">
        <f t="shared" si="299"/>
        <v/>
      </c>
      <c r="AD629" s="12" t="str">
        <f t="shared" si="300"/>
        <v/>
      </c>
      <c r="AE629" s="12" t="str">
        <f t="shared" si="301"/>
        <v/>
      </c>
      <c r="AF629" s="12" t="str">
        <f t="shared" si="302"/>
        <v/>
      </c>
      <c r="AG629" s="12"/>
      <c r="AH629" s="12" t="str">
        <f t="shared" si="303"/>
        <v/>
      </c>
      <c r="AI629" s="12" t="str">
        <f t="shared" si="304"/>
        <v/>
      </c>
      <c r="AJ629" s="12" t="str">
        <f t="shared" si="305"/>
        <v/>
      </c>
      <c r="AK629" s="12" t="str">
        <f t="shared" si="306"/>
        <v/>
      </c>
      <c r="AL629" s="12" t="str">
        <f t="shared" si="307"/>
        <v/>
      </c>
      <c r="AM629" s="12" t="str">
        <f t="shared" si="308"/>
        <v/>
      </c>
      <c r="AN629" s="12" t="str">
        <f t="shared" si="309"/>
        <v/>
      </c>
      <c r="AO629" s="12" t="str">
        <f t="shared" si="310"/>
        <v/>
      </c>
      <c r="AP629" s="12" t="str">
        <f t="shared" si="311"/>
        <v/>
      </c>
    </row>
    <row r="630" spans="1:42">
      <c r="A630" s="9" t="str">
        <f t="shared" si="312"/>
        <v/>
      </c>
      <c r="B630" s="22" t="str">
        <f t="shared" si="313"/>
        <v/>
      </c>
      <c r="C630" s="23" t="str">
        <f t="shared" si="314"/>
        <v/>
      </c>
      <c r="D630" s="24" t="str">
        <f t="shared" si="315"/>
        <v/>
      </c>
      <c r="E630" s="24" t="str">
        <f t="shared" si="316"/>
        <v/>
      </c>
      <c r="F630" s="25" t="str">
        <f t="shared" si="317"/>
        <v/>
      </c>
      <c r="G630" s="7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2"/>
      <c r="U630" s="12">
        <f t="shared" si="291"/>
        <v>0</v>
      </c>
      <c r="V630" s="28" t="str">
        <f t="shared" ca="1" si="292"/>
        <v/>
      </c>
      <c r="W630" s="28" t="str">
        <f t="shared" si="293"/>
        <v/>
      </c>
      <c r="X630" s="12" t="str">
        <f t="shared" si="294"/>
        <v/>
      </c>
      <c r="Y630" s="12" t="str">
        <f t="shared" si="295"/>
        <v/>
      </c>
      <c r="Z630" s="12" t="str">
        <f t="shared" si="296"/>
        <v/>
      </c>
      <c r="AA630" s="12" t="str">
        <f t="shared" si="297"/>
        <v/>
      </c>
      <c r="AB630" s="12" t="str">
        <f t="shared" si="298"/>
        <v/>
      </c>
      <c r="AC630" s="12" t="str">
        <f t="shared" si="299"/>
        <v/>
      </c>
      <c r="AD630" s="12" t="str">
        <f t="shared" si="300"/>
        <v/>
      </c>
      <c r="AE630" s="12" t="str">
        <f t="shared" si="301"/>
        <v/>
      </c>
      <c r="AF630" s="12" t="str">
        <f t="shared" si="302"/>
        <v/>
      </c>
      <c r="AG630" s="12"/>
      <c r="AH630" s="12" t="str">
        <f t="shared" si="303"/>
        <v/>
      </c>
      <c r="AI630" s="12" t="str">
        <f t="shared" si="304"/>
        <v/>
      </c>
      <c r="AJ630" s="12" t="str">
        <f t="shared" si="305"/>
        <v/>
      </c>
      <c r="AK630" s="12" t="str">
        <f t="shared" si="306"/>
        <v/>
      </c>
      <c r="AL630" s="12" t="str">
        <f t="shared" si="307"/>
        <v/>
      </c>
      <c r="AM630" s="12" t="str">
        <f t="shared" si="308"/>
        <v/>
      </c>
      <c r="AN630" s="12" t="str">
        <f t="shared" si="309"/>
        <v/>
      </c>
      <c r="AO630" s="12" t="str">
        <f t="shared" si="310"/>
        <v/>
      </c>
      <c r="AP630" s="12" t="str">
        <f t="shared" si="311"/>
        <v/>
      </c>
    </row>
    <row r="631" spans="1:42">
      <c r="A631" s="9" t="str">
        <f t="shared" si="312"/>
        <v/>
      </c>
      <c r="B631" s="22" t="str">
        <f t="shared" si="313"/>
        <v/>
      </c>
      <c r="C631" s="23" t="str">
        <f t="shared" si="314"/>
        <v/>
      </c>
      <c r="D631" s="24" t="str">
        <f t="shared" si="315"/>
        <v/>
      </c>
      <c r="E631" s="24" t="str">
        <f t="shared" si="316"/>
        <v/>
      </c>
      <c r="F631" s="25" t="str">
        <f t="shared" si="317"/>
        <v/>
      </c>
      <c r="G631" s="7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2"/>
      <c r="U631" s="12">
        <f t="shared" si="291"/>
        <v>0</v>
      </c>
      <c r="V631" s="28" t="str">
        <f t="shared" ca="1" si="292"/>
        <v/>
      </c>
      <c r="W631" s="28" t="str">
        <f t="shared" si="293"/>
        <v/>
      </c>
      <c r="X631" s="12" t="str">
        <f t="shared" si="294"/>
        <v/>
      </c>
      <c r="Y631" s="12" t="str">
        <f t="shared" si="295"/>
        <v/>
      </c>
      <c r="Z631" s="12" t="str">
        <f t="shared" si="296"/>
        <v/>
      </c>
      <c r="AA631" s="12" t="str">
        <f t="shared" si="297"/>
        <v/>
      </c>
      <c r="AB631" s="12" t="str">
        <f t="shared" si="298"/>
        <v/>
      </c>
      <c r="AC631" s="12" t="str">
        <f t="shared" si="299"/>
        <v/>
      </c>
      <c r="AD631" s="12" t="str">
        <f t="shared" si="300"/>
        <v/>
      </c>
      <c r="AE631" s="12" t="str">
        <f t="shared" si="301"/>
        <v/>
      </c>
      <c r="AF631" s="12" t="str">
        <f t="shared" si="302"/>
        <v/>
      </c>
      <c r="AG631" s="12"/>
      <c r="AH631" s="12" t="str">
        <f t="shared" si="303"/>
        <v/>
      </c>
      <c r="AI631" s="12" t="str">
        <f t="shared" si="304"/>
        <v/>
      </c>
      <c r="AJ631" s="12" t="str">
        <f t="shared" si="305"/>
        <v/>
      </c>
      <c r="AK631" s="12" t="str">
        <f t="shared" si="306"/>
        <v/>
      </c>
      <c r="AL631" s="12" t="str">
        <f t="shared" si="307"/>
        <v/>
      </c>
      <c r="AM631" s="12" t="str">
        <f t="shared" si="308"/>
        <v/>
      </c>
      <c r="AN631" s="12" t="str">
        <f t="shared" si="309"/>
        <v/>
      </c>
      <c r="AO631" s="12" t="str">
        <f t="shared" si="310"/>
        <v/>
      </c>
      <c r="AP631" s="12" t="str">
        <f t="shared" si="311"/>
        <v/>
      </c>
    </row>
  </sheetData>
  <sheetProtection sheet="1" objects="1" scenarios="1"/>
  <mergeCells count="6">
    <mergeCell ref="B18:L18"/>
    <mergeCell ref="B10:L10"/>
    <mergeCell ref="B11:L11"/>
    <mergeCell ref="B12:L12"/>
    <mergeCell ref="B13:L13"/>
    <mergeCell ref="B14:L14"/>
  </mergeCells>
  <pageMargins left="0.69861111111111107" right="0.69861111111111107" top="0.75" bottom="0.75" header="0.3" footer="0.3"/>
  <pageSetup orientation="portrait" horizontalDpi="30066" verticalDpi="26478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Student</vt:lpstr>
      <vt:lpstr>Photometry20180123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Pyatnytskyy, Maksym (GfK)</dc:creator>
  <cp:lastModifiedBy>Tanya</cp:lastModifiedBy>
  <dcterms:created xsi:type="dcterms:W3CDTF">2017-12-10T09:14:21Z</dcterms:created>
  <dcterms:modified xsi:type="dcterms:W3CDTF">2018-01-28T06:46:24Z</dcterms:modified>
</cp:coreProperties>
</file>